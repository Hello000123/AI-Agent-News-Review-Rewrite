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61e925b7424d72" /></Relationships>
</file>

<file path=xl/workbook.xml><?xml version="1.0" encoding="utf-8"?>
<x:workbook xmlns:x="http://schemas.openxmlformats.org/spreadsheetml/2006/main">
  <x:sheets>
    <x:sheet xmlns:r="http://schemas.openxmlformats.org/officeDocument/2006/relationships" name="Drafts" sheetId="1" r:id="Rfe47c74a9dab4d84"/>
    <x:sheet xmlns:r="http://schemas.openxmlformats.org/officeDocument/2006/relationships" name="Results" sheetId="2" r:id="R575cea8e0beb47db"/>
    <x:sheet xmlns:r="http://schemas.openxmlformats.org/officeDocument/2006/relationships" name="Summary" sheetId="3" r:id="R0ceef18c492c4aef"/>
    <x:sheet xmlns:r="http://schemas.openxmlformats.org/officeDocument/2006/relationships" name="Category Summary" sheetId="4" r:id="R7df205b87bca4274"/>
    <x:sheet xmlns:r="http://schemas.openxmlformats.org/officeDocument/2006/relationships" name="Error Log" sheetId="5" r:id="R374ac91d4f1746c8"/>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
    <x:numFmt numFmtId="201" formatCode="0"/>
    <x:numFmt numFmtId="202" formatCode="0.0"/>
    <x:numFmt numFmtId="203" formatCode="#,##0"/>
    <x:numFmt numFmtId="204" formatCode="yyyy-mm-dd hh:mm:ss"/>
    <x:numFmt numFmtId="205" formatCode="0.0%"/>
  </x:numFmts>
  <x:fonts count="11">
    <x:font>
      <x:sz val="11"/>
      <x:name val="Carlito"/>
    </x:font>
    <x:font>
      <x:b/>
      <x:sz val="10"/>
      <x:color rgb="FFFFFFFF"/>
      <x:name val="Carlito"/>
    </x:font>
    <x:font>
      <x:b/>
      <x:sz val="18"/>
      <x:color rgb="FFFFFFFF"/>
      <x:name val="Carlito"/>
    </x:font>
    <x:font>
      <x:i/>
      <x:sz val="10"/>
      <x:color rgb="FF374151"/>
      <x:name val="Carlito"/>
    </x:font>
    <x:font>
      <x:b/>
      <x:sz val="11"/>
      <x:color rgb="FFFFFFFF"/>
      <x:name val="Carlito"/>
    </x:font>
    <x:font>
      <x:b/>
      <x:sz val="11"/>
      <x:color rgb="FF374151"/>
      <x:name val="Carlito"/>
    </x:font>
    <x:font>
      <x:b/>
      <x:sz val="11"/>
      <x:color rgb="FF17324D"/>
      <x:name val="Carlito"/>
    </x:font>
    <x:font>
      <x:sz val="11"/>
      <x:color rgb="FF374151"/>
      <x:name val="Carlito"/>
    </x:font>
    <x:font>
      <x:b/>
      <x:sz val="11"/>
      <x:name val="Carlito"/>
    </x:font>
    <x:font>
      <x:sz val="11"/>
      <x:color rgb="FF92400E"/>
      <x:name val="Carlito"/>
    </x:font>
    <x:font>
      <x:b/>
      <x:sz val="11"/>
      <x:color rgb="FF166534"/>
      <x:name val="Carlito"/>
    </x:font>
  </x:fonts>
  <x:fills count="10">
    <x:fill>
      <x:patternFill patternType="none"/>
    </x:fill>
    <x:fill>
      <x:patternFill patternType="gray125"/>
    </x:fill>
    <x:fill>
      <x:patternFill patternType="solid">
        <x:fgColor rgb="FF17324D"/>
      </x:patternFill>
    </x:fill>
    <x:fill>
      <x:patternFill patternType="solid">
        <x:fgColor rgb="FFEAF1F8"/>
      </x:patternFill>
    </x:fill>
    <x:fill>
      <x:patternFill patternType="solid">
        <x:fgColor rgb="FF087E8B"/>
      </x:patternFill>
    </x:fill>
    <x:fill>
      <x:patternFill patternType="solid">
        <x:fgColor rgb="FFF3F4F6"/>
      </x:patternFill>
    </x:fill>
    <x:fill>
      <x:patternFill patternType="solid">
        <x:fgColor rgb="FFFFFFFF"/>
      </x:patternFill>
    </x:fill>
    <x:fill>
      <x:patternFill patternType="solid">
        <x:fgColor rgb="FFDDF3F4"/>
      </x:patternFill>
    </x:fill>
    <x:fill>
      <x:patternFill patternType="solid">
        <x:fgColor rgb="FFFEF3C7"/>
      </x:patternFill>
    </x:fill>
    <x:fill>
      <x:patternFill patternType="solid">
        <x:fgColor rgb="FFDCFCE7"/>
      </x:patternFill>
    </x:fill>
  </x:fills>
  <x:borders count="5">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61">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vertical="center" wrapText="1"/>
    </x:xf>
    <x:xf numFmtId="0" fontId="1" fillId="2" borderId="2" xfId="0" applyNumberFormat="1" applyFont="1" applyFill="1" applyBorder="1" applyAlignment="1">
      <x:alignment vertical="center" wrapText="1"/>
    </x:xf>
    <x:xf numFmtId="0" fontId="1" fillId="2" borderId="3"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200"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6" fillId="6" borderId="0" xfId="0" applyNumberFormat="1" applyFont="1" applyFill="1" applyBorder="1"/>
    <x:xf numFmtId="205" fontId="6" fillId="6" borderId="0" xfId="0" applyNumberFormat="1" applyFont="1" applyFill="1" applyBorder="1"/>
    <x:xf numFmtId="202" fontId="6" fillId="6" borderId="0" xfId="0" applyNumberFormat="1" applyFont="1" applyFill="1" applyBorder="1"/>
    <x:xf numFmtId="0" fontId="4" fillId="4" borderId="4" xfId="0" applyNumberFormat="1" applyFont="1" applyFill="1" applyBorder="1" applyAlignment="1">
      <x:alignment vertical="center"/>
    </x:xf>
    <x:xf numFmtId="0" fontId="5" fillId="5" borderId="4" xfId="0" applyNumberFormat="1" applyFont="1" applyFill="1" applyBorder="1"/>
    <x:xf numFmtId="0" fontId="6" fillId="6" borderId="4" xfId="0" applyNumberFormat="1" applyFont="1" applyFill="1" applyBorder="1"/>
    <x:xf numFmtId="205" fontId="6" fillId="6" borderId="4" xfId="0" applyNumberFormat="1" applyFont="1" applyFill="1" applyBorder="1"/>
    <x:xf numFmtId="202" fontId="6" fillId="6" borderId="4"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7" fillId="7" borderId="0" xfId="0" applyNumberFormat="1" applyFont="1" applyFill="1" applyBorder="1" applyAlignment="1">
      <x:alignment vertical="top" wrapText="1"/>
    </x:xf>
    <x:xf numFmtId="0" fontId="8" fillId="5" borderId="0" xfId="0" applyNumberFormat="1" applyFont="1" applyFill="1" applyBorder="1"/>
    <x:xf numFmtId="201" fontId="0" fillId="0" borderId="0" xfId="0" applyNumberFormat="1" applyFont="1" applyFill="1" applyBorder="1"/>
    <x:xf numFmtId="0" fontId="1" fillId="2" borderId="4" xfId="0" applyNumberFormat="1" applyFont="1" applyFill="1" applyBorder="1" applyAlignment="1">
      <x:alignment vertical="center" wrapText="1"/>
    </x:xf>
    <x:xf numFmtId="0" fontId="8" fillId="5" borderId="4" xfId="0" applyNumberFormat="1" applyFont="1" applyFill="1" applyBorder="1"/>
    <x:xf numFmtId="201" fontId="0" fillId="0" borderId="4" xfId="0" applyNumberFormat="1" applyFont="1" applyFill="1" applyBorder="1"/>
    <x:xf numFmtId="0" fontId="0" fillId="0" borderId="4" xfId="0" applyNumberFormat="1" applyFont="1" applyFill="1" applyBorder="1"/>
    <x:xf numFmtId="202" fontId="0" fillId="0" borderId="4" xfId="0" applyNumberFormat="1" applyFont="1" applyFill="1" applyBorder="1"/>
    <x:xf numFmtId="202" fontId="0" fillId="0" borderId="1" xfId="0" applyNumberFormat="1" applyFont="1" applyFill="1" applyBorder="1"/>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top" wrapText="1"/>
    </x:xf>
    <x:xf numFmtId="0" fontId="6" fillId="3" borderId="0" xfId="0" applyNumberFormat="1" applyFont="1" applyFill="1" applyBorder="1"/>
    <x:xf numFmtId="205" fontId="0" fillId="0" borderId="0" xfId="0" applyNumberFormat="1" applyFont="1" applyFill="1" applyBorder="1"/>
    <x:xf numFmtId="0" fontId="6" fillId="3" borderId="4" xfId="0" applyNumberFormat="1" applyFont="1" applyFill="1" applyBorder="1"/>
    <x:xf numFmtId="205" fontId="0" fillId="0" borderId="4" xfId="0" applyNumberFormat="1" applyFont="1" applyFill="1" applyBorder="1"/>
    <x:xf numFmtId="0" fontId="0" fillId="9" borderId="0" xfId="0" applyNumberFormat="1" applyFont="1" applyFill="1" applyBorder="1"/>
    <x:xf numFmtId="0" fontId="10" fillId="9" borderId="0" xfId="0" applyNumberFormat="1" applyFont="1" applyFill="1" applyBorder="1"/>
  </x:cellXfs>
  <x:cellStyles count="1">
    <x:cellStyle name="Normal" xfId="0"/>
  </x:cellStyles>
  <x:dxfs count="3">
    <x:dxf>
      <x:font>
        <x:b/>
        <x:color rgb="FF166534"/>
      </x:font>
      <x:fill>
        <x:patternFill patternType="solid">
          <x:bgColor rgb="FFDCFCE7"/>
        </x:patternFill>
      </x:fill>
    </x:dxf>
    <x:dxf>
      <x:font>
        <x:b/>
        <x:color rgb="FF991B1B"/>
      </x:font>
      <x:fill>
        <x:patternFill patternType="solid">
          <x:bgColor rgb="FFFEE2E2"/>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2744de0b6e94fac" /><Relationship Type="http://schemas.openxmlformats.org/officeDocument/2006/relationships/theme" Target="/xl/theme/theme1.xml" Id="R1782bc1f515747f4" /><Relationship Type="http://schemas.openxmlformats.org/officeDocument/2006/relationships/sharedStrings" Target="/xl/sharedStrings.xml" Id="R09c99dc376a444b2" /><Relationship Type="http://schemas.openxmlformats.org/officeDocument/2006/relationships/worksheet" Target="/xl/worksheets/sheet1.xml" Id="Rfe47c74a9dab4d84" /><Relationship Type="http://schemas.openxmlformats.org/officeDocument/2006/relationships/worksheet" Target="/xl/worksheets/sheet2.xml" Id="R575cea8e0beb47db" /><Relationship Type="http://schemas.openxmlformats.org/officeDocument/2006/relationships/worksheet" Target="/xl/worksheets/sheet3.xml" Id="R0ceef18c492c4aef" /><Relationship Type="http://schemas.openxmlformats.org/officeDocument/2006/relationships/worksheet" Target="/xl/worksheets/sheet4.xml" Id="R7df205b87bca4274" /><Relationship Type="http://schemas.openxmlformats.org/officeDocument/2006/relationships/worksheet" Target="/xl/worksheets/sheet5.xml" Id="R374ac91d4f1746c8" /></Relationships>
</file>

<file path=xl/tables/table1.xml><?xml version="1.0" encoding="utf-8"?>
<x:table xmlns:x="http://schemas.openxmlformats.org/spreadsheetml/2006/main" id="1" name="ChineseReviewDraftsTable" displayName="ChineseReviewDraftsTable" ref="A1:G151" headerRowCount="1" totalsRowCount="0" totalsRowShown="0">
  <x:tableColumns count="7">
    <x:tableColumn id="1" name="Global order"/>
    <x:tableColumn id="2" name="Draft ID"/>
    <x:tableColumn id="3" name="Scenario ID"/>
    <x:tableColumn id="4" name="Category"/>
    <x:tableColumn id="5" name="Expected minimum"/>
    <x:tableColumn id="6" name="Expected maximum"/>
    <x:tableColumn id="7" name="Complete draft text"/>
  </x:tableColumns>
  <x:tableStyleInfo name="TableStyleMedium2" showFirstColumn="0" showLastColumn="0" showRowStripes="1" showColumnStripes="0"/>
</x:table>
</file>

<file path=xl/tables/table2.xml><?xml version="1.0" encoding="utf-8"?>
<x:table xmlns:x="http://schemas.openxmlformats.org/spreadsheetml/2006/main" id="2" name="ChineseReviewResultsTable" displayName="ChineseReviewResultsTable" ref="A1:AJ151" headerRowCount="1" totalsRowCount="0" totalsRowShown="0">
  <x:tableColumns count="36">
    <x:tableColumn id="1" name="Global order"/>
    <x:tableColumn id="2" name="Draft ID"/>
    <x:tableColumn id="3" name="Scenario ID"/>
    <x:tableColumn id="4" name="Category"/>
    <x:tableColumn id="5" name="Expected minimum"/>
    <x:tableColumn id="6" name="Expected maximum"/>
    <x:tableColumn id="7" name="Repeat"/>
    <x:tableColumn id="8" name="Actual overall score"/>
    <x:tableColumn id="9" name="Factual completeness"/>
    <x:tableColumn id="10" name="Structure"/>
    <x:tableColumn id="11" name="Clarity"/>
    <x:tableColumn id="12" name="Language quality"/>
    <x:tableColumn id="13" name="Professionalism"/>
    <x:tableColumn id="14" name="Attribution"/>
    <x:tableColumn id="15" name="Weighted score"/>
    <x:tableColumn id="16" name="Applied score cap"/>
    <x:tableColumn id="17" name="In expected range"/>
    <x:tableColumn id="18" name="Distance from range"/>
    <x:tableColumn id="19" name="Distance below"/>
    <x:tableColumn id="20" name="Distance above"/>
    <x:tableColumn id="21" name="Predicted category"/>
    <x:tableColumn id="22" name="Category correct"/>
    <x:tableColumn id="23" name="Readiness band"/>
    <x:tableColumn id="24" name="Decision"/>
    <x:tableColumn id="25" name="Pass score"/>
    <x:tableColumn id="26" name="Test status"/>
    <x:tableColumn id="27" name="Error type"/>
    <x:tableColumn id="28" name="Error code"/>
    <x:tableColumn id="29" name="Error message"/>
    <x:tableColumn id="30" name="Retry count"/>
    <x:tableColumn id="31" name="Response time (ms)"/>
    <x:tableColumn id="32" name="Model name"/>
    <x:tableColumn id="33" name="Test timestamp"/>
    <x:tableColumn id="34" name="HTTP status"/>
    <x:tableColumn id="35" name="Draft SHA-256"/>
    <x:tableColumn id="36" name="Reviewer SHA-256"/>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bdc34b64a94cbd" /></Relationships>
</file>

<file path=xl/worksheets/_rels/sheet2.xml.rels>&#65279;<?xml version="1.0" encoding="utf-8"?><Relationships xmlns="http://schemas.openxmlformats.org/package/2006/relationships"><Relationship Type="http://schemas.openxmlformats.org/officeDocument/2006/relationships/table" Target="/xl/tables/table2.xml" Id="R4b46d674537948b2"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6" hidden="0" customWidth="1"/>
    <x:col min="3" max="3" width="12" hidden="0" customWidth="1"/>
    <x:col min="4" max="4" width="18" hidden="0" customWidth="1"/>
    <x:col min="5" max="5" width="14" hidden="0" customWidth="1"/>
    <x:col min="6" max="6" width="14" hidden="0" customWidth="1"/>
    <x:col min="7" max="7" width="92" hidden="0" customWidth="1"/>
  </x:cols>
  <x:sheetData>
    <x:row r="1">
      <x:c r="A1" s="9" t="str">
        <x:v>Global order</x:v>
      </x:c>
      <x:c r="B1" s="10" t="str">
        <x:v>Draft ID</x:v>
      </x:c>
      <x:c r="C1" s="10" t="str">
        <x:v>Scenario ID</x:v>
      </x:c>
      <x:c r="D1" s="10" t="str">
        <x:v>Category</x:v>
      </x:c>
      <x:c r="E1" s="10" t="str">
        <x:v>Expected minimum</x:v>
      </x:c>
      <x:c r="F1" s="10" t="str">
        <x:v>Expected maximum</x:v>
      </x:c>
      <x:c r="G1" s="11" t="str">
        <x:v>Complete draft text</x:v>
      </x:c>
    </x:row>
    <x:row r="2" ht="92.4000015258789" hidden="0" customHeight="1">
      <x:c r="A2" s="15" t="str">
        <x:v>001</x:v>
      </x:c>
      <x:c r="B2" s="12" t="str">
        <x:v>ZH-EXCELLENT-001</x:v>
      </x:c>
      <x:c r="C2" s="15" t="str">
        <x:v>001</x:v>
      </x:c>
      <x:c r="D2" s="12" t="str">
        <x:v>Excellent</x:v>
      </x:c>
      <x:c r="E2" s="16" t="n">
        <x:v>85</x:v>
      </x:c>
      <x:c r="F2" s="16" t="n">
        <x:v>100</x:v>
      </x:c>
      <x:c r="G2" s="14" t="str">
        <x:v>港鐵東鐵綫今日上午八時許發生罕見信號系統故障，導致南北行列車服務嚴重延誤，大批上班族及學生於沿線各個月台滯留，人龍一度延伸至站外，部分乘客更因不耐煩而與職員發生口角。港鐵發言人解釋，故障源於大圍站附近的信號系統核心組件突然老化失靈，工程人員已於九時十五分完成緊急搶修，列車服務其後逐步回復正常。署理運輸及物流局局長對事件表示高度關注，強調港鐵必須徹查成因，並提交詳細報告，指出公共安全不容有失。受影響乘客可於車站客務中心辦理車資退款，港鐵亦會安排接駁巴士疏導人潮。立法會交通事務委員會委員批評港鐵近年事故頻生，促請政府加強監管機制，確保鐵路網絡的安全與穩定，避免同類事件重演，並要求港鐵管理層公開道歉及作出賠償。市民對此感到極度不滿，認為服務質素亟待改善，促請當局正視問題。</x:v>
      </x:c>
    </x:row>
    <x:row r="3" ht="79.19999694824219" hidden="0" customHeight="1">
      <x:c r="A3" s="15" t="str">
        <x:v>002</x:v>
      </x:c>
      <x:c r="B3" s="12" t="str">
        <x:v>ZH-EXCELLENT-002</x:v>
      </x:c>
      <x:c r="C3" s="15" t="str">
        <x:v>002</x:v>
      </x:c>
      <x:c r="D3" s="12" t="str">
        <x:v>Excellent</x:v>
      </x:c>
      <x:c r="E3" s="16" t="n">
        <x:v>85</x:v>
      </x:c>
      <x:c r="F3" s="16" t="n">
        <x:v>100</x:v>
      </x:c>
      <x:c r="G3" s="14" t="str">
        <x:v>房屋署今日正式宣布，位於屯門區的全新公共屋邨「屯門東邨」即日起開放予首批居民入伙，提供逾三千個單位以紓緩基層住屋壓力。該屋邨採用最新環保建築設計，配備太陽能板及雨水收集系統，並設有大型商場、街市及社區會堂等配套設施。房屋局局長主持開幕典禮時表示，新屋邨落成標誌著政府解決房屋問題的決心，未來將繼續加快建屋步伐。首批入伙的居民對居住環境表示滿意，尤其讚賞屋邨內綠化空間充足，適合一家大小居住。不過，有社區團體指出，屋邨周邊的交通網絡仍未能完全應付新增的人口，促請運輸署盡快增設巴士路線及優化小巴服務，以免居民出行受阻。房屋署回應指，已與運輸部門緊密協調，確保交通配套逐步完善。</x:v>
      </x:c>
    </x:row>
    <x:row r="4" ht="79.19999694824219" hidden="0" customHeight="1">
      <x:c r="A4" s="15" t="str">
        <x:v>003</x:v>
      </x:c>
      <x:c r="B4" s="12" t="str">
        <x:v>ZH-EXCELLENT-003</x:v>
      </x:c>
      <x:c r="C4" s="15" t="str">
        <x:v>003</x:v>
      </x:c>
      <x:c r="D4" s="12" t="str">
        <x:v>Excellent</x:v>
      </x:c>
      <x:c r="E4" s="16" t="n">
        <x:v>85</x:v>
      </x:c>
      <x:c r="F4" s="16" t="n">
        <x:v>100</x:v>
      </x:c>
      <x:c r="G4" s="14" t="str">
        <x:v>天文台今日下午二時四十分發出八號西北烈風或暴風信號，預料本港風勢將進一步增強，沿岸地區會出現大浪及涌浪。教育局隨即宣布全港學校停課，僱主亦應按勞工處指引安排僱員的工作安排。民政事務總署已於各區開放臨時庇護中心，供有需要的市民入住。政府發言人呼籲市民切勿前往岸邊活動，並盡快將窗戶及室外物品固定，以防意外發生。機場管理局表示，受颱風影響，今日已有逾百班航班取消或延誤，呼籲旅客密切留意航空公司的最新公布。市面交通大致維持有限度服務，港鐵及專營巴士如常運作，但部分渡輪航線已告停航。立法會議員提醒市民做好防風措施，確保自身及家人安全，並促請政府加強巡查水浸黑點，防患於未然。</x:v>
      </x:c>
    </x:row>
    <x:row r="5" ht="79.19999694824219" hidden="0" customHeight="1">
      <x:c r="A5" s="15" t="str">
        <x:v>004</x:v>
      </x:c>
      <x:c r="B5" s="12" t="str">
        <x:v>ZH-EXCELLENT-004</x:v>
      </x:c>
      <x:c r="C5" s="15" t="str">
        <x:v>004</x:v>
      </x:c>
      <x:c r="D5" s="12" t="str">
        <x:v>Excellent</x:v>
      </x:c>
      <x:c r="E5" s="16" t="n">
        <x:v>85</x:v>
      </x:c>
      <x:c r="F5" s="16" t="n">
        <x:v>100</x:v>
      </x:c>
      <x:c r="G5" s="14" t="str">
        <x:v>食物環境衞生署今日聯同警方在旺角區展開大規模聯合執法行動，嚴厲打擊非法街頭擺賣及無牌小販活動，以恢復區內環境衞生及通道暢通。行動中共檢獲逾百件貨物及多部手推車，並向多名違規人士發出定額罰款通知書。食環署發言人表示，無牌小販不僅阻礙行人，更帶來嚴重的衞生隱患，署方將持續採取零容忍態度，加強巡查及執法力度。區議會委員對行動表示支持，認為此舉能有效改善旺角一帶的市容，並促請政府研究設立合法的小販墟市，以平衡基層生計與社區環境。有商戶歡迎執法行動，指小販長期霸佔街道導致生意受損，期望當局能長遠解決問題。警方強調，將繼續與相關部門合作，維護公眾秩序及法治。</x:v>
      </x:c>
    </x:row>
    <x:row r="6" ht="79.19999694824219" hidden="0" customHeight="1">
      <x:c r="A6" s="15" t="str">
        <x:v>005</x:v>
      </x:c>
      <x:c r="B6" s="12" t="str">
        <x:v>ZH-EXCELLENT-005</x:v>
      </x:c>
      <x:c r="C6" s="15" t="str">
        <x:v>005</x:v>
      </x:c>
      <x:c r="D6" s="12" t="str">
        <x:v>Excellent</x:v>
      </x:c>
      <x:c r="E6" s="16" t="n">
        <x:v>85</x:v>
      </x:c>
      <x:c r="F6" s="16" t="n">
        <x:v>100</x:v>
      </x:c>
      <x:c r="G6" s="14" t="str">
        <x:v>水務署今日宣布，沙田區部分大廈因地下主水管突然爆裂，導致食水供應中斷，影響逾萬名居民。工程人員已於凌晨緊急截停漏水點，並展開搶修工作，預計今日傍晚前可逐步恢復供水。為減低對居民的影響，水務署已安排多輛水車及街喉提供臨時食水供應，並呼籲受影響住戶節約用水。民政事務處亦派員到現場協助長者及行動不便人士取水。區議員對事件表示關注，批評區內水管老化問題嚴重，促請水務署加快更換老舊管網，避免同類事故再次發生。水務署回應指，已制定全港性水管更換計劃，並會優先處理高風險區域。受影響居民對停水表示無奈，期望工程人員能盡快完成搶修，早日恢復正常供水。</x:v>
      </x:c>
    </x:row>
    <x:row r="7" ht="79.19999694824219" hidden="0" customHeight="1">
      <x:c r="A7" s="15" t="str">
        <x:v>006</x:v>
      </x:c>
      <x:c r="B7" s="12" t="str">
        <x:v>ZH-EXCELLENT-006</x:v>
      </x:c>
      <x:c r="C7" s="15" t="str">
        <x:v>006</x:v>
      </x:c>
      <x:c r="D7" s="12" t="str">
        <x:v>Excellent</x:v>
      </x:c>
      <x:c r="E7" s="16" t="n">
        <x:v>85</x:v>
      </x:c>
      <x:c r="F7" s="16" t="n">
        <x:v>100</x:v>
      </x:c>
      <x:c r="G7" s="14" t="str">
        <x:v>二十國集團峰會今日於日內瓦圓滿結束，各國領袖就應對氣候變化及推動全球經濟復甦達成共識，並簽署聯合公報。公報承諾各國將大幅增加對可再生能源的投資，並設立專項基金協助發展中國家進行綠色轉型。峰會東道主表示，此次會議成果豐碩，展現了國際社會團結合作的決心。聯合國秘書長對公報表示歡迎，強調落實承諾是關鍵，呼籲各國盡快將協議轉化為具體政策。本港環保團體對峰會結果感到鼓舞，認為這將帶動全球減碳進程，並促請特區政府借鑒國際經驗，加快制定本港的碳中和路線圖。財經界人士則指出，綠色金融將迎來巨大機遇，本港應把握時機鞏固作為國際綠色金融中心的地位。</x:v>
      </x:c>
    </x:row>
    <x:row r="8" ht="79.19999694824219" hidden="0" customHeight="1">
      <x:c r="A8" s="15" t="str">
        <x:v>007</x:v>
      </x:c>
      <x:c r="B8" s="12" t="str">
        <x:v>ZH-EXCELLENT-007</x:v>
      </x:c>
      <x:c r="C8" s="15" t="str">
        <x:v>007</x:v>
      </x:c>
      <x:c r="D8" s="12" t="str">
        <x:v>Excellent</x:v>
      </x:c>
      <x:c r="E8" s="16" t="n">
        <x:v>85</x:v>
      </x:c>
      <x:c r="F8" s="16" t="n">
        <x:v>100</x:v>
      </x:c>
      <x:c r="G8" s="14" t="str">
        <x:v>日本本州東部沿海地區今日清晨發生黎克特制七點二級強烈地震，當局一度發出海嘯警報，呼籲沿岸居民緊急撤離。地震造成多地建築物搖晃，部分地區出現停電及交通中斷，新幹線服務亦一度暫停。日本氣象廳其後解除海嘯警報，指海嘯高度低於預期，未造成嚴重破壞。內閣官房長官召開記者會，確認目前未有重大傷亡報告，並指示自衛隊及救援人員全面戒備，應對可能發生的餘震。本港保安局表示，已透過外交部駐港特派員公署了解情況，目前未收到港人在當地受傷或求助的個案，呼籲在日港人注意安全，並留意當地政府發布的最新資訊。旅遊業界指，部分赴日旅行團已調整行程，避開受影響地區。</x:v>
      </x:c>
    </x:row>
    <x:row r="9" ht="79.19999694824219" hidden="0" customHeight="1">
      <x:c r="A9" s="15" t="str">
        <x:v>008</x:v>
      </x:c>
      <x:c r="B9" s="12" t="str">
        <x:v>ZH-EXCELLENT-008</x:v>
      </x:c>
      <x:c r="C9" s="15" t="str">
        <x:v>008</x:v>
      </x:c>
      <x:c r="D9" s="12" t="str">
        <x:v>Excellent</x:v>
      </x:c>
      <x:c r="E9" s="16" t="n">
        <x:v>85</x:v>
      </x:c>
      <x:c r="F9" s="16" t="n">
        <x:v>100</x:v>
      </x:c>
      <x:c r="G9" s="14" t="str">
        <x:v>國際貿易組織今日宣布，兩大經濟體已就長期貿易爭端達成初步協議，同意互相撤銷部分懲罰性關稅，以促進全球供應鏈穩定。根據協議，雙方將分階段降低對農產品及高科技組件的進口壁壘，並設立聯合委員會監督執行。此舉被視為緩和全球貿易緊張局勢的重要里程碑，國際股市隨即作出正面反應，相關出口板塊股價普遍上揚。本港總商會歡迎協議達成，認為這將有助降低本港企業的進口成本，並提振轉口貿易。經濟學者指出，雖然關稅壁壘減少，但地緣政治風險依然存在，企業仍需分散市場以降低風險。政府發言人表示，將密切監察協議對本港經濟的影響，並適時推出支援措施，協助中小企開拓海外市場。</x:v>
      </x:c>
    </x:row>
    <x:row r="10" ht="66" hidden="0" customHeight="1">
      <x:c r="A10" s="15" t="str">
        <x:v>009</x:v>
      </x:c>
      <x:c r="B10" s="12" t="str">
        <x:v>ZH-EXCELLENT-009</x:v>
      </x:c>
      <x:c r="C10" s="15" t="str">
        <x:v>009</x:v>
      </x:c>
      <x:c r="D10" s="12" t="str">
        <x:v>Excellent</x:v>
      </x:c>
      <x:c r="E10" s="16" t="n">
        <x:v>85</x:v>
      </x:c>
      <x:c r="F10" s="16" t="n">
        <x:v>100</x:v>
      </x:c>
      <x:c r="G10" s="14" t="str">
        <x:v>聯合國安理會今日一致通過決議，授權向中東衝突地區增派維和部隊，以監督停火協議的落實並保護平民安全。決議草案由多國聯合提案，強調必須透過政治途徑解決爭端，並呼籲各方立即停止敵對行動。聯合國秘書長對決議獲通過表示歡迎，指這為該地區帶來和平曙光，並承諾將盡快部署人員。本港國際關係學者分析，此次決議反映了國際社會對人道危機的深切關注，但維和行動的成效仍取決於衝突各方的合作意願。特區政府表示，支持聯合國維護國際和平與安全的努力，並已撥款捐助相關人道救援機構，為受影響平民提供緊急物資及醫療援助。</x:v>
      </x:c>
    </x:row>
    <x:row r="11" ht="79.19999694824219" hidden="0" customHeight="1">
      <x:c r="A11" s="15" t="str">
        <x:v>010</x:v>
      </x:c>
      <x:c r="B11" s="12" t="str">
        <x:v>ZH-EXCELLENT-010</x:v>
      </x:c>
      <x:c r="C11" s="15" t="str">
        <x:v>010</x:v>
      </x:c>
      <x:c r="D11" s="12" t="str">
        <x:v>Excellent</x:v>
      </x:c>
      <x:c r="E11" s="16" t="n">
        <x:v>85</x:v>
      </x:c>
      <x:c r="F11" s="16" t="n">
        <x:v>100</x:v>
      </x:c>
      <x:c r="G11" s="14" t="str">
        <x:v>國際民用航空組織今日於瑞士日內瓦簽署全球航空安全新協定，旨在統一各國的無人機監管標準及加強跨境航班的安全合作。協定規定各成員國必須建立統一的無人機註冊系統，並共享航班安全數據，以應對日益複雜的航空威脅。民航處發言人表示，本港將積極配合協定要求，預計明年完成相關法例修訂，確保本港航空安全標準與國際接軌。航空業內人士歡迎新協定，認為這將有助提升全球航空網絡的保安水平，並減少因標準不一而導致的航班延誤。立法會交通事務委員會委員促請政府加快立法程序，並加強公眾教育，讓市民了解無人機的新規管要求，確保航空安全及私隱得到充分保障。</x:v>
      </x:c>
    </x:row>
    <x:row r="12" ht="79.19999694824219" hidden="0" customHeight="1">
      <x:c r="A12" s="15" t="str">
        <x:v>011</x:v>
      </x:c>
      <x:c r="B12" s="12" t="str">
        <x:v>ZH-EXCELLENT-011</x:v>
      </x:c>
      <x:c r="C12" s="15" t="str">
        <x:v>011</x:v>
      </x:c>
      <x:c r="D12" s="12" t="str">
        <x:v>Excellent</x:v>
      </x:c>
      <x:c r="E12" s="16" t="n">
        <x:v>85</x:v>
      </x:c>
      <x:c r="F12" s="16" t="n">
        <x:v>100</x:v>
      </x:c>
      <x:c r="G12" s="14" t="str">
        <x:v>本地科技初創企業今日宣布成功研發全港首部人工智能輔助診斷系統，並獲醫院管理局批准於公立醫院進行臨床測試。該系統能透過分析病人病歷及影像數據，於數秒內提供診斷建議，準確率高達九成半，有望大幅縮短專科門診的輪候時間。研發團隊表示，系統已通過多項國際安全認證，並強調其設計僅作為醫生參考，不會取代專業判斷。醫管局發言人歡迎創新科技應用，指這將有效提升醫療效率及質素。業界專家認為，此舉標誌着本港智慧醫療發展邁進一大步，並促請政府增加撥款，支援更多醫療科技研發項目。病人組織對此表示期待，期望系統能盡快普及，讓更多病人受惠。</x:v>
      </x:c>
    </x:row>
    <x:row r="13" ht="79.19999694824219" hidden="0" customHeight="1">
      <x:c r="A13" s="15" t="str">
        <x:v>012</x:v>
      </x:c>
      <x:c r="B13" s="12" t="str">
        <x:v>ZH-EXCELLENT-012</x:v>
      </x:c>
      <x:c r="C13" s="15" t="str">
        <x:v>012</x:v>
      </x:c>
      <x:c r="D13" s="12" t="str">
        <x:v>Excellent</x:v>
      </x:c>
      <x:c r="E13" s="16" t="n">
        <x:v>85</x:v>
      </x:c>
      <x:c r="F13" s="16" t="n">
        <x:v>100</x:v>
      </x:c>
      <x:c r="G13" s="14" t="str">
        <x:v>本港大型電訊商「NetCom」今日承認遭遇嚴重網絡攻擊，導致逾百萬客戶的個人資料外洩，包括姓名、身份證號碼及聯絡方式。公司發言人表示，已即時切斷受影響伺服器的連接，並報交警方網絡安全及科技罪案調查科跟進。個人資料私隱專員公署已介入調查，並要求NetCom詳細交代事件及提交改善方案。公署呼籲受影響市民提高警覺，防範詐騙電話及釣魚電郵。立法會資訊科技及廣播事務委員會委員批評該公司保安系統存在漏洞，促請政府加強對關鍵基礎設施的網絡安全監管。NetCom承諾將為受影響客戶提供免費的信用監察服務，並全面檢討現有保安架構，防止同類事件再次發生。</x:v>
      </x:c>
    </x:row>
    <x:row r="14" ht="66" hidden="0" customHeight="1">
      <x:c r="A14" s="15" t="str">
        <x:v>013</x:v>
      </x:c>
      <x:c r="B14" s="12" t="str">
        <x:v>ZH-EXCELLENT-013</x:v>
      </x:c>
      <x:c r="C14" s="15" t="str">
        <x:v>013</x:v>
      </x:c>
      <x:c r="D14" s="12" t="str">
        <x:v>Excellent</x:v>
      </x:c>
      <x:c r="E14" s="16" t="n">
        <x:v>85</x:v>
      </x:c>
      <x:c r="F14" s="16" t="n">
        <x:v>100</x:v>
      </x:c>
      <x:c r="G14" s="14" t="str">
        <x:v>通訊事務管理局辦公室今日宣布，九龍區五個核心商業區的5G網絡鋪設工程已全面竣工，標誌著本港5G覆蓋率達到九成以上。新網絡將為區內企業提供更高速、低延遲的通訊服務，助力推動智慧城市及物聯網發展。電訊商代表表示，5G網絡的普及將大幅提升自動駕駛、遠程醫療及虛擬實境等創新應用的可行性。政府發言人指出，5G基建是本港數字經濟轉型的關鍵，未來將繼續推進偏遠地區的網絡覆蓋。商界對5G全面覆蓋表示歡迎，認為這將提升本港的國際競爭力，並呼籲政府提供更多誘因，鼓勵企業投資5G應用研發，以充分發揮新基建的經濟效益。</x:v>
      </x:c>
    </x:row>
    <x:row r="15" ht="79.19999694824219" hidden="0" customHeight="1">
      <x:c r="A15" s="15" t="str">
        <x:v>014</x:v>
      </x:c>
      <x:c r="B15" s="12" t="str">
        <x:v>ZH-EXCELLENT-014</x:v>
      </x:c>
      <x:c r="C15" s="15" t="str">
        <x:v>014</x:v>
      </x:c>
      <x:c r="D15" s="12" t="str">
        <x:v>Excellent</x:v>
      </x:c>
      <x:c r="E15" s="16" t="n">
        <x:v>85</x:v>
      </x:c>
      <x:c r="F15" s="16" t="n">
        <x:v>100</x:v>
      </x:c>
      <x:c r="G15" s="14" t="str">
        <x:v>國際知名科技巨頭今日於本港舉行亞洲區發布會，正式推出最新一代摺疊屏幕智能手機，主打輕薄設計及多工處理功能。新機採用全新鉸鏈技術，解決了以往屏幕易摺損的問題，並配備最新人工智能晶片，大幅提升影像處理效能。公司亞太區總裁表示，本港作為亞洲科技樞紐，是發布新產品的理想地點，預計新機將帶動區內換機潮。本地電訊商隨即宣布推出多款5G上台優惠，吸引消費者搶先預訂。消費者委員會提醒市民，購買新機時應留意保養條款及屏幕維修費用，避免日後產生糾紛。科技評論員認為，摺疊手機技術已漸趨成熟，但高昂售價仍是普及的一大阻礙，市場仍需時間驗證。</x:v>
      </x:c>
    </x:row>
    <x:row r="16" ht="79.19999694824219" hidden="0" customHeight="1">
      <x:c r="A16" s="15" t="str">
        <x:v>015</x:v>
      </x:c>
      <x:c r="B16" s="12" t="str">
        <x:v>ZH-EXCELLENT-015</x:v>
      </x:c>
      <x:c r="C16" s="15" t="str">
        <x:v>015</x:v>
      </x:c>
      <x:c r="D16" s="12" t="str">
        <x:v>Excellent</x:v>
      </x:c>
      <x:c r="E16" s="16" t="n">
        <x:v>85</x:v>
      </x:c>
      <x:c r="F16" s="16" t="n">
        <x:v>100</x:v>
      </x:c>
      <x:c r="G16" s="14" t="str">
        <x:v>運輸署與科技園公司合作，今日正式啟動全港首個自動駕駛巴士試驗計劃，於科學園內提供免費接駁服務。試驗車隊配備多部雷射雷達及高精度鏡頭，能自動偵測障礙物及行人，確保行車安全。運輸署發言人表示，試驗計劃旨在收集實際路面數據，為未來制定自動駕駛車輛的法規及標準提供依據。科學園行政總裁歡迎計劃落實，指這將提升園區的交通配套，並展現本港推動創科應用的決心。有乘客試乘後讚揚車程平穩，但亦有市民對無人駕駛技術的安全性存疑，促請當局加強監管及透明度。立法會議員建議政府逐步擴大試驗範圍，並加強公眾教育，以建立市民對自動駕駛技術的信心。</x:v>
      </x:c>
    </x:row>
    <x:row r="17" ht="79.19999694824219" hidden="0" customHeight="1">
      <x:c r="A17" s="15" t="str">
        <x:v>016</x:v>
      </x:c>
      <x:c r="B17" s="12" t="str">
        <x:v>ZH-EXCELLENT-016</x:v>
      </x:c>
      <x:c r="C17" s="15" t="str">
        <x:v>016</x:v>
      </x:c>
      <x:c r="D17" s="12" t="str">
        <x:v>Excellent</x:v>
      </x:c>
      <x:c r="E17" s="16" t="n">
        <x:v>85</x:v>
      </x:c>
      <x:c r="F17" s="16" t="n">
        <x:v>100</x:v>
      </x:c>
      <x:c r="G17" s="14" t="str">
        <x:v>衞生防護中心今日確認本港出現首宗新型流感變異病毒感染個案，患者為一名有外遊記錄的年輕男子，目前情況穩定。中心已將病毒樣本送往世衞組織參考實驗室作進一步分析，並即時啟動應變機制，加強口岸體溫檢測及社區監察。衞生署署長呼籲市民無需恐慌，但應保持良好個人衞生習慣，並盡早接種季節性流感疫苗。醫院管理局表示，已備有充足抗病毒藥物及隔離病床，以應對可能出現的爆發。傳染病專家指出，新變異病毒的傳播力似乎較強，但致病力未見明顯增加，當局需密切監察變異情況。政府承諾將加快疫苗採購及分發，確保高危群組得到優先保護。</x:v>
      </x:c>
    </x:row>
    <x:row r="18" ht="79.19999694824219" hidden="0" customHeight="1">
      <x:c r="A18" s="15" t="str">
        <x:v>017</x:v>
      </x:c>
      <x:c r="B18" s="12" t="str">
        <x:v>ZH-EXCELLENT-017</x:v>
      </x:c>
      <x:c r="C18" s="15" t="str">
        <x:v>017</x:v>
      </x:c>
      <x:c r="D18" s="12" t="str">
        <x:v>Excellent</x:v>
      </x:c>
      <x:c r="E18" s="16" t="n">
        <x:v>85</x:v>
      </x:c>
      <x:c r="F18" s="16" t="n">
        <x:v>100</x:v>
      </x:c>
      <x:c r="G18" s="14" t="str">
        <x:v>醫院管理局今日公布最新數據，顯示公立醫院急症室過去一周的平均輪候時間創下三年新高，部分醫院更需輪候逾八小時才能獲得診治。醫管局解釋，冬季流感高峰期加上氣溫驟降，導致求診人數激增，前線醫護人員承受巨大壓力。為紓緩擠塞，醫管局已調撥額外資源增設夜間門診，並呼籲病情輕微的市民向私家醫生求診。立法會衞生事務委員會委員對輪候時間過長表示關注，促請政府增加醫療撥款及改善醫護人手流失問題。病人組織批評公營醫療系統長期超負荷，要求當局正視結構性問題，而非僅靠短期措施應急。醫管局承諾將持續檢討服務流程，務求提升急症室效率。</x:v>
      </x:c>
    </x:row>
    <x:row r="19" ht="79.19999694824219" hidden="0" customHeight="1">
      <x:c r="A19" s="15" t="str">
        <x:v>018</x:v>
      </x:c>
      <x:c r="B19" s="12" t="str">
        <x:v>ZH-EXCELLENT-018</x:v>
      </x:c>
      <x:c r="C19" s="15" t="str">
        <x:v>018</x:v>
      </x:c>
      <x:c r="D19" s="12" t="str">
        <x:v>Excellent</x:v>
      </x:c>
      <x:c r="E19" s="16" t="n">
        <x:v>85</x:v>
      </x:c>
      <x:c r="F19" s="16" t="n">
        <x:v>100</x:v>
      </x:c>
      <x:c r="G19" s="14" t="str">
        <x:v>醫務衞生局今日宣布收緊美容業監管條例，規定所有涉及侵入性程序的醫學美容服務必須由註冊醫生主理或監督，違者將面臨重罰及吊銷牌照。新例旨在打擊非法行醫及保障消費者安全，將於明年一月起正式實施。美容業商會對新例表示支持，認為這有助提升行業專業水平及重建公眾信心。消費者委員會歡迎政府加強監管，指過去多年接獲大量涉及美容陷阱及醫療事故的投訴，新例將有效保障市民權益。立法會議員促請當局加強巡查及執法，並設立舉報熱線，確保新法例得到嚴格執行。業界人士預計，新例實施後將淘汰部分不合規的小型美容中心，促進行業整合。</x:v>
      </x:c>
    </x:row>
    <x:row r="20" ht="79.19999694824219" hidden="0" customHeight="1">
      <x:c r="A20" s="15" t="str">
        <x:v>019</x:v>
      </x:c>
      <x:c r="B20" s="12" t="str">
        <x:v>ZH-EXCELLENT-019</x:v>
      </x:c>
      <x:c r="C20" s="15" t="str">
        <x:v>019</x:v>
      </x:c>
      <x:c r="D20" s="12" t="str">
        <x:v>Excellent</x:v>
      </x:c>
      <x:c r="E20" s="16" t="n">
        <x:v>85</x:v>
      </x:c>
      <x:c r="F20" s="16" t="n">
        <x:v>100</x:v>
      </x:c>
      <x:c r="G20" s="14" t="str">
        <x:v>香港大學醫學院研究團隊今日在國際權威期刊發表突破性研究成果，成功研發出一種新型血液檢測技術，能於阿爾茨海默症早期階段準確診斷出病情，準確率逾九成。研究指出，傳統診斷方法依賴腦部掃描，費用高昂且耗時，新技術只需抽取少量血液，大幅降低檢測門檻及成本。港大表示，團隊正與醫管局合作，準備於公立醫院進行大規模臨床測試。衞生署對研究結果表示歡迎，認為這將有助及早介入治療，延緩患者認知能力衰退。病人家屬組織對此充滿期待，期望新技術能盡快普及，減輕照顧者的沉重負擔。業界專家指，此項突破標誌着本港生物醫學研究達到世界領先水平。</x:v>
      </x:c>
    </x:row>
    <x:row r="21" ht="79.19999694824219" hidden="0" customHeight="1">
      <x:c r="A21" s="15" t="str">
        <x:v>020</x:v>
      </x:c>
      <x:c r="B21" s="12" t="str">
        <x:v>ZH-EXCELLENT-020</x:v>
      </x:c>
      <x:c r="C21" s="15" t="str">
        <x:v>020</x:v>
      </x:c>
      <x:c r="D21" s="12" t="str">
        <x:v>Excellent</x:v>
      </x:c>
      <x:c r="E21" s="16" t="n">
        <x:v>85</x:v>
      </x:c>
      <x:c r="F21" s="16" t="n">
        <x:v>100</x:v>
      </x:c>
      <x:c r="G21" s="14" t="str">
        <x:v>衞生防護中心今日公布，黃大仙區出現登革熱群組爆發，過去兩周錄得五宗本地個案，患者均曾到訪區內某公園。中心已派員到現場進行滅蚊及環境消毒，並呼籲附近居民清除積水容器，以防蚊患滋生。食環署表示，已加強區內的滅蚊行動，並增設誘蚊器監察蚊蟲密度。傳染病專家提醒市民，登革熱可引致嚴重併發症，必須做好防蚊措施，如穿着長袖衣物及使用驅蚊劑。區議會委員促請政府改善公園排水系統，並加強環境衞生巡查，從源頭杜絕蚊患。政府發言人強調，將密切監察疫情發展，並與區議會及社區組織合作，展開全港性的防蚊宣傳運動，保障公眾健康。</x:v>
      </x:c>
    </x:row>
    <x:row r="22" ht="79.19999694824219" hidden="0" customHeight="1">
      <x:c r="A22" s="15" t="str">
        <x:v>021</x:v>
      </x:c>
      <x:c r="B22" s="12" t="str">
        <x:v>ZH-EXCELLENT-021</x:v>
      </x:c>
      <x:c r="C22" s="15" t="str">
        <x:v>021</x:v>
      </x:c>
      <x:c r="D22" s="12" t="str">
        <x:v>Excellent</x:v>
      </x:c>
      <x:c r="E22" s="16" t="n">
        <x:v>85</x:v>
      </x:c>
      <x:c r="F22" s="16" t="n">
        <x:v>100</x:v>
      </x:c>
      <x:c r="G22" s="14" t="str">
        <x:v>本港大型零售集團「恒輝百貨」今日公布第三季度業績，純利按年大跌三成，主要受內地旅客消費模式改變及本地消費意欲疲弱影響。集團主席表示，面對嚴峻營商環境，將關閉部分表現欠佳的門市，並加大投資於電商平台，推動線上線下融合。財經分析員指出，傳統零售業正面臨結構性挑戰，必須加快數碼轉型才能生存。政府發言人表示，理解零售業面對的困難，將推出新一輪消費券計劃以提振內需。商會呼籲業主體恤租戶，適時減租以共渡時艱。恒輝百貨預計，下半年市道仍將充滿挑戰，但對長遠前景保持審慎樂觀，並承諾將繼續優化產品組合，以迎合本地消費者的需求。</x:v>
      </x:c>
    </x:row>
    <x:row r="23" ht="79.19999694824219" hidden="0" customHeight="1">
      <x:c r="A23" s="15" t="str">
        <x:v>022</x:v>
      </x:c>
      <x:c r="B23" s="12" t="str">
        <x:v>ZH-EXCELLENT-022</x:v>
      </x:c>
      <x:c r="C23" s="15" t="str">
        <x:v>022</x:v>
      </x:c>
      <x:c r="D23" s="12" t="str">
        <x:v>Excellent</x:v>
      </x:c>
      <x:c r="E23" s="16" t="n">
        <x:v>85</x:v>
      </x:c>
      <x:c r="F23" s="16" t="n">
        <x:v>100</x:v>
      </x:c>
      <x:c r="G23" s="14" t="str">
        <x:v>財政司司長今日宣布推出新一輪綠色科技稅務優惠，凡投資於碳中和技術及可再生能源的本地企業，可獲高達兩倍的利得稅扣減。新措施旨在鼓勵企業加速綠色轉型，配合國家及全球的減碳目標。稅務局表示，將簡化申請程序，確保企業能盡早享用優惠。商界對此反應熱烈，認為這將大幅提升本港對綠色科技投資的吸引力。環保團體歡迎新措施，但促請政府設立明確的審查機制，防止企業「漂綠」行為。立法會議員建議政府進一步擴大優惠範圍，涵蓋綠色建築及電動交通工具，以全面推動可持續發展。政府承諾將定期檢討政策成效，並適時推出更多支援措施，鞏固本港作為亞洲綠色金融中心的地位。</x:v>
      </x:c>
    </x:row>
    <x:row r="24" ht="79.19999694824219" hidden="0" customHeight="1">
      <x:c r="A24" s="15" t="str">
        <x:v>023</x:v>
      </x:c>
      <x:c r="B24" s="12" t="str">
        <x:v>ZH-EXCELLENT-023</x:v>
      </x:c>
      <x:c r="C24" s="15" t="str">
        <x:v>023</x:v>
      </x:c>
      <x:c r="D24" s="12" t="str">
        <x:v>Excellent</x:v>
      </x:c>
      <x:c r="E24" s="16" t="n">
        <x:v>85</x:v>
      </x:c>
      <x:c r="F24" s="16" t="n">
        <x:v>100</x:v>
      </x:c>
      <x:c r="G24" s="14" t="str">
        <x:v>政府統計處今日公布最新勞動人口數據，本港經季節性調整的失業率跌至百分之三點一，創下三年以來新低，顯示就業市場持續復甦。數據顯示，零售、住宿及餐飲服務業的就業人數增長最為顯著，反映通關後旅遊及消費活動帶動職位需求。勞工及福利局局長表示，政府將繼續推出再就業津貼及培訓計劃，協助失業人士重返職場。人力資源專家指出，雖然整體失業率下降，但部分基層職位仍面臨人手短缺問題，建議企業改善薪酬福利以吸引人才。商會歡迎就業市場好轉，但提醒僱主需關注通脹對員工生活成本的影響，適時調整薪金。政府承諾將密切監察勞工市場變化，確保就業穩定。</x:v>
      </x:c>
    </x:row>
    <x:row r="25" ht="79.19999694824219" hidden="0" customHeight="1">
      <x:c r="A25" s="15" t="str">
        <x:v>024</x:v>
      </x:c>
      <x:c r="B25" s="12" t="str">
        <x:v>ZH-EXCELLENT-024</x:v>
      </x:c>
      <x:c r="C25" s="15" t="str">
        <x:v>024</x:v>
      </x:c>
      <x:c r="D25" s="12" t="str">
        <x:v>Excellent</x:v>
      </x:c>
      <x:c r="E25" s="16" t="n">
        <x:v>85</x:v>
      </x:c>
      <x:c r="F25" s="16" t="n">
        <x:v>100</x:v>
      </x:c>
      <x:c r="G25" s="14" t="str">
        <x:v>本港著名主題公園今日宣布啟動歷來最大規模的擴建計劃，投資逾百億元增設全新機動遊戲及互動體驗區，預計二零三零年分階段落成。公園行政總裁表示，擴建將引入全球首創的虛擬實境過山車，並擴建主題酒店，以提升遊客體驗及延長逗留時間。旅遊發展局歡迎計劃，認為這將增強本港作為國際旅遊樞紐的吸引力，並帶動周邊產業發展。立法會經濟事務委員會委員促請政府優化交通配套，以應付未來新增的客流。環保團體則關注擴建工程對周邊生態的影響，要求公園進行嚴格的環境評估。公園承諾將採用環保建築標準，並設立生態保育基金，確保發展與環保並重。</x:v>
      </x:c>
    </x:row>
    <x:row r="26" ht="79.19999694824219" hidden="0" customHeight="1">
      <x:c r="A26" s="15" t="str">
        <x:v>025</x:v>
      </x:c>
      <x:c r="B26" s="12" t="str">
        <x:v>ZH-EXCELLENT-025</x:v>
      </x:c>
      <x:c r="C26" s="15" t="str">
        <x:v>025</x:v>
      </x:c>
      <x:c r="D26" s="12" t="str">
        <x:v>Excellent</x:v>
      </x:c>
      <x:c r="E26" s="16" t="n">
        <x:v>85</x:v>
      </x:c>
      <x:c r="F26" s="16" t="n">
        <x:v>100</x:v>
      </x:c>
      <x:c r="G26" s="14" t="str">
        <x:v>本地股市今日下午開市後突現閃電式下跌，恆生指數於十五分鐘內急挫逾千點，其後在權重股帶動下迅速收復失地，最終僅微跌收市。證券及期貨事務監察委員會表示，已即時啟動監察機制，初步調查未發現異常交易或市場操縱行為，懷疑是程式交易引發的連鎖反應。交易所發言人強調，市場基礎設施運作正常，流動性充足。財經界人士指出，閃電崩盤反映高頻交易在極端市況下的風險，建議監管機構檢討相關機制。投資者協會呼籲散戶保持冷靜，避免盲目追沽。政府發言人表示，本港金融系統穩健，有能力抵禦市場波動，並將與國際監管機構合作，提升市場抗逆力。</x:v>
      </x:c>
    </x:row>
    <x:row r="27" ht="79.19999694824219" hidden="0" customHeight="1">
      <x:c r="A27" s="15" t="str">
        <x:v>026</x:v>
      </x:c>
      <x:c r="B27" s="12" t="str">
        <x:v>ZH-EXCELLENT-026</x:v>
      </x:c>
      <x:c r="C27" s="15" t="str">
        <x:v>026</x:v>
      </x:c>
      <x:c r="D27" s="12" t="str">
        <x:v>Excellent</x:v>
      </x:c>
      <x:c r="E27" s="16" t="n">
        <x:v>85</x:v>
      </x:c>
      <x:c r="F27" s="16" t="n">
        <x:v>100</x:v>
      </x:c>
      <x:c r="G27" s="14" t="str">
        <x:v>本地多間大學今日聯合宣布，將大幅調低下學年低收入家庭學生的學費，並增加獎學金名額，以減輕基層學生的經濟負擔。新措施涵蓋學士及碩士課程，預計惠及逾萬名學生。大學教育資助委員會歡迎決定，指這體現了大學的社會責任，並承諾將提供額外撥款支援。學生會對此表示讚賞，認為這能有效促進教育公平，讓更多基層青年有機會接受高等教育。教育界團體促請政府帶頭增加資助，並檢討現有學生貸款計劃的息率，避免學生畢業後背負沉重債務。大學校長表示，將繼續推行多元共融政策，確保不同背景的學生都能在平等環境下學習，為社會培育優秀人才。</x:v>
      </x:c>
    </x:row>
    <x:row r="28" ht="79.19999694824219" hidden="0" customHeight="1">
      <x:c r="A28" s="15" t="str">
        <x:v>027</x:v>
      </x:c>
      <x:c r="B28" s="12" t="str">
        <x:v>ZH-EXCELLENT-027</x:v>
      </x:c>
      <x:c r="C28" s="15" t="str">
        <x:v>027</x:v>
      </x:c>
      <x:c r="D28" s="12" t="str">
        <x:v>Excellent</x:v>
      </x:c>
      <x:c r="E28" s="16" t="n">
        <x:v>85</x:v>
      </x:c>
      <x:c r="F28" s="16" t="n">
        <x:v>100</x:v>
      </x:c>
      <x:c r="G28" s="14" t="str">
        <x:v>教育局今日公布小學課程改革指引，宣布由下學年起，全港小四至小六必須加入基礎編程及人工智能概念課程，以培養學生的運算思維及創新能力。新課程將融入常識科及數學科，並提供配套教材及教師培訓。教育局發言人表示，面對數字經濟時代，掌握科技知識對學生未來發展至關重要。家長教師會歡迎新措施，但擔憂加重學生學業壓力，促請當局確保課程內容適切，並提供足夠支援予前線教師。科技界人士讚揚改革具前瞻性，建議政府引入業界專家參與課程設計，使內容更貼合實際應用。教育局承諾將定期檢討課程成效，並根據師生反饋進行優化，確保教學質素。</x:v>
      </x:c>
    </x:row>
    <x:row r="29" ht="66" hidden="0" customHeight="1">
      <x:c r="A29" s="15" t="str">
        <x:v>028</x:v>
      </x:c>
      <x:c r="B29" s="12" t="str">
        <x:v>ZH-EXCELLENT-028</x:v>
      </x:c>
      <x:c r="C29" s="15" t="str">
        <x:v>028</x:v>
      </x:c>
      <x:c r="D29" s="12" t="str">
        <x:v>Excellent</x:v>
      </x:c>
      <x:c r="E29" s="16" t="n">
        <x:v>85</x:v>
      </x:c>
      <x:c r="F29" s="16" t="n">
        <x:v>100</x:v>
      </x:c>
      <x:c r="G29" s="14" t="str">
        <x:v>教育團體今日發布調查報告，指本港特殊學校正面臨嚴重的教師流失潮，過去一年離職率逾一成五，主因是工作壓力過大及薪酬缺乏競爭力。報告促請政府增加特殊學校的資源撥款，改善師生比例，並設立特殊教育津貼以挽留人才。教育局回應指，高度關注特殊學校的人手問題，已成立專責小組跟進，並會於下學年增加常額教席。家長組織對報告結果感到憂慮，指教師流失直接影響學生的學習進度及照顧質素，要求當局立即採取行動。立法會福利事務委員會委員促請政府全面檢討特殊教育政策，確保有特殊需要的學生得到適切的支援及優質的教育服務。</x:v>
      </x:c>
    </x:row>
    <x:row r="30" ht="79.19999694824219" hidden="0" customHeight="1">
      <x:c r="A30" s="15" t="str">
        <x:v>029</x:v>
      </x:c>
      <x:c r="B30" s="12" t="str">
        <x:v>ZH-EXCELLENT-029</x:v>
      </x:c>
      <x:c r="C30" s="15" t="str">
        <x:v>029</x:v>
      </x:c>
      <x:c r="D30" s="12" t="str">
        <x:v>Excellent</x:v>
      </x:c>
      <x:c r="E30" s="16" t="n">
        <x:v>85</x:v>
      </x:c>
      <x:c r="F30" s="16" t="n">
        <x:v>100</x:v>
      </x:c>
      <x:c r="G30" s="14" t="str">
        <x:v>考試及評核局今日公布中學文憑試最新成績分析，顯示考生於數學科及延伸數學科的表現有顯著改善，平均及格率創下五年新高。考評局發言人指，這反映學校近年推行的教學改革及網上學習資源已見成效。教育局歡迎成績進步，並承諾將繼續支援學校優化數理教育。數學教育學會指出，雖然成績有進步，但頂尖考生比例未有明顯增加，建議當局加強拔尖培訓。大學理學院院長表示，將考慮調整收生計分方法，以吸引更多數理資優生報讀。考生對成績感到滿意，認為努力得到回報。考評局強調，將持續檢討評核機制，確保考試公平及具信效度，為學生提供準確的能力評估。</x:v>
      </x:c>
    </x:row>
    <x:row r="31" ht="79.19999694824219" hidden="0" customHeight="1">
      <x:c r="A31" s="15" t="str">
        <x:v>030</x:v>
      </x:c>
      <x:c r="B31" s="12" t="str">
        <x:v>ZH-EXCELLENT-030</x:v>
      </x:c>
      <x:c r="C31" s="15" t="str">
        <x:v>030</x:v>
      </x:c>
      <x:c r="D31" s="12" t="str">
        <x:v>Excellent</x:v>
      </x:c>
      <x:c r="E31" s="16" t="n">
        <x:v>85</x:v>
      </x:c>
      <x:c r="F31" s="16" t="n">
        <x:v>100</x:v>
      </x:c>
      <x:c r="G31" s="14" t="str">
        <x:v>政府今日於觀塘區啟用全新職業訓練中心，專門提供人工智能、綠色建築及護理服務等新興行業的培訓課程，預計每年可培訓逾五千名學員。勞工及福利局局長主持開幕禮時表示，中心將與業界緊密合作，確保課程內容貼合市場需求，協助市民掌握新技能，提升就業競爭力。建造業議會及安老服務協會歡迎中心落成，指這將有效紓緩業界人手短缺問題。培訓機構代表表示，將提供多種資助名額，鼓勵在職人士及青年報讀。立法會人力事務委員會委員促請政府加強就業配對服務，確保學員畢業後能順利投身相關行業。政府承諾將持續監察勞工市場趨勢，適時增設新课程，推動經濟多元發展。</x:v>
      </x:c>
    </x:row>
    <x:row r="32" ht="92.4000015258789" hidden="0" customHeight="1">
      <x:c r="A32" s="15" t="str">
        <x:v>031</x:v>
      </x:c>
      <x:c r="B32" s="12" t="str">
        <x:v>ZH-GOOD-001</x:v>
      </x:c>
      <x:c r="C32" s="15" t="str">
        <x:v>001</x:v>
      </x:c>
      <x:c r="D32" s="12" t="str">
        <x:v>Good</x:v>
      </x:c>
      <x:c r="E32" s="16" t="n">
        <x:v>70</x:v>
      </x:c>
      <x:c r="F32" s="16" t="n">
        <x:v>84</x:v>
      </x:c>
      <x:c r="G32" s="14" t="str">
        <x:v>港鐵東鐵綫今日上午八時許發生罕見信號系統故障，導致南北行列車服務嚴重延誤，大批上班族及學生於沿線各個月台滯留，人龍一度延伸至站外，部分乘客更因不耐煩而與職員發生口角。港鐵發言人解釋，故障源於大圍站附近的信號系統核心組件突然老化失靈，工程人員已於九時十五分完成緊急搶修，列車服務其後逐步回復正常。署理運輸及物流局局長對事件表示高度關注，強調港鐵必須徹查成因，並提交詳細報告，指出公共安全不容有失。受影響乘客可於車站客務中心辦理車資退款，港鐵亦會安排接駁巴士疏導人潮。立法會交通事務委員會委員批評港鐵近年事故頻生，促請政府加強監管機制，確保鐵路網絡的安全與穩定，避免同類事件重演。市民對此感到極度不滿，認為服務質素亟待改善。</x:v>
      </x:c>
    </x:row>
    <x:row r="33" ht="79.19999694824219" hidden="0" customHeight="1">
      <x:c r="A33" s="15" t="str">
        <x:v>032</x:v>
      </x:c>
      <x:c r="B33" s="12" t="str">
        <x:v>ZH-GOOD-002</x:v>
      </x:c>
      <x:c r="C33" s="15" t="str">
        <x:v>002</x:v>
      </x:c>
      <x:c r="D33" s="12" t="str">
        <x:v>Good</x:v>
      </x:c>
      <x:c r="E33" s="16" t="n">
        <x:v>70</x:v>
      </x:c>
      <x:c r="F33" s="16" t="n">
        <x:v>84</x:v>
      </x:c>
      <x:c r="G33" s="14" t="str">
        <x:v>房屋署今日正式宣布，位於屯門區的全新公共屋邨「屯門東邨」即日起開放予首批居民入伙，提供逾三千個單位以紓緩基層住屋壓力。該屋邨採用最新環保建築設計，配備太陽能板及雨水收集系統，並設有大型商場、街市及社區會堂等配套設施。房屋局局長主持開幕典禮時表示，新屋邨落成標誌著政府解決房屋問題的決心，未來將繼續加快建屋步伐。首批入伙的居民對居住環境表示滿意，尤其讚賞屋邨內綠化空間充足，適合一家大小居住。不過，有社區團體指出，屋邨周邊的交通網絡仍未能完全應付新增的人口，促請運輸署盡快增設巴士路線及優化小巴服務。房屋署回應指，已與運輸部門緊密協調，確保交通配套逐步完善。</x:v>
      </x:c>
    </x:row>
    <x:row r="34" ht="79.19999694824219" hidden="0" customHeight="1">
      <x:c r="A34" s="15" t="str">
        <x:v>033</x:v>
      </x:c>
      <x:c r="B34" s="12" t="str">
        <x:v>ZH-GOOD-003</x:v>
      </x:c>
      <x:c r="C34" s="15" t="str">
        <x:v>003</x:v>
      </x:c>
      <x:c r="D34" s="12" t="str">
        <x:v>Good</x:v>
      </x:c>
      <x:c r="E34" s="16" t="n">
        <x:v>70</x:v>
      </x:c>
      <x:c r="F34" s="16" t="n">
        <x:v>84</x:v>
      </x:c>
      <x:c r="G34" s="14" t="str">
        <x:v>天文台今日下午二時四十分發出八號西北烈風或暴風信號，預料本港風勢將進一步增強，沿岸地區會出現大浪及涌浪。教育局隨即宣布全港學校停課，僱主亦應按勞工處指引安排僱員的工作安排。民政事務總署已於各區開放臨時庇護中心，供有需要的市民入住。政府發言人呼籲市民切勿前往岸邊活動，並盡快將窗戶及室外物品固定，以防意外發生。機場管理局表示，受颱風影響，今日已有逾百班航班取消或延誤，呼籲旅客密切留意航空公司的最新公布。市面交通大致維持有限度服務，港鐵及專營巴士如常運作，但部分渡輪航線已告停航。立法會議員提醒市民做好防風措施，確保自身及家人安全，並促請政府加強巡查水浸黑點。</x:v>
      </x:c>
    </x:row>
    <x:row r="35" ht="79.19999694824219" hidden="0" customHeight="1">
      <x:c r="A35" s="15" t="str">
        <x:v>034</x:v>
      </x:c>
      <x:c r="B35" s="12" t="str">
        <x:v>ZH-GOOD-004</x:v>
      </x:c>
      <x:c r="C35" s="15" t="str">
        <x:v>004</x:v>
      </x:c>
      <x:c r="D35" s="12" t="str">
        <x:v>Good</x:v>
      </x:c>
      <x:c r="E35" s="16" t="n">
        <x:v>70</x:v>
      </x:c>
      <x:c r="F35" s="16" t="n">
        <x:v>84</x:v>
      </x:c>
      <x:c r="G35" s="14" t="str">
        <x:v>食物環境衞生署今日聯同警方在旺角區展開大規模聯合執法行動，嚴厲打擊非法街頭擺賣及無牌小販活動，以恢復區內環境衞生及通道暢通。行動中共檢獲逾百件貨物及多部手推車，並向多名違規人士發出定額罰款通知書。食環署發言人表示，無牌小販不僅阻礙行人，更帶來嚴重的衞生隱患，署方將持續採取零容忍態度，加強巡查及執法力度。區議會委員對行動表示支持，認為此舉能有效改善旺角一帶的市容，並促請政府研究設立合法的小販墟市，以平衡基層生計與社區環境。有商戶歡迎執法行動，指小販長期霸佔街道導致生意受損。警方強調，將繼續與相關部門合作，維護公眾秩序及法治。</x:v>
      </x:c>
    </x:row>
    <x:row r="36" ht="79.19999694824219" hidden="0" customHeight="1">
      <x:c r="A36" s="15" t="str">
        <x:v>035</x:v>
      </x:c>
      <x:c r="B36" s="12" t="str">
        <x:v>ZH-GOOD-005</x:v>
      </x:c>
      <x:c r="C36" s="15" t="str">
        <x:v>005</x:v>
      </x:c>
      <x:c r="D36" s="12" t="str">
        <x:v>Good</x:v>
      </x:c>
      <x:c r="E36" s="16" t="n">
        <x:v>70</x:v>
      </x:c>
      <x:c r="F36" s="16" t="n">
        <x:v>84</x:v>
      </x:c>
      <x:c r="G36" s="14" t="str">
        <x:v>水務署今日宣布，沙田區部分大廈因地下主水管突然爆裂，導致食水供應中斷，影響逾萬名居民。工程人員已於凌晨緊急截停漏水點，並展開搶修工作，預計今日傍晚前可逐步恢復供水。為減低對居民的影響，水務署已安排多輛水車及街喉提供臨時食水供應，並呼籲受影響住戶節約用水。民政事務處亦派員到現場協助長者及行動不便人士取水。區議員對事件表示關注，批評區內水管老化問題嚴重，促請水務署加快更換老舊管網。水務署回應指，已制定全港性水管更換計劃，並會優先處理高風險區域。受影響居民對停水表示無奈，期望工程人員能盡快完成搶修，早日恢復正常供水。</x:v>
      </x:c>
    </x:row>
    <x:row r="37" ht="79.19999694824219" hidden="0" customHeight="1">
      <x:c r="A37" s="15" t="str">
        <x:v>036</x:v>
      </x:c>
      <x:c r="B37" s="12" t="str">
        <x:v>ZH-GOOD-006</x:v>
      </x:c>
      <x:c r="C37" s="15" t="str">
        <x:v>006</x:v>
      </x:c>
      <x:c r="D37" s="12" t="str">
        <x:v>Good</x:v>
      </x:c>
      <x:c r="E37" s="16" t="n">
        <x:v>70</x:v>
      </x:c>
      <x:c r="F37" s="16" t="n">
        <x:v>84</x:v>
      </x:c>
      <x:c r="G37" s="14" t="str">
        <x:v>二十國集團峰會今日於日內瓦圓滿結束，各國領袖就應對氣候變化及推動全球經濟復甦達成共識，並簽署聯合公報。公報承諾各國將大幅增加對可再生能源的投資，並設立專項基金協助發展中國家進行綠色轉型。峰會東道主表示，此次會議成果豐碩，展現了國際社會團結合作的決心。聯合國秘書長對公報表示歡迎，強調落實承諾是關鍵，呼籲各國盡快將協議轉化為具體政策。本港環保團體對峰會結果感到鼓舞，認為這將帶動全球減碳進程，並促請特區政府借鑒國際經驗。財經界人士則指出，綠色金融將迎來巨大機遇，本港應把握時機鞏固作為國際綠色金融中心的地位。</x:v>
      </x:c>
    </x:row>
    <x:row r="38" ht="66" hidden="0" customHeight="1">
      <x:c r="A38" s="15" t="str">
        <x:v>037</x:v>
      </x:c>
      <x:c r="B38" s="12" t="str">
        <x:v>ZH-GOOD-007</x:v>
      </x:c>
      <x:c r="C38" s="15" t="str">
        <x:v>007</x:v>
      </x:c>
      <x:c r="D38" s="12" t="str">
        <x:v>Good</x:v>
      </x:c>
      <x:c r="E38" s="16" t="n">
        <x:v>70</x:v>
      </x:c>
      <x:c r="F38" s="16" t="n">
        <x:v>84</x:v>
      </x:c>
      <x:c r="G38" s="14" t="str">
        <x:v>日本本州東部沿海地區今日清晨發生黎克特制七點二級強烈地震，當局一度發出海嘯警報，呼籲沿岸居民緊急撤離。地震造成多地建築物搖晃，部分地區出現停電及交通中斷，新幹線服務亦一度暫停。日本氣象廳其後解除海嘯警報，指海嘯高度低於預期，未造成嚴重破壞。內閣官房長官召開記者會，確認目前未有重大傷亡報告，並指示自衛隊及救援人員全面戒備，應對可能發生的餘震。本港保安局表示，已透過外交部駐港特派員公署了解情況，目前未收到港人在當地受傷或求助的個案。旅遊業界指，部分赴日旅行團已調整行程，避開受影響地區。</x:v>
      </x:c>
    </x:row>
    <x:row r="39" ht="79.19999694824219" hidden="0" customHeight="1">
      <x:c r="A39" s="15" t="str">
        <x:v>038</x:v>
      </x:c>
      <x:c r="B39" s="12" t="str">
        <x:v>ZH-GOOD-008</x:v>
      </x:c>
      <x:c r="C39" s="15" t="str">
        <x:v>008</x:v>
      </x:c>
      <x:c r="D39" s="12" t="str">
        <x:v>Good</x:v>
      </x:c>
      <x:c r="E39" s="16" t="n">
        <x:v>70</x:v>
      </x:c>
      <x:c r="F39" s="16" t="n">
        <x:v>84</x:v>
      </x:c>
      <x:c r="G39" s="14" t="str">
        <x:v>國際貿易組織今日宣布，兩大經濟體已就長期貿易爭端達成初步協議，同意互相撤銷部分懲罰性關稅，以促進全球供應鏈穩定。根據協議，雙方將分階段降低對農產品及高科技組件的進口壁壘，並設立聯合委員會監督執行。此舉被視為緩和全球貿易緊張局勢的重要里程碑，國際股市隨即作出正面反應，相關出口板塊股價普遍上揚。本港總商會歡迎協議達成，認為這將有助降低本港企業的進口成本，並提振轉口貿易。經濟學者指出，雖然關稅壁壘減少，但地緣政治風險依然存在。政府發言人表示，將密切監察協議對本港經濟的影響，並適時推出支援措施，協助中小企開拓海外市場。</x:v>
      </x:c>
    </x:row>
    <x:row r="40" ht="66" hidden="0" customHeight="1">
      <x:c r="A40" s="15" t="str">
        <x:v>039</x:v>
      </x:c>
      <x:c r="B40" s="12" t="str">
        <x:v>ZH-GOOD-009</x:v>
      </x:c>
      <x:c r="C40" s="15" t="str">
        <x:v>009</x:v>
      </x:c>
      <x:c r="D40" s="12" t="str">
        <x:v>Good</x:v>
      </x:c>
      <x:c r="E40" s="16" t="n">
        <x:v>70</x:v>
      </x:c>
      <x:c r="F40" s="16" t="n">
        <x:v>84</x:v>
      </x:c>
      <x:c r="G40" s="14" t="str">
        <x:v>聯合國安理會今日一致通過決議，授權向中東衝突地區增派維和部隊，以監督停火協議的落實並保護平民安全。決議草案由多國聯合提案，強調必須透過政治途徑解決爭端，並呼籲各方立即停止敵對行動。聯合國秘書長對決議獲通過表示歡迎，指這為該地區帶來和平曙光，並承諾將盡快部署人員。本港國際關係學者分析，此次決議反映了國際社會對人道危機的深切關注，但維和行動的成效仍取決於衝突各方的合作意願。特區政府表示，支持聯合國維護國際和平與安全的努力，並已撥款捐助相關人道救援機構，為受影響平民提供緊急物資及醫療援助。</x:v>
      </x:c>
    </x:row>
    <x:row r="41" ht="66" hidden="0" customHeight="1">
      <x:c r="A41" s="15" t="str">
        <x:v>040</x:v>
      </x:c>
      <x:c r="B41" s="12" t="str">
        <x:v>ZH-GOOD-010</x:v>
      </x:c>
      <x:c r="C41" s="15" t="str">
        <x:v>010</x:v>
      </x:c>
      <x:c r="D41" s="12" t="str">
        <x:v>Good</x:v>
      </x:c>
      <x:c r="E41" s="16" t="n">
        <x:v>70</x:v>
      </x:c>
      <x:c r="F41" s="16" t="n">
        <x:v>84</x:v>
      </x:c>
      <x:c r="G41" s="14" t="str">
        <x:v>國際民用航空組織今日於瑞士日內瓦簽署全球航空安全新協定，旨在統一各國的無人機監管標準及加強跨境航班的安全合作。協定規定各成員國必須建立統一的無人機註冊系統，並共享航班安全數據，以應對日益複雜的航空威脅。民航處發言人表示，本港將積極配合協定要求，預計明年完成相關法例修訂，確保本港航空安全標準與國際接軌。航空業內人士歡迎新協定，認為這將有助提升全球航空網絡的保安水平。立法會交通事務委員會委員促請政府加快立法程序，並加強公眾教育，讓市民了解無人機的新規管要求，確保航空安全及私隱得到充分保障。</x:v>
      </x:c>
    </x:row>
    <x:row r="42" ht="66" hidden="0" customHeight="1">
      <x:c r="A42" s="15" t="str">
        <x:v>041</x:v>
      </x:c>
      <x:c r="B42" s="12" t="str">
        <x:v>ZH-GOOD-011</x:v>
      </x:c>
      <x:c r="C42" s="15" t="str">
        <x:v>011</x:v>
      </x:c>
      <x:c r="D42" s="12" t="str">
        <x:v>Good</x:v>
      </x:c>
      <x:c r="E42" s="16" t="n">
        <x:v>70</x:v>
      </x:c>
      <x:c r="F42" s="16" t="n">
        <x:v>84</x:v>
      </x:c>
      <x:c r="G42" s="14" t="str">
        <x:v>本地科技初創企業今日宣布成功研發全港首部人工智能輔助診斷系統，並獲醫院管理局批准於公立醫院進行臨床測試。該系統能透過分析病人病歷及影像數據，於數秒內提供診斷建議，準確率高達九成半，有望大幅縮短專科門診的輪候時間。研發團隊表示，系統已通過多項國際安全認證，並強調其設計僅作為醫生參考。醫管局發言人歡迎創新科技應用，指這將有效提升醫療效率及質素。業界專家認為，此舉標誌着本港智慧醫療發展邁進一大步，並促請政府增加撥款，支援更多醫療科技研發項目。病人組織對此表示期待，期望系統能盡快普及，讓更多病人受惠。</x:v>
      </x:c>
    </x:row>
    <x:row r="43" ht="66" hidden="0" customHeight="1">
      <x:c r="A43" s="15" t="str">
        <x:v>042</x:v>
      </x:c>
      <x:c r="B43" s="12" t="str">
        <x:v>ZH-GOOD-012</x:v>
      </x:c>
      <x:c r="C43" s="15" t="str">
        <x:v>012</x:v>
      </x:c>
      <x:c r="D43" s="12" t="str">
        <x:v>Good</x:v>
      </x:c>
      <x:c r="E43" s="16" t="n">
        <x:v>70</x:v>
      </x:c>
      <x:c r="F43" s="16" t="n">
        <x:v>84</x:v>
      </x:c>
      <x:c r="G43" s="14" t="str">
        <x:v>本港大型電訊商「NetCom」今日承認遭遇嚴重網絡攻擊，導致逾百萬客戶的個人資料外洩，包括姓名、身份證號碼及聯絡方式。公司發言人表示，已即時切斷受影響伺服器的連接，並報交警方網絡安全及科技罪案調查科跟進。個人資料私隱專員公署已介入調查，並要求NetCom詳細交代事件及提交改善方案。公署呼籲受影響市民提高警覺，防範詐騙電話及釣魚電郵。立法會資訊科技及廣播事務委員會委員批評該公司保安系統存在漏洞。NetCom承諾將為受影響客戶提供免費的信用監察服務，並全面檢討現有保安架構，防止同類事件再次發生。</x:v>
      </x:c>
    </x:row>
    <x:row r="44" ht="66" hidden="0" customHeight="1">
      <x:c r="A44" s="15" t="str">
        <x:v>043</x:v>
      </x:c>
      <x:c r="B44" s="12" t="str">
        <x:v>ZH-GOOD-013</x:v>
      </x:c>
      <x:c r="C44" s="15" t="str">
        <x:v>013</x:v>
      </x:c>
      <x:c r="D44" s="12" t="str">
        <x:v>Good</x:v>
      </x:c>
      <x:c r="E44" s="16" t="n">
        <x:v>70</x:v>
      </x:c>
      <x:c r="F44" s="16" t="n">
        <x:v>84</x:v>
      </x:c>
      <x:c r="G44" s="14" t="str">
        <x:v>通訊事務管理局辦公室今日宣布，九龍區五個核心商業區的5G網絡鋪設工程已全面竣工，標誌著本港5G覆蓋率達到九成以上。新網絡將為區內企業提供更高速、低延遲的通訊服務，助力推動智慧城市及物聯網發展。電訊商代表表示，5G網絡的普及將大幅提升自動駕駛、遠程醫療及虛擬實境等創新應用的可行性。政府發言人指出，5G基建是本港數字經濟轉型的關鍵，未來將繼續推進偏遠地區的網絡覆蓋。商界對5G全面覆蓋表示歡迎，認為這將提升本港的國際競爭力，並呼籲政府提供更多誘因，鼓勵企業投資5G應用研發，以充分發揮新基建的經濟效益。</x:v>
      </x:c>
    </x:row>
    <x:row r="45" ht="66" hidden="0" customHeight="1">
      <x:c r="A45" s="15" t="str">
        <x:v>044</x:v>
      </x:c>
      <x:c r="B45" s="12" t="str">
        <x:v>ZH-GOOD-014</x:v>
      </x:c>
      <x:c r="C45" s="15" t="str">
        <x:v>014</x:v>
      </x:c>
      <x:c r="D45" s="12" t="str">
        <x:v>Good</x:v>
      </x:c>
      <x:c r="E45" s="16" t="n">
        <x:v>70</x:v>
      </x:c>
      <x:c r="F45" s="16" t="n">
        <x:v>84</x:v>
      </x:c>
      <x:c r="G45" s="14" t="str">
        <x:v>國際知名科技巨頭今日於本港舉行亞洲區發布會，正式推出最新一代摺疊屏幕智能手機，主打輕薄設計及多工處理功能。新機採用全新鉸鏈技術，解決了以往屏幕易摺損的問題，並配備最新人工智能晶片，大幅提升影像處理效能。公司亞太區總裁表示，本港作為亞洲科技樞紐，是發布新產品的理想地點，預計新機將帶動區內換機潮。本地電訊商隨即宣布推出多款5G上台優惠，吸引消費者搶先預訂。消費者委員會提醒市民，購買新機時應留意保養條款及屏幕維修費用。科技評論員認為，摺疊手機技術已漸趨成熟，但高昂售價仍是普及的一大阻礙。</x:v>
      </x:c>
    </x:row>
    <x:row r="46" ht="66" hidden="0" customHeight="1">
      <x:c r="A46" s="15" t="str">
        <x:v>045</x:v>
      </x:c>
      <x:c r="B46" s="12" t="str">
        <x:v>ZH-GOOD-015</x:v>
      </x:c>
      <x:c r="C46" s="15" t="str">
        <x:v>015</x:v>
      </x:c>
      <x:c r="D46" s="12" t="str">
        <x:v>Good</x:v>
      </x:c>
      <x:c r="E46" s="16" t="n">
        <x:v>70</x:v>
      </x:c>
      <x:c r="F46" s="16" t="n">
        <x:v>84</x:v>
      </x:c>
      <x:c r="G46" s="14" t="str">
        <x:v>運輸署與科技園公司合作，今日正式啟動全港首個自動駕駛巴士試驗計劃，於科學園內提供免費接駁服務。試驗車隊配備多部雷射雷達及高精度鏡頭，能自動偵測障礙物及行人，確保行車安全。運輸署發言人表示，試驗計劃旨在收集實際路面數據，為未來制定自動駕駛車輛的法規及標準提供依據。科學園行政總裁歡迎計劃落實，指這將提升園區的交通配套，並展現本港推動創科應用的決心。有乘客試乘後讚揚車程平穩。立法會議員建議政府逐步擴大試驗範圍，並加強公眾教育，以建立市民對自動駕駛技術的信心。</x:v>
      </x:c>
    </x:row>
    <x:row r="47" ht="66" hidden="0" customHeight="1">
      <x:c r="A47" s="15" t="str">
        <x:v>046</x:v>
      </x:c>
      <x:c r="B47" s="12" t="str">
        <x:v>ZH-GOOD-016</x:v>
      </x:c>
      <x:c r="C47" s="15" t="str">
        <x:v>016</x:v>
      </x:c>
      <x:c r="D47" s="12" t="str">
        <x:v>Good</x:v>
      </x:c>
      <x:c r="E47" s="16" t="n">
        <x:v>70</x:v>
      </x:c>
      <x:c r="F47" s="16" t="n">
        <x:v>84</x:v>
      </x:c>
      <x:c r="G47" s="14" t="str">
        <x:v>衞生防護中心今日確認本港出現首宗新型流感變異病毒感染個案，患者為一名有外遊記錄的年輕男子，目前情況穩定。中心已將病毒樣本送往世衞組織參考實驗室作進一步分析，並即時啟動應變機制，加強口岸體溫檢測及社區監察。衞生署署長呼籲市民無需恐慌，但應保持良好個人衞生習慣，並盡早接種季節性流感疫苗。醫院管理局表示，已備有充足抗病毒藥物及隔離病床，以應對可能出現的爆發。傳染病專家指出，新變異病毒的傳播力似乎較強。政府承諾將加快疫苗採購及分發，確保高危群組得到優先保護。</x:v>
      </x:c>
    </x:row>
    <x:row r="48" ht="66" hidden="0" customHeight="1">
      <x:c r="A48" s="15" t="str">
        <x:v>047</x:v>
      </x:c>
      <x:c r="B48" s="12" t="str">
        <x:v>ZH-GOOD-017</x:v>
      </x:c>
      <x:c r="C48" s="15" t="str">
        <x:v>017</x:v>
      </x:c>
      <x:c r="D48" s="12" t="str">
        <x:v>Good</x:v>
      </x:c>
      <x:c r="E48" s="16" t="n">
        <x:v>70</x:v>
      </x:c>
      <x:c r="F48" s="16" t="n">
        <x:v>84</x:v>
      </x:c>
      <x:c r="G48" s="14" t="str">
        <x:v>醫院管理局今日公布最新數據，顯示公立醫院急症室過去一周的平均輪候時間創下三年新高，部分醫院更需輪候逾八小時才能獲得診治。醫管局解釋，冬季流感高峰期加上氣溫驟降，導致求診人數激增，前線醫護人員承受巨大壓力。為紓緩擠塞，醫管局已調撥額外資源增設夜間門診，並呼籲病情輕微的市民向私家醫生求診。立法會衞生事務委員會委員對輪候時間過長表示關注。病人組織批評公營醫療系統長期超負荷，要求當局正視結構性問題。醫管局承諾將持續檢討服務流程，務求提升急症室效率。</x:v>
      </x:c>
    </x:row>
    <x:row r="49" ht="66" hidden="0" customHeight="1">
      <x:c r="A49" s="15" t="str">
        <x:v>048</x:v>
      </x:c>
      <x:c r="B49" s="12" t="str">
        <x:v>ZH-GOOD-018</x:v>
      </x:c>
      <x:c r="C49" s="15" t="str">
        <x:v>018</x:v>
      </x:c>
      <x:c r="D49" s="12" t="str">
        <x:v>Good</x:v>
      </x:c>
      <x:c r="E49" s="16" t="n">
        <x:v>70</x:v>
      </x:c>
      <x:c r="F49" s="16" t="n">
        <x:v>84</x:v>
      </x:c>
      <x:c r="G49" s="14" t="str">
        <x:v>醫務衞生局今日宣布收緊美容業監管條例，規定所有涉及侵入性程序的醫學美容服務必須由註冊醫生主理或監督，違者將面臨重罰及吊銷牌照。新例旨在打擊非法行醫及保障消費者安全，將於明年一月起正式實施。美容業商會對新例表示支持，認為這有助提升行業專業水平及重建公眾信心。消費者委員會歡迎政府加強監管，指過去多年接獲大量涉及美容陷阱及醫療事故的投訴。立法會議員促請當局加強巡查及執法，並設立舉報熱線。業界人士預計，新例實施後將淘汰部分不合規的小型美容中心，促進行業整合。</x:v>
      </x:c>
    </x:row>
    <x:row r="50" ht="66" hidden="0" customHeight="1">
      <x:c r="A50" s="15" t="str">
        <x:v>049</x:v>
      </x:c>
      <x:c r="B50" s="12" t="str">
        <x:v>ZH-GOOD-019</x:v>
      </x:c>
      <x:c r="C50" s="15" t="str">
        <x:v>019</x:v>
      </x:c>
      <x:c r="D50" s="12" t="str">
        <x:v>Good</x:v>
      </x:c>
      <x:c r="E50" s="16" t="n">
        <x:v>70</x:v>
      </x:c>
      <x:c r="F50" s="16" t="n">
        <x:v>84</x:v>
      </x:c>
      <x:c r="G50" s="14" t="str">
        <x:v>香港大學醫學院研究團隊今日在國際權威期刊發表突破性研究成果，成功研發出一種新型血液檢測技術，能於阿爾茨海默症早期階段準確診斷出病情，準確率逾九成。研究指出，傳統診斷方法依賴腦部掃描，費用高昂且耗時，新技術只需抽取少量血液。港大表示，團隊正與醫管局合作，準備於公立醫院進行大規模臨床測試。衞生署對研究結果表示歡迎，認為這將有助及早介入治療。病人家屬組織對此充滿期待，期望新技術能盡快普及。業界專家指，此項突破標誌着本港生物醫學研究達到世界領先水平。</x:v>
      </x:c>
    </x:row>
    <x:row r="51" ht="66" hidden="0" customHeight="1">
      <x:c r="A51" s="15" t="str">
        <x:v>050</x:v>
      </x:c>
      <x:c r="B51" s="12" t="str">
        <x:v>ZH-GOOD-020</x:v>
      </x:c>
      <x:c r="C51" s="15" t="str">
        <x:v>020</x:v>
      </x:c>
      <x:c r="D51" s="12" t="str">
        <x:v>Good</x:v>
      </x:c>
      <x:c r="E51" s="16" t="n">
        <x:v>70</x:v>
      </x:c>
      <x:c r="F51" s="16" t="n">
        <x:v>84</x:v>
      </x:c>
      <x:c r="G51" s="14" t="str">
        <x:v>衞生防護中心今日公布，黃大仙區出現登革熱群組爆發，過去兩周錄得五宗本地個案，患者均曾到訪區內某公園。中心已派員到現場進行滅蚊及環境消毒，並呼籲附近居民清除積水容器，以防蚊患滋生。食環署表示，已加強區內的滅蚊行動，並增設誘蚊器監察蚊蟲密度。傳染病專家提醒市民，登革熱可引致嚴重併發症。區議會委員促請政府改善公園排水系統，並加強環境衞生巡查。政府發言人強調，將密切監察疫情發展，並與區議會及社區組織合作，展開全港性的防蚊宣傳運動，保障公眾健康。</x:v>
      </x:c>
    </x:row>
    <x:row r="52" ht="66" hidden="0" customHeight="1">
      <x:c r="A52" s="15" t="str">
        <x:v>051</x:v>
      </x:c>
      <x:c r="B52" s="12" t="str">
        <x:v>ZH-GOOD-021</x:v>
      </x:c>
      <x:c r="C52" s="15" t="str">
        <x:v>021</x:v>
      </x:c>
      <x:c r="D52" s="12" t="str">
        <x:v>Good</x:v>
      </x:c>
      <x:c r="E52" s="16" t="n">
        <x:v>70</x:v>
      </x:c>
      <x:c r="F52" s="16" t="n">
        <x:v>84</x:v>
      </x:c>
      <x:c r="G52" s="14" t="str">
        <x:v>本港大型零售集團「恒輝百貨」今日公布第三季度業績，純利按年大跌三成，主要受內地旅客消費模式改變及本地消費意欲疲弱影響。集團主席表示，面對嚴峻營商環境，將關閉部分表現欠佳的門市，並加大投資於電商平台。財經分析員指出，傳統零售業正面臨結構性挑戰。政府發言人表示，理解零售業面對的困難，將推出新一輪消費券計劃以提振內需。商會呼籲業主體恤租戶，適時減租以共渡時艱。恒輝百貨預計，下半年市道仍將充滿挑戰，但對長遠前景保持審慎樂觀，並承諾將繼續優化產品組合，以迎合本地消費者的需求。</x:v>
      </x:c>
    </x:row>
    <x:row r="53" ht="66" hidden="0" customHeight="1">
      <x:c r="A53" s="15" t="str">
        <x:v>052</x:v>
      </x:c>
      <x:c r="B53" s="12" t="str">
        <x:v>ZH-GOOD-022</x:v>
      </x:c>
      <x:c r="C53" s="15" t="str">
        <x:v>022</x:v>
      </x:c>
      <x:c r="D53" s="12" t="str">
        <x:v>Good</x:v>
      </x:c>
      <x:c r="E53" s="16" t="n">
        <x:v>70</x:v>
      </x:c>
      <x:c r="F53" s="16" t="n">
        <x:v>84</x:v>
      </x:c>
      <x:c r="G53" s="14" t="str">
        <x:v>財政司司長今日宣布推出新一輪綠色科技稅務優惠，凡投資於碳中和技術及可再生能源的本地企業，可獲高達兩倍的利得稅扣減。新措施旨在鼓勵企業加速綠色轉型，配合國家及全球的減碳目標。稅務局表示，將簡化申請程序，確保企業能盡早享用優惠。商界對此反應熱烈，認為這將大幅提升本港對綠色科技投資的吸引力。環保團體歡迎新措施，但促請政府設立明確的審查機制。立法會議員建議政府進一步擴大優惠範圍，涵蓋綠色建築及電動交通工具。政府承諾將定期檢討政策成效，並適時推出更多支援措施，鞏固本港作為亞洲綠色金融中心的地位。</x:v>
      </x:c>
    </x:row>
    <x:row r="54" ht="66" hidden="0" customHeight="1">
      <x:c r="A54" s="15" t="str">
        <x:v>053</x:v>
      </x:c>
      <x:c r="B54" s="12" t="str">
        <x:v>ZH-GOOD-023</x:v>
      </x:c>
      <x:c r="C54" s="15" t="str">
        <x:v>023</x:v>
      </x:c>
      <x:c r="D54" s="12" t="str">
        <x:v>Good</x:v>
      </x:c>
      <x:c r="E54" s="16" t="n">
        <x:v>70</x:v>
      </x:c>
      <x:c r="F54" s="16" t="n">
        <x:v>84</x:v>
      </x:c>
      <x:c r="G54" s="14" t="str">
        <x:v>政府統計處今日公布最新勞動人口數據，本港經季節性調整的失業率跌至百分之三點一，創下三年以來新低，顯示就業市場持續復甦。數據顯示，零售、住宿及餐飲服務業的就業人數增長最為顯著。勞工及福利局局長表示，政府將繼續推出再就業津貼及培訓計劃，協助失業人士重返職場。人力資源專家指出，雖然整體失業率下降，但部分基層職位仍面臨人手短缺問題。商會歡迎就業市場好轉，但提醒僱主需關注通脹對員工生活成本的影響。政府承諾將密切監察勞工市場變化，確保就業穩定。</x:v>
      </x:c>
    </x:row>
    <x:row r="55" ht="66" hidden="0" customHeight="1">
      <x:c r="A55" s="15" t="str">
        <x:v>054</x:v>
      </x:c>
      <x:c r="B55" s="12" t="str">
        <x:v>ZH-GOOD-024</x:v>
      </x:c>
      <x:c r="C55" s="15" t="str">
        <x:v>024</x:v>
      </x:c>
      <x:c r="D55" s="12" t="str">
        <x:v>Good</x:v>
      </x:c>
      <x:c r="E55" s="16" t="n">
        <x:v>70</x:v>
      </x:c>
      <x:c r="F55" s="16" t="n">
        <x:v>84</x:v>
      </x:c>
      <x:c r="G55" s="14" t="str">
        <x:v>本港著名主題公園今日宣布啟動歷來最大規模的擴建計劃，投資逾百億元增設全新機動遊戲及互動體驗區，預計二零三零年分階段落成。公園行政總裁表示，擴建將引入全球首創的虛擬實境過山車，並擴建主題酒店。旅遊發展局歡迎計劃，認為這將增強本港作為國際旅遊樞紐的吸引力。立法會經濟事務委員會委員促請政府優化交通配套，以應付未來新增的客流。環保團體則關注擴建工程對周邊生態的影響。公園承諾將採用環保建築標準，並設立生態保育基金，確保發展與環保並重。</x:v>
      </x:c>
    </x:row>
    <x:row r="56" ht="66" hidden="0" customHeight="1">
      <x:c r="A56" s="15" t="str">
        <x:v>055</x:v>
      </x:c>
      <x:c r="B56" s="12" t="str">
        <x:v>ZH-GOOD-025</x:v>
      </x:c>
      <x:c r="C56" s="15" t="str">
        <x:v>025</x:v>
      </x:c>
      <x:c r="D56" s="12" t="str">
        <x:v>Good</x:v>
      </x:c>
      <x:c r="E56" s="16" t="n">
        <x:v>70</x:v>
      </x:c>
      <x:c r="F56" s="16" t="n">
        <x:v>84</x:v>
      </x:c>
      <x:c r="G56" s="14" t="str">
        <x:v>本地股市今日下午開市後突現閃電式下跌，恆生指數於十五分鐘內急挫逾千點，其後在權重股帶動下迅速收復失地，最終僅微跌收市。證券及期貨事務監察委員會表示，已即時啟動監察機制，初步調查未發現異常交易或市場操縱行為。交易所發言人強調，市場基礎設施運作正常，流動性充足。財經界人士指出，閃電崩盤反映高頻交易在極端市況下的風險。投資者協會呼籲散戶保持冷靜，避免盲目追沽。政府發言人表示，本港金融系統穩健，有能力抵禦市場波動，並將與國際監管機構合作，提升市場抗逆力。</x:v>
      </x:c>
    </x:row>
    <x:row r="57" ht="66" hidden="0" customHeight="1">
      <x:c r="A57" s="15" t="str">
        <x:v>056</x:v>
      </x:c>
      <x:c r="B57" s="12" t="str">
        <x:v>ZH-GOOD-026</x:v>
      </x:c>
      <x:c r="C57" s="15" t="str">
        <x:v>026</x:v>
      </x:c>
      <x:c r="D57" s="12" t="str">
        <x:v>Good</x:v>
      </x:c>
      <x:c r="E57" s="16" t="n">
        <x:v>70</x:v>
      </x:c>
      <x:c r="F57" s="16" t="n">
        <x:v>84</x:v>
      </x:c>
      <x:c r="G57" s="14" t="str">
        <x:v>本地多間大學今日聯合宣布，將大幅調低下學年低收入家庭學生的學費，並增加獎學金名額，以減輕基層學生的經濟負擔。新措施涵蓋學士及碩士課程，預計惠及逾萬名學生。大學教育資助委員會歡迎決定，指這體現了大學的社會責任。學生會對此表示讚賞，認為這能有效促進教育公平。教育界團體促請政府帶頭增加資助，並檢討現有學生貸款計劃的息率。大學校長表示，將繼續推行多元共融政策，確保不同背景的學生都能在平等環境下學習，為社會培育優秀人才。</x:v>
      </x:c>
    </x:row>
    <x:row r="58" ht="66" hidden="0" customHeight="1">
      <x:c r="A58" s="15" t="str">
        <x:v>057</x:v>
      </x:c>
      <x:c r="B58" s="12" t="str">
        <x:v>ZH-GOOD-027</x:v>
      </x:c>
      <x:c r="C58" s="15" t="str">
        <x:v>027</x:v>
      </x:c>
      <x:c r="D58" s="12" t="str">
        <x:v>Good</x:v>
      </x:c>
      <x:c r="E58" s="16" t="n">
        <x:v>70</x:v>
      </x:c>
      <x:c r="F58" s="16" t="n">
        <x:v>84</x:v>
      </x:c>
      <x:c r="G58" s="14" t="str">
        <x:v>教育局今日公布小學課程改革指引，宣布由下學年起，全港小四至小六必須加入基礎編程及人工智能概念課程，以培養學生的運算思維及創新能力。新課程將融入常識科及數學科，並提供配套教材及教師培訓。教育局發言人表示，面對數字經濟時代，掌握科技知識對學生未來發展至關重要。家長教師會歡迎新措施，但擔憂加重學生學業壓力。科技界人士讚揚改革具前瞻性，建議政府引入業界專家參與課程設計。教育局承諾將定期檢討課程成效，並根據師生反饋進行優化，確保教學質素。</x:v>
      </x:c>
    </x:row>
    <x:row r="59" ht="66" hidden="0" customHeight="1">
      <x:c r="A59" s="15" t="str">
        <x:v>058</x:v>
      </x:c>
      <x:c r="B59" s="12" t="str">
        <x:v>ZH-GOOD-028</x:v>
      </x:c>
      <x:c r="C59" s="15" t="str">
        <x:v>028</x:v>
      </x:c>
      <x:c r="D59" s="12" t="str">
        <x:v>Good</x:v>
      </x:c>
      <x:c r="E59" s="16" t="n">
        <x:v>70</x:v>
      </x:c>
      <x:c r="F59" s="16" t="n">
        <x:v>84</x:v>
      </x:c>
      <x:c r="G59" s="14" t="str">
        <x:v>教育團體今日發布調查報告，指本港特殊學校正面臨嚴重的教師流失潮，過去一年離職率逾一成五，主因是工作壓力過大及薪酬缺乏競爭力。報告促請政府增加特殊學校的資源撥款，改善師生比例，並設立特殊教育津貼以挽留人才。教育局回應指，高度關注特殊學校的人手問題，已成立專責小組跟進。家長組織對報告結果感到憂慮，指教師流失直接影響學生的學習進度及照顧質素。立法會福利事務委員會委員促請政府全面檢討特殊教育政策，確保有特殊需要的學生得到適切的支援及優質的教育服務。</x:v>
      </x:c>
    </x:row>
    <x:row r="60" ht="66" hidden="0" customHeight="1">
      <x:c r="A60" s="15" t="str">
        <x:v>059</x:v>
      </x:c>
      <x:c r="B60" s="12" t="str">
        <x:v>ZH-GOOD-029</x:v>
      </x:c>
      <x:c r="C60" s="15" t="str">
        <x:v>029</x:v>
      </x:c>
      <x:c r="D60" s="12" t="str">
        <x:v>Good</x:v>
      </x:c>
      <x:c r="E60" s="16" t="n">
        <x:v>70</x:v>
      </x:c>
      <x:c r="F60" s="16" t="n">
        <x:v>84</x:v>
      </x:c>
      <x:c r="G60" s="14" t="str">
        <x:v>考試及評核局今日公布中學文憑試最新成績分析，顯示考生於數學科及延伸數學科的表現有顯著改善，平均及格率創下五年新高。考評局發言人指，這反映學校近年推行的教學改革及網上學習資源已見成效。教育局歡迎成績進步，並承諾將繼續支援學校優化數理教育。數學教育學會指出，雖然成績有進步，但頂尖考生比例未有明顯增加。大學理學院院長表示，將考慮調整收生計分方法，以吸引更多數理資優生報讀。考生對成績感到滿意，認為努力得到回報。考評局強調，將持續檢討評核機制，確保考試公平及具信效度。</x:v>
      </x:c>
    </x:row>
    <x:row r="61" ht="66" hidden="0" customHeight="1">
      <x:c r="A61" s="15" t="str">
        <x:v>060</x:v>
      </x:c>
      <x:c r="B61" s="12" t="str">
        <x:v>ZH-GOOD-030</x:v>
      </x:c>
      <x:c r="C61" s="15" t="str">
        <x:v>030</x:v>
      </x:c>
      <x:c r="D61" s="12" t="str">
        <x:v>Good</x:v>
      </x:c>
      <x:c r="E61" s="16" t="n">
        <x:v>70</x:v>
      </x:c>
      <x:c r="F61" s="16" t="n">
        <x:v>84</x:v>
      </x:c>
      <x:c r="G61" s="14" t="str">
        <x:v>政府今日於觀塘區啟用全新職業訓練中心，專門提供人工智能、綠色建築及護理服務等新興行業的培訓課程，預計每年可培訓逾五千名學員。勞工及福利局局長主持開幕禮時表示，中心將與業界緊密合作，確保課程內容貼合市場需求。建造業議會及安老服務協會歡迎中心落成，指這將有效紓緩業界人手短缺問題。培訓機構代表表示，將提供多種資助名額，鼓勵在職人士及青年報讀。立法會人力事務委員會委員促請政府加強就業配對服務。政府承諾將持續監察勞工市場趨勢，適時增設新课程，推動經濟多元發展。</x:v>
      </x:c>
    </x:row>
    <x:row r="62" ht="79.19999694824219" hidden="0" customHeight="1">
      <x:c r="A62" s="15" t="str">
        <x:v>061</x:v>
      </x:c>
      <x:c r="B62" s="12" t="str">
        <x:v>ZH-NORMAL-001</x:v>
      </x:c>
      <x:c r="C62" s="15" t="str">
        <x:v>001</x:v>
      </x:c>
      <x:c r="D62" s="12" t="str">
        <x:v>Normal</x:v>
      </x:c>
      <x:c r="E62" s="16" t="n">
        <x:v>50</x:v>
      </x:c>
      <x:c r="F62" s="16" t="n">
        <x:v>69</x:v>
      </x:c>
      <x:c r="G62" s="14" t="str">
        <x:v>今日早上八時許，港鐵東鐵綫發生信號故障，導致列車延誤，很多上班族和學生在月台等車。港鐵發言人說大圍站的信號組件老化失靈，所以發生故障。工程人員在九時十五分完成搶修，列車服務慢慢回復正常。政府局長對此表示關注，要求港鐵徹查成因並提交報告。受影響的乘客可以退款。立法會議員批評港鐵近年事故頻生，促請政府加強監管，確保鐵路網絡的安全與穩定，避免同類事件重演。今日的事故引起公眾關注，很多乘客對港鐵的服務感到不滿，認為港鐵應該改善系統，避免未來再次發生信號故障，導致列車延誤。市民對此感到極度不滿，認為服務質素亟待改善，促請當局正視問題。</x:v>
      </x:c>
    </x:row>
    <x:row r="63" ht="66" hidden="0" customHeight="1">
      <x:c r="A63" s="15" t="str">
        <x:v>062</x:v>
      </x:c>
      <x:c r="B63" s="12" t="str">
        <x:v>ZH-NORMAL-002</x:v>
      </x:c>
      <x:c r="C63" s="15" t="str">
        <x:v>002</x:v>
      </x:c>
      <x:c r="D63" s="12" t="str">
        <x:v>Normal</x:v>
      </x:c>
      <x:c r="E63" s="16" t="n">
        <x:v>50</x:v>
      </x:c>
      <x:c r="F63" s="16" t="n">
        <x:v>69</x:v>
      </x:c>
      <x:c r="G63" s="14" t="str">
        <x:v>房屋署今日宣布屯門東邨開放入伙，提供三千個單位。屋邨有環保設計和商場。房屋局局長說政府會加快建屋。居民對環境滿意，但社區團體指交通網絡未應付人口，促請增設巴士。房屋署說會與運輸部門協調。房屋署今日宣布屯門東邨開放入伙，提供三千個單位。屋邨有環保設計和商場。房屋局局長說政府會加快建屋。居民對環境滿意，但社區團體指交通網絡未應付人口，促請增設巴士。房屋署說會與運輸部門協調，確保交通配套完善。首批入伙的居民對居住環境表示滿意，尤其讚賞屋邨內綠化空間充足，適合一家大小居住。</x:v>
      </x:c>
    </x:row>
    <x:row r="64" ht="66" hidden="0" customHeight="1">
      <x:c r="A64" s="15" t="str">
        <x:v>063</x:v>
      </x:c>
      <x:c r="B64" s="12" t="str">
        <x:v>ZH-NORMAL-003</x:v>
      </x:c>
      <x:c r="C64" s="15" t="str">
        <x:v>003</x:v>
      </x:c>
      <x:c r="D64" s="12" t="str">
        <x:v>Normal</x:v>
      </x:c>
      <x:c r="E64" s="16" t="n">
        <x:v>50</x:v>
      </x:c>
      <x:c r="F64" s="16" t="n">
        <x:v>69</x:v>
      </x:c>
      <x:c r="G64" s="14" t="str">
        <x:v>天文台今日發出八號風球，學校停課，僱主要安排工作。民政處開放庇護中心。政府叫市民不要去岸邊，固定窗戶。機場有航班取消，旅客要留意消息。港鐵和巴士如常，渡輪停航。議員提醒防風，叫政府巡查水浸黑點。天文台今日發出八號風球，學校停課，僱主要安排工作。民政處開放庇護中心。政府叫市民不要去岸邊，固定窗戶。機場有航班取消，旅客要留意消息。港鐵和巴士如常，渡輪停航。議員提醒防風，叫政府巡查水浸黑點。立法會議員提醒市民做好防風措施，確保自身及家人安全，並促請政府加強巡查水浸黑點。</x:v>
      </x:c>
    </x:row>
    <x:row r="65" ht="66" hidden="0" customHeight="1">
      <x:c r="A65" s="15" t="str">
        <x:v>064</x:v>
      </x:c>
      <x:c r="B65" s="12" t="str">
        <x:v>ZH-NORMAL-004</x:v>
      </x:c>
      <x:c r="C65" s="15" t="str">
        <x:v>004</x:v>
      </x:c>
      <x:c r="D65" s="12" t="str">
        <x:v>Normal</x:v>
      </x:c>
      <x:c r="E65" s="16" t="n">
        <x:v>50</x:v>
      </x:c>
      <x:c r="F65" s="16" t="n">
        <x:v>69</x:v>
      </x:c>
      <x:c r="G65" s="14" t="str">
        <x:v>食環署和警方今日在旺角執法，打擊無牌小販。檢獲貨物和手推車，發出罰單。食環署說小販阻礙行人，會零容忍。區議員支持，叫政府設合法墟市。商戶歡迎，指小販阻街。警方說會繼續合作。食環署和警方今日在旺角執法，打擊無牌小販。檢獲貨物和手推車，發出罰單。食環署說小販阻礙行人，會零容忍。區議員支持，叫政府設合法墟市。商戶歡迎，指小販阻街。警方說會繼續合作。食物環境衞生署今日聯同警方在旺角區展開大規模聯合執法行動，嚴厲打擊非法街頭擺賣及無牌小販活動。</x:v>
      </x:c>
    </x:row>
    <x:row r="66" ht="52.79999923706055" hidden="0" customHeight="1">
      <x:c r="A66" s="15" t="str">
        <x:v>065</x:v>
      </x:c>
      <x:c r="B66" s="12" t="str">
        <x:v>ZH-NORMAL-005</x:v>
      </x:c>
      <x:c r="C66" s="15" t="str">
        <x:v>005</x:v>
      </x:c>
      <x:c r="D66" s="12" t="str">
        <x:v>Normal</x:v>
      </x:c>
      <x:c r="E66" s="16" t="n">
        <x:v>50</x:v>
      </x:c>
      <x:c r="F66" s="16" t="n">
        <x:v>69</x:v>
      </x:c>
      <x:c r="G66" s="14" t="str">
        <x:v>水務署說沙田水管爆裂，停水影響萬人。工程人員截水搶修，傍晚恢復。有水車和街喉，叫市民慳水。民政處幫長者取水。區議員叫水務署換水管。水務署說有計劃換。居民無奈。水務署說沙田水管爆裂，停水影響萬人。工程人員截水搶修，傍晚恢復。有水車和街喉，叫市民慳水。民政處幫長者取水。區議員叫水務署換水管。水務署說有計劃換。居民無奈。水務署今日宣布，沙田區部分大廈因地下主水管突然爆裂，導致食水供應中斷，影響逾萬名居民。</x:v>
      </x:c>
    </x:row>
    <x:row r="67" ht="66" hidden="0" customHeight="1">
      <x:c r="A67" s="15" t="str">
        <x:v>066</x:v>
      </x:c>
      <x:c r="B67" s="12" t="str">
        <x:v>ZH-NORMAL-006</x:v>
      </x:c>
      <x:c r="C67" s="15" t="str">
        <x:v>006</x:v>
      </x:c>
      <x:c r="D67" s="12" t="str">
        <x:v>Normal</x:v>
      </x:c>
      <x:c r="E67" s="16" t="n">
        <x:v>50</x:v>
      </x:c>
      <x:c r="F67" s="16" t="n">
        <x:v>69</x:v>
      </x:c>
      <x:c r="G67" s="14" t="str">
        <x:v>G20峰會在日內瓦結束，各國同意應對氣候變化和經濟復甦。簽署公報，投資可再生能源，設基金幫發展中國家。東道主說成果豐碩。聯合國秘書長歡迎，叫各國落實。港環保團體叫好，叫政府借鑒。財經界說綠色金融有機遇。G20峰會在日內瓦結束，各國同意應對氣候變化和經濟復甦。簽署公報，投資可再生能源，設基金幫發展中國家。東道主說成果豐碩。聯合國秘書長歡迎，叫各國落實。港環保團體叫好，叫政府借鑒。財經界說綠色金融有機遇。二十國集團峰會今日於日內瓦圓滿結束，各國領袖就應對氣候變化及推動全球經濟復甦達成共識。</x:v>
      </x:c>
    </x:row>
    <x:row r="68" ht="66" hidden="0" customHeight="1">
      <x:c r="A68" s="15" t="str">
        <x:v>067</x:v>
      </x:c>
      <x:c r="B68" s="12" t="str">
        <x:v>ZH-NORMAL-007</x:v>
      </x:c>
      <x:c r="C68" s="15" t="str">
        <x:v>007</x:v>
      </x:c>
      <x:c r="D68" s="12" t="str">
        <x:v>Normal</x:v>
      </x:c>
      <x:c r="E68" s="16" t="n">
        <x:v>50</x:v>
      </x:c>
      <x:c r="F68" s="16" t="n">
        <x:v>69</x:v>
      </x:c>
      <x:c r="G68" s="14" t="str">
        <x:v>日本東部地震，七點二級，一度有海嘯警報。建築物搖晃，停電停車。氣象廳解除警報，沒大破壞。內閣長官說沒大傷亡，叫自衛隊戒備。港保安局說沒港人受傷，叫港人注意安全。旅遊界改行程。日本東部地震，七點二級，一度有海嘯警報。建築物搖晃，停電停車。氣象廳解除警報，沒大破壞。內閣長官說沒大傷亡，叫自衛隊戒備。港保安局說沒港人受傷，叫港人注意安全。旅遊界改行程。日本本州東部沿海地區今日清晨發生黎克特制七點二級強烈地震，當局一度發出海嘯警報，呼籲沿岸居民緊急撤離。</x:v>
      </x:c>
    </x:row>
    <x:row r="69" ht="66" hidden="0" customHeight="1">
      <x:c r="A69" s="15" t="str">
        <x:v>068</x:v>
      </x:c>
      <x:c r="B69" s="12" t="str">
        <x:v>ZH-NORMAL-008</x:v>
      </x:c>
      <x:c r="C69" s="15" t="str">
        <x:v>008</x:v>
      </x:c>
      <x:c r="D69" s="12" t="str">
        <x:v>Normal</x:v>
      </x:c>
      <x:c r="E69" s="16" t="n">
        <x:v>50</x:v>
      </x:c>
      <x:c r="F69" s="16" t="n">
        <x:v>69</x:v>
      </x:c>
      <x:c r="G69" s="14" t="str">
        <x:v>國際貿易組織說兩大經濟體達成協議，撤銷關稅。分階段降壁壘，設委員會監督。股市正面，出口股升。港總商會歡迎，降成本。經濟學者說有地緣風險。政府說會監察，幫中小企。國際貿易組織說兩大經濟體達成協議，撤銷關稅。分階段降壁壘，設委員會監督。股市正面，出口股升。港總商會歡迎，降成本。經濟學者說有地緣風險。政府說會監察，幫中小企。國際貿易組織今日宣布，兩大經濟體已就長期貿易爭端達成初步協議，同意互相撤銷部分懲罰性關稅，以促進全球供應鏈穩定。</x:v>
      </x:c>
    </x:row>
    <x:row r="70" ht="52.79999923706055" hidden="0" customHeight="1">
      <x:c r="A70" s="15" t="str">
        <x:v>069</x:v>
      </x:c>
      <x:c r="B70" s="12" t="str">
        <x:v>ZH-NORMAL-009</x:v>
      </x:c>
      <x:c r="C70" s="15" t="str">
        <x:v>009</x:v>
      </x:c>
      <x:c r="D70" s="12" t="str">
        <x:v>Normal</x:v>
      </x:c>
      <x:c r="E70" s="16" t="n">
        <x:v>50</x:v>
      </x:c>
      <x:c r="F70" s="16" t="n">
        <x:v>69</x:v>
      </x:c>
      <x:c r="G70" s="14" t="str">
        <x:v>聯合國安理會通過決議，派維和部隊去中東，監督停火。草案叫各方停火。秘書長歡迎，說有和平曙光。港學者說反映關注，但要看合作。政府支持，撥款捐助。聯合國安理會通過決議，派維和部隊去中東，監督停火。草案叫各方停火。秘書長歡迎，說有和平曙光。港學者說反映關注，但要看合作。政府支持，撥款捐助。聯合國安理會今日一致通過決議，授權向中東衝突地區增派維和部隊，以監督停火協議的落實並保護平民安全。</x:v>
      </x:c>
    </x:row>
    <x:row r="71" ht="52.79999923706055" hidden="0" customHeight="1">
      <x:c r="A71" s="15" t="str">
        <x:v>070</x:v>
      </x:c>
      <x:c r="B71" s="12" t="str">
        <x:v>ZH-NORMAL-010</x:v>
      </x:c>
      <x:c r="C71" s="15" t="str">
        <x:v>010</x:v>
      </x:c>
      <x:c r="D71" s="12" t="str">
        <x:v>Normal</x:v>
      </x:c>
      <x:c r="E71" s="16" t="n">
        <x:v>50</x:v>
      </x:c>
      <x:c r="F71" s="16" t="n">
        <x:v>69</x:v>
      </x:c>
      <x:c r="G71" s="14" t="str">
        <x:v>國際民航組織簽新協定，統一無人機監管和航班安全。要註冊和共享數據。民航處說明年修法。航空業歡迎，提升保安。議員叫政府快立法，教育公眾。國際民航組織簽新協定，統一無人機監管和航班安全。要註冊和共享數據。民航處說明年修法。航空業歡迎，提升保安。議員叫政府快立法，教育公眾。國際民用航空組織今日於瑞士日內瓦簽署全球航空安全新協定，旨在統一各國的無人機監管標準及加強跨境航班的安全合作。</x:v>
      </x:c>
    </x:row>
    <x:row r="72" ht="66" hidden="0" customHeight="1">
      <x:c r="A72" s="15" t="str">
        <x:v>071</x:v>
      </x:c>
      <x:c r="B72" s="12" t="str">
        <x:v>ZH-NORMAL-011</x:v>
      </x:c>
      <x:c r="C72" s="15" t="str">
        <x:v>011</x:v>
      </x:c>
      <x:c r="D72" s="12" t="str">
        <x:v>Normal</x:v>
      </x:c>
      <x:c r="E72" s="16" t="n">
        <x:v>50</x:v>
      </x:c>
      <x:c r="F72" s="16" t="n">
        <x:v>69</x:v>
      </x:c>
      <x:c r="G72" s="14" t="str">
        <x:v>本地初創研發AI診斷系統，獲醫管局批准測試。分析數據，準確率高，縮短輪候。團隊說只作參考。醫管局歡迎，提升效率。專家說智慧醫療進步，叫政府撥款。病人組織期待。本地初創研發AI診斷系統，獲醫管局批准測試。分析數據，準確率高，縮短輪候。團隊說只作參考。醫管局歡迎，提升效率。專家說智慧醫療進步，叫政府撥款。病人組織期待。本地科技初創企業今日宣布成功研發全港首部人工智能輔助診斷系統，並獲醫院管理局批准於公立醫院進行臨床測試。</x:v>
      </x:c>
    </x:row>
    <x:row r="73" ht="52.79999923706055" hidden="0" customHeight="1">
      <x:c r="A73" s="15" t="str">
        <x:v>072</x:v>
      </x:c>
      <x:c r="B73" s="12" t="str">
        <x:v>ZH-NORMAL-012</x:v>
      </x:c>
      <x:c r="C73" s="15" t="str">
        <x:v>012</x:v>
      </x:c>
      <x:c r="D73" s="12" t="str">
        <x:v>Normal</x:v>
      </x:c>
      <x:c r="E73" s="16" t="n">
        <x:v>50</x:v>
      </x:c>
      <x:c r="F73" s="16" t="n">
        <x:v>69</x:v>
      </x:c>
      <x:c r="G73" s="14" t="str">
        <x:v>NetCom遭網絡攻擊，百萬客戶資料外洩。切斷連接，報警。私隱專員介入，叫市民防騙。議員批評保安漏洞。NetCom說提供監察服務，檢討保安。NetCom遭網絡攻擊，百萬客戶資料外洩。切斷連接，報警。私隱專員介入，叫市民防騙。議員批評保安漏洞。NetCom說提供監察服務，檢討保安。本港大型電訊商「NetCom」今日承認遭遇嚴重網絡攻擊，導致逾百萬客戶的個人資料外洩，包括姓名、身份證號碼及聯絡方式。</x:v>
      </x:c>
    </x:row>
    <x:row r="74" ht="52.79999923706055" hidden="0" customHeight="1">
      <x:c r="A74" s="15" t="str">
        <x:v>073</x:v>
      </x:c>
      <x:c r="B74" s="12" t="str">
        <x:v>ZH-NORMAL-013</x:v>
      </x:c>
      <x:c r="C74" s="15" t="str">
        <x:v>013</x:v>
      </x:c>
      <x:c r="D74" s="12" t="str">
        <x:v>Normal</x:v>
      </x:c>
      <x:c r="E74" s="16" t="n">
        <x:v>50</x:v>
      </x:c>
      <x:c r="F74" s="16" t="n">
        <x:v>69</x:v>
      </x:c>
      <x:c r="G74" s="14" t="str">
        <x:v>通訊辦說九龍5G完工，覆蓋九成。提供高速服務，助智慧城市。電訊商說助自動駕駛。政府說推進偏遠覆蓋。商界歡迎，叫政府給誘因。通訊辦說九龍5G完工，覆蓋九成。提供高速服務，助智慧城市。電訊商說助自動駕駛。政府說推進偏遠覆蓋。商界歡迎，叫政府給誘因。通訊事務管理局辦公室今日宣布，九龍區五個核心商業區的5G網絡鋪設工程已全面竣工，標誌著本港5G覆蓋率達到九成以上。</x:v>
      </x:c>
    </x:row>
    <x:row r="75" ht="52.79999923706055" hidden="0" customHeight="1">
      <x:c r="A75" s="15" t="str">
        <x:v>074</x:v>
      </x:c>
      <x:c r="B75" s="12" t="str">
        <x:v>ZH-NORMAL-014</x:v>
      </x:c>
      <x:c r="C75" s="15" t="str">
        <x:v>014</x:v>
      </x:c>
      <x:c r="D75" s="12" t="str">
        <x:v>Normal</x:v>
      </x:c>
      <x:c r="E75" s="16" t="n">
        <x:v>50</x:v>
      </x:c>
      <x:c r="F75" s="16" t="n">
        <x:v>69</x:v>
      </x:c>
      <x:c r="G75" s="14" t="str">
        <x:v>科技巨頭發布摺疊手機，輕薄多工。新鉸鏈和AI晶片。總裁說港是理想地點。電訊商推優惠。消委會叫留意保養。評論員說技術成熟但貴。科技巨頭發布摺疊手機，輕薄多工。新鉸鏈和AI晶片。總裁說港是理想地點。電訊商推優惠。消委會叫留意保養。評論員說技術成熟但貴。國際知名科技巨頭今日於本港舉行亞洲區發布會，正式推出最新一代摺疊屏幕智能手機，主打輕薄設計及多工處理功能。</x:v>
      </x:c>
    </x:row>
    <x:row r="76" ht="52.79999923706055" hidden="0" customHeight="1">
      <x:c r="A76" s="15" t="str">
        <x:v>075</x:v>
      </x:c>
      <x:c r="B76" s="12" t="str">
        <x:v>ZH-NORMAL-015</x:v>
      </x:c>
      <x:c r="C76" s="15" t="str">
        <x:v>015</x:v>
      </x:c>
      <x:c r="D76" s="12" t="str">
        <x:v>Normal</x:v>
      </x:c>
      <x:c r="E76" s="16" t="n">
        <x:v>50</x:v>
      </x:c>
      <x:c r="F76" s="16" t="n">
        <x:v>69</x:v>
      </x:c>
      <x:c r="G76" s="14" t="str">
        <x:v>運輸署和科學園啟動自動駕駛巴士測試。有雷射雷達，保安全。運輸署說收數據。科學園歡迎。乘客讚平穩。議員叫擴大測試，教育公眾。運輸署和科學園啟動自動駕駛巴士測試。有雷射雷達，保安全。運輸署說收數據。科學園歡迎。乘客讚平穩。議員叫擴大測試，教育公眾。運輸署與科技園公司合作，今日正式啟動全港首個自動駕駛巴士試驗計劃，於科學園內提供免費接駁服務。</x:v>
      </x:c>
    </x:row>
    <x:row r="77" ht="52.79999923706055" hidden="0" customHeight="1">
      <x:c r="A77" s="15" t="str">
        <x:v>076</x:v>
      </x:c>
      <x:c r="B77" s="12" t="str">
        <x:v>ZH-NORMAL-016</x:v>
      </x:c>
      <x:c r="C77" s="15" t="str">
        <x:v>016</x:v>
      </x:c>
      <x:c r="D77" s="12" t="str">
        <x:v>Normal</x:v>
      </x:c>
      <x:c r="E77" s="16" t="n">
        <x:v>50</x:v>
      </x:c>
      <x:c r="F77" s="16" t="n">
        <x:v>69</x:v>
      </x:c>
      <x:c r="G77" s="14" t="str">
        <x:v>防護中心確認首宗新流感，患者穩定。送樣本分析，啟動機制。署長叫市民打針。醫管局有藥和床。專家說傳播力強。政府快買疫苗。防護中心確認首宗新流感，患者穩定。送樣本分析，啟動機制。署長叫市民打針。醫管局有藥和床。專家說傳播力強。政府快買疫苗。衞生防護中心今日確認本港出現首宗新型流感變異病毒感染個案，患者為一名有外遊記錄的年輕男子，目前情況穩定。</x:v>
      </x:c>
    </x:row>
    <x:row r="78" ht="52.79999923706055" hidden="0" customHeight="1">
      <x:c r="A78" s="15" t="str">
        <x:v>077</x:v>
      </x:c>
      <x:c r="B78" s="12" t="str">
        <x:v>ZH-NORMAL-017</x:v>
      </x:c>
      <x:c r="C78" s="15" t="str">
        <x:v>017</x:v>
      </x:c>
      <x:c r="D78" s="12" t="str">
        <x:v>Normal</x:v>
      </x:c>
      <x:c r="E78" s="16" t="n">
        <x:v>50</x:v>
      </x:c>
      <x:c r="F78" s="16" t="n">
        <x:v>69</x:v>
      </x:c>
      <x:c r="G78" s="14" t="str">
        <x:v>醫管局說急症室輪候創新高，要等八小時。流感加降溫，人多。設夜間門診，叫輕症看私家。議員關注，叫政府撥款。病人組織批評超負荷。醫管局說檢討。醫管局說急症室輪候創新高，要等八小時。流感加降溫，人多。設夜間門診，叫輕症看私家。議員關注，叫政府撥款。病人組織批評超負荷。醫管局說檢討。醫院管理局今日公布最新數據，顯示公立醫院急症室過去一周的平均輪候時間創下三年新高，部分醫院更需輪候逾八小時才能獲得診治。</x:v>
      </x:c>
    </x:row>
    <x:row r="79" ht="52.79999923706055" hidden="0" customHeight="1">
      <x:c r="A79" s="15" t="str">
        <x:v>078</x:v>
      </x:c>
      <x:c r="B79" s="12" t="str">
        <x:v>ZH-NORMAL-018</x:v>
      </x:c>
      <x:c r="C79" s="15" t="str">
        <x:v>018</x:v>
      </x:c>
      <x:c r="D79" s="12" t="str">
        <x:v>Normal</x:v>
      </x:c>
      <x:c r="E79" s="16" t="n">
        <x:v>50</x:v>
      </x:c>
      <x:c r="F79" s="16" t="n">
        <x:v>69</x:v>
      </x:c>
      <x:c r="G79" s="14" t="str">
        <x:v>醫務局收緊美容監管，侵入性要醫生監督。明年一月實施。商會支持，提升專業。消委會歡迎，保權益。議員叫巡查設熱線。業界說會淘汰小中心。醫務局收緊美容監管，侵入性要醫生監督。明年一月實施。商會支持，提升專業。消委會歡迎，保權益。議員叫巡查設熱線。業界說會淘汰小中心。醫務衞生局今日宣布收緊美容業監管條例，規定所有涉及侵入性程序的醫學美容服務必須由註冊醫生主理或監督，違者將面臨重罰及吊銷牌照。</x:v>
      </x:c>
    </x:row>
    <x:row r="80" ht="52.79999923706055" hidden="0" customHeight="1">
      <x:c r="A80" s="15" t="str">
        <x:v>079</x:v>
      </x:c>
      <x:c r="B80" s="12" t="str">
        <x:v>ZH-NORMAL-019</x:v>
      </x:c>
      <x:c r="C80" s="15" t="str">
        <x:v>019</x:v>
      </x:c>
      <x:c r="D80" s="12" t="str">
        <x:v>Normal</x:v>
      </x:c>
      <x:c r="E80" s="16" t="n">
        <x:v>50</x:v>
      </x:c>
      <x:c r="F80" s="16" t="n">
        <x:v>69</x:v>
      </x:c>
      <x:c r="G80" s="14" t="str">
        <x:v>港大研發血液檢測，早診阿爾茨海默，準確九成。抽血，平過掃描。準備臨床測試。署歡迎，早治療。家屬期待。專家說領先。港大研發血液檢測，早診阿爾茨海默，準確九成。抽血，平過掃描。準備臨床測試。署歡迎，早治療。家屬期待。專家說領先。香港大學醫學院研究團隊今日在國際權威期刊發表突破性研究成果，成功研發出一種新型血液檢測技術，能於阿爾茨海默症早期階段準確診斷出病情，準確率逾九成。</x:v>
      </x:c>
    </x:row>
    <x:row r="81" ht="52.79999923706055" hidden="0" customHeight="1">
      <x:c r="A81" s="15" t="str">
        <x:v>080</x:v>
      </x:c>
      <x:c r="B81" s="12" t="str">
        <x:v>ZH-NORMAL-020</x:v>
      </x:c>
      <x:c r="C81" s="15" t="str">
        <x:v>020</x:v>
      </x:c>
      <x:c r="D81" s="12" t="str">
        <x:v>Normal</x:v>
      </x:c>
      <x:c r="E81" s="16" t="n">
        <x:v>50</x:v>
      </x:c>
      <x:c r="F81" s="16" t="n">
        <x:v>69</x:v>
      </x:c>
      <x:c r="G81" s="14" t="str">
        <x:v>防護中心說黃大仙登革熱爆發，五宗。去過公園。滅蚊消毒，清積水。食環加滅蚊。專家叫防蚊。議員叫改善排水。政府宣傳防蚊。防護中心說黃大仙登革熱爆發，五宗。去過公園。滅蚊消毒，清積水。食環加滅蚊。專家叫防蚊。議員叫改善排水。政府宣傳防蚊。衞生防護中心今日公布，黃大仙區出現登革熱群組爆發，過去兩周錄得五宗本地個案，患者均曾到訪區內某公園。</x:v>
      </x:c>
    </x:row>
    <x:row r="82" ht="52.79999923706055" hidden="0" customHeight="1">
      <x:c r="A82" s="15" t="str">
        <x:v>081</x:v>
      </x:c>
      <x:c r="B82" s="12" t="str">
        <x:v>ZH-NORMAL-021</x:v>
      </x:c>
      <x:c r="C82" s="15" t="str">
        <x:v>021</x:v>
      </x:c>
      <x:c r="D82" s="12" t="str">
        <x:v>Normal</x:v>
      </x:c>
      <x:c r="E82" s="16" t="n">
        <x:v>50</x:v>
      </x:c>
      <x:c r="F82" s="16" t="n">
        <x:v>69</x:v>
      </x:c>
      <x:c r="G82" s="14" t="str">
        <x:v>恒輝百貨第三季盈利跌三成，遊客少消費弱。關鋪，投資電商。分析員說要轉型。政府發消費券。商會叫減租。恒輝說挑戰大但樂觀。恒輝百貨第三季盈利跌三成，遊客少消費弱。關鋪，投資電商。分析員說要轉型。政府發消費券。商會叫減租。恒輝說挑戰大但樂觀。本港大型零售集團「恒輝百貨」今日公布第三季度業績，純利按年大跌三成，主要受內地旅客消費模式改變及本地消費意欲疲弱影響。</x:v>
      </x:c>
    </x:row>
    <x:row r="83" ht="52.79999923706055" hidden="0" customHeight="1">
      <x:c r="A83" s="15" t="str">
        <x:v>082</x:v>
      </x:c>
      <x:c r="B83" s="12" t="str">
        <x:v>ZH-NORMAL-022</x:v>
      </x:c>
      <x:c r="C83" s="15" t="str">
        <x:v>022</x:v>
      </x:c>
      <x:c r="D83" s="12" t="str">
        <x:v>Normal</x:v>
      </x:c>
      <x:c r="E83" s="16" t="n">
        <x:v>50</x:v>
      </x:c>
      <x:c r="F83" s="16" t="n">
        <x:v>69</x:v>
      </x:c>
      <x:c r="G83" s="14" t="str">
        <x:v>財司推綠色科技稅務優惠，投資碳中和扣稅。鼓勵轉型。稅局簡化程序。商界歡迎。環保團體叫防漂綠。議員叫擴大範圍。政府說檢討。財司推綠色科技稅務優惠，投資碳中和扣稅。鼓勵轉型。稅局簡化程序。商界歡迎。環保團體叫防漂綠。議員叫擴大範圍。政府說檢討。財政司司長今日宣布推出新一輪綠色科技稅務優惠，凡投資於碳中和技術及可再生能源的本地企業，可獲高達兩倍的利得稅扣減。</x:v>
      </x:c>
    </x:row>
    <x:row r="84" ht="52.79999923706055" hidden="0" customHeight="1">
      <x:c r="A84" s="15" t="str">
        <x:v>083</x:v>
      </x:c>
      <x:c r="B84" s="12" t="str">
        <x:v>ZH-NORMAL-023</x:v>
      </x:c>
      <x:c r="C84" s="15" t="str">
        <x:v>023</x:v>
      </x:c>
      <x:c r="D84" s="12" t="str">
        <x:v>Normal</x:v>
      </x:c>
      <x:c r="E84" s="16" t="n">
        <x:v>50</x:v>
      </x:c>
      <x:c r="F84" s="16" t="n">
        <x:v>69</x:v>
      </x:c>
      <x:c r="G84" s="14" t="str">
        <x:v>統計處說失業率跌到三點一，三年低。零售餐飲增長。勞工局推津貼培訓。專家說基層缺人。商會叫加薪。政府監察。統計處說失業率跌到三點一，三年低。零售餐飲增長。勞工局推津貼培訓。專家說基層缺人。商會叫加薪。政府監察。政府統計處今日公布最新勞動人口數據，本港經季節性調整的失業率跌至百分之三點一，創下三年以來新低，顯示就業市場持續復甦。</x:v>
      </x:c>
    </x:row>
    <x:row r="85" ht="52.79999923706055" hidden="0" customHeight="1">
      <x:c r="A85" s="15" t="str">
        <x:v>084</x:v>
      </x:c>
      <x:c r="B85" s="12" t="str">
        <x:v>ZH-NORMAL-024</x:v>
      </x:c>
      <x:c r="C85" s="15" t="str">
        <x:v>024</x:v>
      </x:c>
      <x:c r="D85" s="12" t="str">
        <x:v>Normal</x:v>
      </x:c>
      <x:c r="E85" s="16" t="n">
        <x:v>50</x:v>
      </x:c>
      <x:c r="F85" s="16" t="n">
        <x:v>69</x:v>
      </x:c>
      <x:c r="G85" s="14" t="str">
        <x:v>主題公園擴建，投資百億，加遊戲和酒店。總裁說提升體驗。旅發局歡迎。議員叫優化交通。環保關注生態。公園說環保。主題公園擴建，投資百億，加遊戲和酒店。總裁說提升體驗。旅發局歡迎。議員叫優化交通。環保關注生態。公園說環保。本港著名主題公園今日宣布啟動歷來最大規模的擴建計劃，投資逾百億元增設全新機動遊戲及互動體驗區，預計二零三零年分階段落成。</x:v>
      </x:c>
    </x:row>
    <x:row r="86" ht="52.79999923706055" hidden="0" customHeight="1">
      <x:c r="A86" s="15" t="str">
        <x:v>085</x:v>
      </x:c>
      <x:c r="B86" s="12" t="str">
        <x:v>ZH-NORMAL-025</x:v>
      </x:c>
      <x:c r="C86" s="15" t="str">
        <x:v>025</x:v>
      </x:c>
      <x:c r="D86" s="12" t="str">
        <x:v>Normal</x:v>
      </x:c>
      <x:c r="E86" s="16" t="n">
        <x:v>50</x:v>
      </x:c>
      <x:c r="F86" s="16" t="n">
        <x:v>69</x:v>
      </x:c>
      <x:c r="G86" s="14" t="str">
        <x:v>股市閃電跌千點，後收復。證監會查，沒操縱。交易所說正常。財經界說高頻風險。協會叫冷靜。政府說穩健。股市閃電跌千點，後收復。證監會查，沒操縱。交易所說正常。財經界說高頻風險。協會叫冷靜。政府說穩健。本地股市今日下午開市後突現閃電式下跌，恆生指數於十五分鐘內急挫逾千點，其後在權重股帶動下迅速收復失地，最終僅微跌收市。</x:v>
      </x:c>
    </x:row>
    <x:row r="87" ht="39.599998474121094" hidden="0" customHeight="1">
      <x:c r="A87" s="15" t="str">
        <x:v>086</x:v>
      </x:c>
      <x:c r="B87" s="12" t="str">
        <x:v>ZH-NORMAL-026</x:v>
      </x:c>
      <x:c r="C87" s="15" t="str">
        <x:v>026</x:v>
      </x:c>
      <x:c r="D87" s="12" t="str">
        <x:v>Normal</x:v>
      </x:c>
      <x:c r="E87" s="16" t="n">
        <x:v>50</x:v>
      </x:c>
      <x:c r="F87" s="16" t="n">
        <x:v>69</x:v>
      </x:c>
      <x:c r="G87" s="14" t="str">
        <x:v>大學減低收入學生學費，加獎學金。教資會歡迎。學生會讚。教育界叫政府資助。校長說多元共融。大學減低收入學生學費，加獎學金。教資會歡迎。學生會讚。教育界叫政府資助。校長說多元共融。本地多間大學今日聯合宣布，將大幅調低下學年低收入家庭學生的學費，並增加獎學金名額，以減輕基層學生的經濟負擔。</x:v>
      </x:c>
    </x:row>
    <x:row r="88" ht="52.79999923706055" hidden="0" customHeight="1">
      <x:c r="A88" s="15" t="str">
        <x:v>087</x:v>
      </x:c>
      <x:c r="B88" s="12" t="str">
        <x:v>ZH-NORMAL-027</x:v>
      </x:c>
      <x:c r="C88" s="15" t="str">
        <x:v>027</x:v>
      </x:c>
      <x:c r="D88" s="12" t="str">
        <x:v>Normal</x:v>
      </x:c>
      <x:c r="E88" s="16" t="n">
        <x:v>50</x:v>
      </x:c>
      <x:c r="F88" s="16" t="n">
        <x:v>69</x:v>
      </x:c>
      <x:c r="G88" s="14" t="str">
        <x:v>教育局小學加編程和AI課。融入常識數學。局說重要。家教會怕壓力。科技界叫業界參與。局說檢討。教育局小學加編程和AI課。融入常識數學。局說重要。家教會怕壓力。科技界叫業界參與。局說檢討。教育局今日公布小學課程改革指引，宣布由下學年起，全港小四至小六必須加入基礎編程及人工智能概念課程，以培養學生的運算思維及創新能力。</x:v>
      </x:c>
    </x:row>
    <x:row r="89" ht="52.79999923706055" hidden="0" customHeight="1">
      <x:c r="A89" s="15" t="str">
        <x:v>088</x:v>
      </x:c>
      <x:c r="B89" s="12" t="str">
        <x:v>ZH-NORMAL-028</x:v>
      </x:c>
      <x:c r="C89" s="15" t="str">
        <x:v>028</x:v>
      </x:c>
      <x:c r="D89" s="12" t="str">
        <x:v>Normal</x:v>
      </x:c>
      <x:c r="E89" s="16" t="n">
        <x:v>50</x:v>
      </x:c>
      <x:c r="F89" s="16" t="n">
        <x:v>69</x:v>
      </x:c>
      <x:c r="G89" s="14" t="str">
        <x:v>調查說特殊學校教師流失一成五，壓力大薪酬低。叫政府撥款加津貼。教育局跟進。家長憂慮。議員叫檢討。調查說特殊學校教師流失一成五，壓力大薪酬低。叫政府撥款加津貼。教育局跟進。家長憂慮。議員叫檢討。教育團體今日發布調查報告，指本港特殊學校正面臨嚴重的教師流失潮，過去一年離職率逾一成五，主因是工作壓力過大及薪酬缺乏競爭力。</x:v>
      </x:c>
    </x:row>
    <x:row r="90" ht="52.79999923706055" hidden="0" customHeight="1">
      <x:c r="A90" s="15" t="str">
        <x:v>089</x:v>
      </x:c>
      <x:c r="B90" s="12" t="str">
        <x:v>ZH-NORMAL-029</x:v>
      </x:c>
      <x:c r="C90" s="15" t="str">
        <x:v>029</x:v>
      </x:c>
      <x:c r="D90" s="12" t="str">
        <x:v>Normal</x:v>
      </x:c>
      <x:c r="E90" s="16" t="n">
        <x:v>50</x:v>
      </x:c>
      <x:c r="F90" s="16" t="n">
        <x:v>69</x:v>
      </x:c>
      <x:c r="G90" s="14" t="str">
        <x:v>考評局說DSE數學進步，及格率五年高。局說改革有效。教育局歡迎。學會說頂尖沒多。大學調整計分。考生滿意。考評局說檢討。考評局說DSE數學進步，及格率五年高。局說改革有效。教育局歡迎。學會說頂尖沒多。大學調整計分。考生滿意。考評局說檢討。考試及評核局今日公布中學文憑試最新成績分析，顯示考生於數學科及延伸數學科的表現有顯著改善，平均及格率創下五年新高。</x:v>
      </x:c>
    </x:row>
    <x:row r="91" ht="52.79999923706055" hidden="0" customHeight="1">
      <x:c r="A91" s="15" t="str">
        <x:v>090</x:v>
      </x:c>
      <x:c r="B91" s="12" t="str">
        <x:v>ZH-NORMAL-030</x:v>
      </x:c>
      <x:c r="C91" s="15" t="str">
        <x:v>030</x:v>
      </x:c>
      <x:c r="D91" s="12" t="str">
        <x:v>Normal</x:v>
      </x:c>
      <x:c r="E91" s="16" t="n">
        <x:v>50</x:v>
      </x:c>
      <x:c r="F91" s="16" t="n">
        <x:v>69</x:v>
      </x:c>
      <x:c r="G91" s="14" t="str">
        <x:v>觀塘新職訓中心啟用，教AI和護理。每年訓五千。局長說貼合市場。議會歡迎。機構給資助。議員叫配對。政府監察。觀塘新職訓中心啟用，教AI和護理。每年訓五千。局長說貼合市場。議會歡迎。機構給資助。議員叫配對。政府監察。政府今日於觀塘區啟用全新職業訓練中心，專門提供人工智能、綠色建築及護理服務等新興行業的培訓課程，預計每年可培訓逾五千名學員。</x:v>
      </x:c>
    </x:row>
    <x:row r="92" ht="79.19999694824219" hidden="0" customHeight="1">
      <x:c r="A92" s="15" t="str">
        <x:v>091</x:v>
      </x:c>
      <x:c r="B92" s="12" t="str">
        <x:v>ZH-BAD-001</x:v>
      </x:c>
      <x:c r="C92" s="15" t="str">
        <x:v>001</x:v>
      </x:c>
      <x:c r="D92" s="12" t="str">
        <x:v>Bad</x:v>
      </x:c>
      <x:c r="E92" s="16" t="n">
        <x:v>30</x:v>
      </x:c>
      <x:c r="F92" s="16" t="n">
        <x:v>49</x:v>
      </x:c>
      <x:c r="G92" s="14" t="str">
        <x:v>今日早上港鐵東鐵綫發生信號故障，很多上班族和學生在月台等車，導致列車延誤。港鐵發言人說大圍站的信號組件老化失靈，所以發生故障。政府局長對此表示關注，要求港鐵徹查成因。受影響的乘客可以退款。立法會議員批評港鐵近年事故頻生，促請政府加強監管。今日的事故引起公眾關注，很多乘客對港鐵的服務感到不滿，認為港鐵應該改善系統，避免未來再次發生信號故障，導致列車延誤。工程人員在九時十五分完成搶修，列車服務慢慢回復正常。港鐵發言人解釋故障源於大圍站附近的信號系統核心組件突然老化失靈。市民對此感到極度不滿，認為服務質素亟待改善，促請當局正視問題。</x:v>
      </x:c>
    </x:row>
    <x:row r="93" ht="52.79999923706055" hidden="0" customHeight="1">
      <x:c r="A93" s="15" t="str">
        <x:v>092</x:v>
      </x:c>
      <x:c r="B93" s="12" t="str">
        <x:v>ZH-BAD-002</x:v>
      </x:c>
      <x:c r="C93" s="15" t="str">
        <x:v>002</x:v>
      </x:c>
      <x:c r="D93" s="12" t="str">
        <x:v>Bad</x:v>
      </x:c>
      <x:c r="E93" s="16" t="n">
        <x:v>30</x:v>
      </x:c>
      <x:c r="F93" s="16" t="n">
        <x:v>49</x:v>
      </x:c>
      <x:c r="G93" s="14" t="str">
        <x:v>屯門東邨今日開放入伙，房屋署宣布。提供三千個單位。房屋局局長說政府會加快建屋。居民對環境滿意，社區團體指交通網絡未應付人口。房屋署說會與運輸部門協調。屯門東邨今日開放入伙，房屋署宣布。提供三千個單位。房屋局局長說政府會加快建屋。居民對環境滿意，社區團體指交通網絡未應付人口。房屋署說會與運輸部門協調。房屋署今日宣布屯門東邨開放入伙，提供三千個單位。屋邨有環保設計和商場。房屋局局長說政府會加快建屋。</x:v>
      </x:c>
    </x:row>
    <x:row r="94" ht="52.79999923706055" hidden="0" customHeight="1">
      <x:c r="A94" s="15" t="str">
        <x:v>093</x:v>
      </x:c>
      <x:c r="B94" s="12" t="str">
        <x:v>ZH-BAD-003</x:v>
      </x:c>
      <x:c r="C94" s="15" t="str">
        <x:v>003</x:v>
      </x:c>
      <x:c r="D94" s="12" t="str">
        <x:v>Bad</x:v>
      </x:c>
      <x:c r="E94" s="16" t="n">
        <x:v>30</x:v>
      </x:c>
      <x:c r="F94" s="16" t="n">
        <x:v>49</x:v>
      </x:c>
      <x:c r="G94" s="14" t="str">
        <x:v>天文台今日發出八號風球。學校停課，僱主要安排工作。民政處開放庇護中心。政府叫市民不要去岸邊，固定窗戶。機場有航班取消，旅客要留意消息。港鐵和巴士如常，渡輪停航。議員提醒防風，叫政府巡查水浸黑點。天文台今日發出八號風球。學校停課，僱主要安排工作。民政處開放庇護中心。政府叫市民不要去岸邊，固定窗戶。機場有航班取消，旅客要留意消息。港鐵和巴士如常，渡輪停航。議員提醒防風，叫政府巡查水浸黑點。</x:v>
      </x:c>
    </x:row>
    <x:row r="95" ht="52.79999923706055" hidden="0" customHeight="1">
      <x:c r="A95" s="15" t="str">
        <x:v>094</x:v>
      </x:c>
      <x:c r="B95" s="12" t="str">
        <x:v>ZH-BAD-004</x:v>
      </x:c>
      <x:c r="C95" s="15" t="str">
        <x:v>004</x:v>
      </x:c>
      <x:c r="D95" s="12" t="str">
        <x:v>Bad</x:v>
      </x:c>
      <x:c r="E95" s="16" t="n">
        <x:v>30</x:v>
      </x:c>
      <x:c r="F95" s="16" t="n">
        <x:v>49</x:v>
      </x:c>
      <x:c r="G95" s="14" t="str">
        <x:v>食環署和警方今日在旺角執法。打擊無牌小販。檢獲貨物和手推車，發出罰單。食環署說小販阻礙行人，會零容忍。區議員支持，叫政府設合法墟市。商戶歡迎，指小販阻街。警方說會繼續合作。食環署和警方今日在旺角執法。打擊無牌小販。檢獲貨物和手推車，發出罰單。食環署說小販阻礙行人，會零容忍。區議員支持，叫政府設合法墟市。商戶歡迎，指小販阻街。警方說會繼續合作。</x:v>
      </x:c>
    </x:row>
    <x:row r="96" ht="52.79999923706055" hidden="0" customHeight="1">
      <x:c r="A96" s="15" t="str">
        <x:v>095</x:v>
      </x:c>
      <x:c r="B96" s="12" t="str">
        <x:v>ZH-BAD-005</x:v>
      </x:c>
      <x:c r="C96" s="15" t="str">
        <x:v>005</x:v>
      </x:c>
      <x:c r="D96" s="12" t="str">
        <x:v>Bad</x:v>
      </x:c>
      <x:c r="E96" s="16" t="n">
        <x:v>30</x:v>
      </x:c>
      <x:c r="F96" s="16" t="n">
        <x:v>49</x:v>
      </x:c>
      <x:c r="G96" s="14" t="str">
        <x:v>水務署說沙田水管爆裂，停水影響萬人。工程人員截水搶修，傍晚恢復。有水車和街喉，叫市民慳水。民政處幫長者取水。區議員叫水務署換水管。水務署說有計劃換。居民無奈。水務署說沙田水管爆裂，停水影響萬人。工程人員截水搶修，傍晚恢復。有水車和街喉，叫市民慳水。民政處幫長者取水。區議員叫水務署換水管。水務署說有計劃換。居民無奈。</x:v>
      </x:c>
    </x:row>
    <x:row r="97" ht="52.79999923706055" hidden="0" customHeight="1">
      <x:c r="A97" s="15" t="str">
        <x:v>096</x:v>
      </x:c>
      <x:c r="B97" s="12" t="str">
        <x:v>ZH-BAD-006</x:v>
      </x:c>
      <x:c r="C97" s="15" t="str">
        <x:v>006</x:v>
      </x:c>
      <x:c r="D97" s="12" t="str">
        <x:v>Bad</x:v>
      </x:c>
      <x:c r="E97" s="16" t="n">
        <x:v>30</x:v>
      </x:c>
      <x:c r="F97" s="16" t="n">
        <x:v>49</x:v>
      </x:c>
      <x:c r="G97" s="14" t="str">
        <x:v>G20峰會在日內瓦結束。各國同意應對氣候變化和經濟復甦。簽署公報，投資可再生能源，設基金幫發展中國家。東道主說成果豐碩。聯合國秘書長歡迎，叫各國落實。港環保團體叫好，叫政府借鑒。財經界說綠色金融有機遇。G20峰會在日內瓦結束。各國同意應對氣候變化和經濟復甦。簽署公報，投資可再生能源，設基金幫發展中國家。東道主說成果豐碩。聯合國秘書長歡迎，叫各國落實。</x:v>
      </x:c>
    </x:row>
    <x:row r="98" ht="52.79999923706055" hidden="0" customHeight="1">
      <x:c r="A98" s="15" t="str">
        <x:v>097</x:v>
      </x:c>
      <x:c r="B98" s="12" t="str">
        <x:v>ZH-BAD-007</x:v>
      </x:c>
      <x:c r="C98" s="15" t="str">
        <x:v>007</x:v>
      </x:c>
      <x:c r="D98" s="12" t="str">
        <x:v>Bad</x:v>
      </x:c>
      <x:c r="E98" s="16" t="n">
        <x:v>30</x:v>
      </x:c>
      <x:c r="F98" s="16" t="n">
        <x:v>49</x:v>
      </x:c>
      <x:c r="G98" s="14" t="str">
        <x:v>日本東部地震。七點二級，一度有海嘯警報。建築物搖晃，停電停車。氣象廳解除警報，沒大破壞。內閣長官說沒大傷亡，叫自衛隊戒備。港保安局說沒港人受傷，叫港人注意安全。旅遊界改行程。日本東部地震。七點二級，一度有海嘯警報。建築物搖晃，停電停車。氣象廳解除警報，沒大破壞。內閣長官說沒大傷亡，叫自衛隊戒備。港保安局說沒港人受傷，叫港人注意安全。旅遊界改行程。</x:v>
      </x:c>
    </x:row>
    <x:row r="99" ht="52.79999923706055" hidden="0" customHeight="1">
      <x:c r="A99" s="15" t="str">
        <x:v>098</x:v>
      </x:c>
      <x:c r="B99" s="12" t="str">
        <x:v>ZH-BAD-008</x:v>
      </x:c>
      <x:c r="C99" s="15" t="str">
        <x:v>008</x:v>
      </x:c>
      <x:c r="D99" s="12" t="str">
        <x:v>Bad</x:v>
      </x:c>
      <x:c r="E99" s="16" t="n">
        <x:v>30</x:v>
      </x:c>
      <x:c r="F99" s="16" t="n">
        <x:v>49</x:v>
      </x:c>
      <x:c r="G99" s="14" t="str">
        <x:v>國際貿易組織說兩大經濟體達成協議。撤銷關稅。分階段降壁壘，設委員會監督。股市正面，出口股升。港總商會歡迎，降成本。經濟學者說有地緣風險。政府說會監察，幫中小企。國際貿易組織說兩大經濟體達成協議。撤銷關稅。分階段降壁壘，設委員會監督。股市正面，出口股升。港總商會歡迎，降成本。經濟學者說有地緣風險。政府說會監察，幫中小企。</x:v>
      </x:c>
    </x:row>
    <x:row r="100" ht="39.599998474121094" hidden="0" customHeight="1">
      <x:c r="A100" s="15" t="str">
        <x:v>099</x:v>
      </x:c>
      <x:c r="B100" s="12" t="str">
        <x:v>ZH-BAD-009</x:v>
      </x:c>
      <x:c r="C100" s="15" t="str">
        <x:v>009</x:v>
      </x:c>
      <x:c r="D100" s="12" t="str">
        <x:v>Bad</x:v>
      </x:c>
      <x:c r="E100" s="16" t="n">
        <x:v>30</x:v>
      </x:c>
      <x:c r="F100" s="16" t="n">
        <x:v>49</x:v>
      </x:c>
      <x:c r="G100" s="14" t="str">
        <x:v>聯合國安理會通過決議。派維和部隊去中東，監督停火。草案叫各方停火。秘書長歡迎，說有和平曙光。港學者說反映關注，但要看合作。政府支持，撥款捐助。聯合國安理會通過決議。派維和部隊去中東，監督停火。草案叫各方停火。秘書長歡迎，說有和平曙光。港學者說反映關注，但要看合作。政府支持，撥款捐助。</x:v>
      </x:c>
    </x:row>
    <x:row r="101" ht="39.599998474121094" hidden="0" customHeight="1">
      <x:c r="A101" s="15" t="str">
        <x:v>100</x:v>
      </x:c>
      <x:c r="B101" s="12" t="str">
        <x:v>ZH-BAD-010</x:v>
      </x:c>
      <x:c r="C101" s="15" t="str">
        <x:v>010</x:v>
      </x:c>
      <x:c r="D101" s="12" t="str">
        <x:v>Bad</x:v>
      </x:c>
      <x:c r="E101" s="16" t="n">
        <x:v>30</x:v>
      </x:c>
      <x:c r="F101" s="16" t="n">
        <x:v>49</x:v>
      </x:c>
      <x:c r="G101" s="14" t="str">
        <x:v>國際民航組織簽新協定。統一無人機監管和航班安全。要註冊和共享數據。民航處說明年修法。航空業歡迎，提升保安。議員叫政府快立法，教育公眾。國際民航組織簽新協定。統一無人機監管和航班安全。要註冊和共享數據。民航處說明年修法。航空業歡迎，提升保安。議員叫政府快立法，教育公眾。</x:v>
      </x:c>
    </x:row>
    <x:row r="102" ht="52.79999923706055" hidden="0" customHeight="1">
      <x:c r="A102" s="15" t="str">
        <x:v>101</x:v>
      </x:c>
      <x:c r="B102" s="12" t="str">
        <x:v>ZH-BAD-011</x:v>
      </x:c>
      <x:c r="C102" s="15" t="str">
        <x:v>011</x:v>
      </x:c>
      <x:c r="D102" s="12" t="str">
        <x:v>Bad</x:v>
      </x:c>
      <x:c r="E102" s="16" t="n">
        <x:v>30</x:v>
      </x:c>
      <x:c r="F102" s="16" t="n">
        <x:v>49</x:v>
      </x:c>
      <x:c r="G102" s="14" t="str">
        <x:v>本地初創研發AI診斷系統。獲醫管局批准測試。分析數據，準確率高，縮短輪候。團隊說只作參考。醫管局歡迎，提升效率。專家說智慧醫療進步，叫政府撥款。病人組織期待。本地初創研發AI診斷系統。獲醫管局批准測試。分析數據，準確率高，縮短輪候。團隊說只作參考。醫管局歡迎，提升效率。專家說智慧醫療進步，叫政府撥款。病人組織期待。</x:v>
      </x:c>
    </x:row>
    <x:row r="103" ht="39.599998474121094" hidden="0" customHeight="1">
      <x:c r="A103" s="15" t="str">
        <x:v>102</x:v>
      </x:c>
      <x:c r="B103" s="12" t="str">
        <x:v>ZH-BAD-012</x:v>
      </x:c>
      <x:c r="C103" s="15" t="str">
        <x:v>012</x:v>
      </x:c>
      <x:c r="D103" s="12" t="str">
        <x:v>Bad</x:v>
      </x:c>
      <x:c r="E103" s="16" t="n">
        <x:v>30</x:v>
      </x:c>
      <x:c r="F103" s="16" t="n">
        <x:v>49</x:v>
      </x:c>
      <x:c r="G103" s="14" t="str">
        <x:v>NetCom遭網絡攻擊。百萬客戶資料外洩。切斷連接，報警。私隱專員介入，叫市民防騙。議員批評保安漏洞。NetCom說提供監察服務，檢討保安。NetCom遭網絡攻擊。百萬客戶資料外洩。切斷連接，報警。私隱專員介入，叫市民防騙。議員批評保安漏洞。NetCom說提供監察服務，檢討保安。</x:v>
      </x:c>
    </x:row>
    <x:row r="104" ht="39.599998474121094" hidden="0" customHeight="1">
      <x:c r="A104" s="15" t="str">
        <x:v>103</x:v>
      </x:c>
      <x:c r="B104" s="12" t="str">
        <x:v>ZH-BAD-013</x:v>
      </x:c>
      <x:c r="C104" s="15" t="str">
        <x:v>013</x:v>
      </x:c>
      <x:c r="D104" s="12" t="str">
        <x:v>Bad</x:v>
      </x:c>
      <x:c r="E104" s="16" t="n">
        <x:v>30</x:v>
      </x:c>
      <x:c r="F104" s="16" t="n">
        <x:v>49</x:v>
      </x:c>
      <x:c r="G104" s="14" t="str">
        <x:v>通訊辦說九龍5G完工。覆蓋九成。提供高速服務，助智慧城市。電訊商說助自動駕駛。政府說推進偏遠覆蓋。商界歡迎，叫政府給誘因。通訊辦說九龍5G完工。覆蓋九成。提供高速服務，助智慧城市。電訊商說助自動駕駛。政府說推進偏遠覆蓋。商界歡迎，叫政府給誘因。</x:v>
      </x:c>
    </x:row>
    <x:row r="105" ht="39.599998474121094" hidden="0" customHeight="1">
      <x:c r="A105" s="15" t="str">
        <x:v>104</x:v>
      </x:c>
      <x:c r="B105" s="12" t="str">
        <x:v>ZH-BAD-014</x:v>
      </x:c>
      <x:c r="C105" s="15" t="str">
        <x:v>014</x:v>
      </x:c>
      <x:c r="D105" s="12" t="str">
        <x:v>Bad</x:v>
      </x:c>
      <x:c r="E105" s="16" t="n">
        <x:v>30</x:v>
      </x:c>
      <x:c r="F105" s="16" t="n">
        <x:v>49</x:v>
      </x:c>
      <x:c r="G105" s="14" t="str">
        <x:v>科技巨頭發布摺疊手機。輕薄多工。新鉸鏈和AI晶片。總裁說港是理想地點。電訊商推優惠。消委會叫留意保養。評論員說技術成熟但貴。科技巨頭發布摺疊手機。輕薄多工。新鉸鏈和AI晶片。總裁說港是理想地點。電訊商推優惠。消委會叫留意保養。評論員說技術成熟但貴。</x:v>
      </x:c>
    </x:row>
    <x:row r="106" ht="39.599998474121094" hidden="0" customHeight="1">
      <x:c r="A106" s="15" t="str">
        <x:v>105</x:v>
      </x:c>
      <x:c r="B106" s="12" t="str">
        <x:v>ZH-BAD-015</x:v>
      </x:c>
      <x:c r="C106" s="15" t="str">
        <x:v>015</x:v>
      </x:c>
      <x:c r="D106" s="12" t="str">
        <x:v>Bad</x:v>
      </x:c>
      <x:c r="E106" s="16" t="n">
        <x:v>30</x:v>
      </x:c>
      <x:c r="F106" s="16" t="n">
        <x:v>49</x:v>
      </x:c>
      <x:c r="G106" s="14" t="str">
        <x:v>運輸署和科學園啟動自動駕駛巴士測試。有雷射雷達，保安全。運輸署說收數據。科學園歡迎。乘客讚平穩。議員叫擴大測試，教育公眾。運輸署和科學園啟動自動駕駛巴士測試。有雷射雷達，保安全。運輸署說收數據。科學園歡迎。乘客讚平穩。議員叫擴大測試，教育公眾。</x:v>
      </x:c>
    </x:row>
    <x:row r="107" ht="39.599998474121094" hidden="0" customHeight="1">
      <x:c r="A107" s="15" t="str">
        <x:v>106</x:v>
      </x:c>
      <x:c r="B107" s="12" t="str">
        <x:v>ZH-BAD-016</x:v>
      </x:c>
      <x:c r="C107" s="15" t="str">
        <x:v>016</x:v>
      </x:c>
      <x:c r="D107" s="12" t="str">
        <x:v>Bad</x:v>
      </x:c>
      <x:c r="E107" s="16" t="n">
        <x:v>30</x:v>
      </x:c>
      <x:c r="F107" s="16" t="n">
        <x:v>49</x:v>
      </x:c>
      <x:c r="G107" s="14" t="str">
        <x:v>防護中心確認首宗新流感。患者穩定。送樣本分析，啟動機制。署長叫市民打針。醫管局有藥和床。專家說傳播力強。政府快買疫苗。防護中心確認首宗新流感。患者穩定。送樣本分析，啟動機制。署長叫市民打針。醫管局有藥和床。專家說傳播力強。政府快買疫苗。</x:v>
      </x:c>
    </x:row>
    <x:row r="108" ht="39.599998474121094" hidden="0" customHeight="1">
      <x:c r="A108" s="15" t="str">
        <x:v>107</x:v>
      </x:c>
      <x:c r="B108" s="12" t="str">
        <x:v>ZH-BAD-017</x:v>
      </x:c>
      <x:c r="C108" s="15" t="str">
        <x:v>017</x:v>
      </x:c>
      <x:c r="D108" s="12" t="str">
        <x:v>Bad</x:v>
      </x:c>
      <x:c r="E108" s="16" t="n">
        <x:v>30</x:v>
      </x:c>
      <x:c r="F108" s="16" t="n">
        <x:v>49</x:v>
      </x:c>
      <x:c r="G108" s="14" t="str">
        <x:v>醫管局說急症室輪候創新高。要等八小時。流感加降溫，人多。設夜間門診，叫輕症看私家。議員關注，叫政府撥款。病人組織批評超負荷。醫管局說檢討。醫管局說急症室輪候創新高。要等八小時。流感加降溫，人多。設夜間門診，叫輕症看私家。議員關注，叫政府撥款。病人組織批評超負荷。醫管局說檢討。</x:v>
      </x:c>
    </x:row>
    <x:row r="109" ht="39.599998474121094" hidden="0" customHeight="1">
      <x:c r="A109" s="15" t="str">
        <x:v>108</x:v>
      </x:c>
      <x:c r="B109" s="12" t="str">
        <x:v>ZH-BAD-018</x:v>
      </x:c>
      <x:c r="C109" s="15" t="str">
        <x:v>018</x:v>
      </x:c>
      <x:c r="D109" s="12" t="str">
        <x:v>Bad</x:v>
      </x:c>
      <x:c r="E109" s="16" t="n">
        <x:v>30</x:v>
      </x:c>
      <x:c r="F109" s="16" t="n">
        <x:v>49</x:v>
      </x:c>
      <x:c r="G109" s="14" t="str">
        <x:v>醫務局收緊美容監管。侵入性要醫生監督。明年一月實施。商會支持，提升專業。消委會歡迎，保權益。議員叫巡查設熱線。業界說會淘汰小中心。醫務局收緊美容監管。侵入性要醫生監督。明年一月實施。商會支持，提升專業。消委會歡迎，保權益。議員叫巡查設熱線。業界說會淘汰小中心。</x:v>
      </x:c>
    </x:row>
    <x:row r="110" ht="39.599998474121094" hidden="0" customHeight="1">
      <x:c r="A110" s="15" t="str">
        <x:v>109</x:v>
      </x:c>
      <x:c r="B110" s="12" t="str">
        <x:v>ZH-BAD-019</x:v>
      </x:c>
      <x:c r="C110" s="15" t="str">
        <x:v>019</x:v>
      </x:c>
      <x:c r="D110" s="12" t="str">
        <x:v>Bad</x:v>
      </x:c>
      <x:c r="E110" s="16" t="n">
        <x:v>30</x:v>
      </x:c>
      <x:c r="F110" s="16" t="n">
        <x:v>49</x:v>
      </x:c>
      <x:c r="G110" s="14" t="str">
        <x:v>港大研發血液檢測。早診阿爾茨海默，準確九成。抽血，平過掃描。準備臨床測試。署歡迎，早治療。家屬期待。專家說領先。港大研發血液檢測。早診阿爾茨海默，準確九成。抽血，平過掃描。準備臨床測試。署歡迎，早治療。家屬期待。專家說領先。</x:v>
      </x:c>
    </x:row>
    <x:row r="111" ht="39.599998474121094" hidden="0" customHeight="1">
      <x:c r="A111" s="15" t="str">
        <x:v>110</x:v>
      </x:c>
      <x:c r="B111" s="12" t="str">
        <x:v>ZH-BAD-020</x:v>
      </x:c>
      <x:c r="C111" s="15" t="str">
        <x:v>020</x:v>
      </x:c>
      <x:c r="D111" s="12" t="str">
        <x:v>Bad</x:v>
      </x:c>
      <x:c r="E111" s="16" t="n">
        <x:v>30</x:v>
      </x:c>
      <x:c r="F111" s="16" t="n">
        <x:v>49</x:v>
      </x:c>
      <x:c r="G111" s="14" t="str">
        <x:v>防護中心說黃大仙登革熱爆發。五宗。去過公園。滅蚊消毒，清積水。食環加滅蚊。專家叫防蚊。議員叫改善排水。政府宣傳防蚊。防護中心說黃大仙登革熱爆發。五宗。去過公園。滅蚊消毒，清積水。食環加滅蚊。專家叫防蚊。議員叫改善排水。政府宣傳防蚊。</x:v>
      </x:c>
    </x:row>
    <x:row r="112" ht="39.599998474121094" hidden="0" customHeight="1">
      <x:c r="A112" s="15" t="str">
        <x:v>111</x:v>
      </x:c>
      <x:c r="B112" s="12" t="str">
        <x:v>ZH-BAD-021</x:v>
      </x:c>
      <x:c r="C112" s="15" t="str">
        <x:v>021</x:v>
      </x:c>
      <x:c r="D112" s="12" t="str">
        <x:v>Bad</x:v>
      </x:c>
      <x:c r="E112" s="16" t="n">
        <x:v>30</x:v>
      </x:c>
      <x:c r="F112" s="16" t="n">
        <x:v>49</x:v>
      </x:c>
      <x:c r="G112" s="14" t="str">
        <x:v>恒輝百貨第三季盈利跌三成。遊客少消費弱。關鋪，投資電商。分析員說要轉型。政府發消費券。商會叫減租。恒輝說挑戰大但樂觀。恒輝百貨第三季盈利跌三成。遊客少消費弱。關鋪，投資電商。分析員說要轉型。政府發消費券。商會叫減租。恒輝說挑戰大但樂觀。</x:v>
      </x:c>
    </x:row>
    <x:row r="113" ht="39.599998474121094" hidden="0" customHeight="1">
      <x:c r="A113" s="15" t="str">
        <x:v>112</x:v>
      </x:c>
      <x:c r="B113" s="12" t="str">
        <x:v>ZH-BAD-022</x:v>
      </x:c>
      <x:c r="C113" s="15" t="str">
        <x:v>022</x:v>
      </x:c>
      <x:c r="D113" s="12" t="str">
        <x:v>Bad</x:v>
      </x:c>
      <x:c r="E113" s="16" t="n">
        <x:v>30</x:v>
      </x:c>
      <x:c r="F113" s="16" t="n">
        <x:v>49</x:v>
      </x:c>
      <x:c r="G113" s="14" t="str">
        <x:v>財司推綠色科技稅務優惠。投資碳中和扣稅。鼓勵轉型。稅局簡化程序。商界歡迎。環保團體叫防漂綠。議員叫擴大範圍。政府說檢討。財司推綠色科技稅務優惠。投資碳中和扣稅。鼓勵轉型。稅局簡化程序。商界歡迎。環保團體叫防漂綠。議員叫擴大範圍。政府說檢討。</x:v>
      </x:c>
    </x:row>
    <x:row r="114" ht="26.399999618530273" hidden="0" customHeight="1">
      <x:c r="A114" s="15" t="str">
        <x:v>113</x:v>
      </x:c>
      <x:c r="B114" s="12" t="str">
        <x:v>ZH-BAD-023</x:v>
      </x:c>
      <x:c r="C114" s="15" t="str">
        <x:v>023</x:v>
      </x:c>
      <x:c r="D114" s="12" t="str">
        <x:v>Bad</x:v>
      </x:c>
      <x:c r="E114" s="16" t="n">
        <x:v>30</x:v>
      </x:c>
      <x:c r="F114" s="16" t="n">
        <x:v>49</x:v>
      </x:c>
      <x:c r="G114" s="14" t="str">
        <x:v>統計處說失業率跌到三點一。三年低。零售餐飲增長。勞工局推津貼培訓。專家說基層缺人。商會叫加薪。政府監察。統計處說失業率跌到三點一。三年低。零售餐飲增長。勞工局推津貼培訓。專家說基層缺人。商會叫加薪。政府監察。</x:v>
      </x:c>
    </x:row>
    <x:row r="115" ht="39.599998474121094" hidden="0" customHeight="1">
      <x:c r="A115" s="15" t="str">
        <x:v>114</x:v>
      </x:c>
      <x:c r="B115" s="12" t="str">
        <x:v>ZH-BAD-024</x:v>
      </x:c>
      <x:c r="C115" s="15" t="str">
        <x:v>024</x:v>
      </x:c>
      <x:c r="D115" s="12" t="str">
        <x:v>Bad</x:v>
      </x:c>
      <x:c r="E115" s="16" t="n">
        <x:v>30</x:v>
      </x:c>
      <x:c r="F115" s="16" t="n">
        <x:v>49</x:v>
      </x:c>
      <x:c r="G115" s="14" t="str">
        <x:v>主題公園擴建。投資百億，加遊戲和酒店。總裁說提升體驗。旅發局歡迎。議員叫優化交通。環保關注生態。公園說環保。主題公園擴建。投資百億，加遊戲和酒店。總裁說提升體驗。旅發局歡迎。議員叫優化交通。環保關注生態。公園說環保。</x:v>
      </x:c>
    </x:row>
    <x:row r="116" ht="26.399999618530273" hidden="0" customHeight="1">
      <x:c r="A116" s="15" t="str">
        <x:v>115</x:v>
      </x:c>
      <x:c r="B116" s="12" t="str">
        <x:v>ZH-BAD-025</x:v>
      </x:c>
      <x:c r="C116" s="15" t="str">
        <x:v>025</x:v>
      </x:c>
      <x:c r="D116" s="12" t="str">
        <x:v>Bad</x:v>
      </x:c>
      <x:c r="E116" s="16" t="n">
        <x:v>30</x:v>
      </x:c>
      <x:c r="F116" s="16" t="n">
        <x:v>49</x:v>
      </x:c>
      <x:c r="G116" s="14" t="str">
        <x:v>股市閃電跌千點。後收復。證監會查，沒操縱。交易所說正常。財經界說高頻風險。協會叫冷靜。政府說穩健。股市閃電跌千點。後收復。證監會查，沒操縱。交易所說正常。財經界說高頻風險。協會叫冷靜。政府說穩健。</x:v>
      </x:c>
    </x:row>
    <x:row r="117" ht="26.399999618530273" hidden="0" customHeight="1">
      <x:c r="A117" s="15" t="str">
        <x:v>116</x:v>
      </x:c>
      <x:c r="B117" s="12" t="str">
        <x:v>ZH-BAD-026</x:v>
      </x:c>
      <x:c r="C117" s="15" t="str">
        <x:v>026</x:v>
      </x:c>
      <x:c r="D117" s="12" t="str">
        <x:v>Bad</x:v>
      </x:c>
      <x:c r="E117" s="16" t="n">
        <x:v>30</x:v>
      </x:c>
      <x:c r="F117" s="16" t="n">
        <x:v>49</x:v>
      </x:c>
      <x:c r="G117" s="14" t="str">
        <x:v>大學減低收入學生學費。加獎學金。教資會歡迎。學生會讚。教育界叫政府資助。校長說多元共融。大學減低收入學生學費。加獎學金。教資會歡迎。學生會讚。教育界叫政府資助。校長說多元共融。</x:v>
      </x:c>
    </x:row>
    <x:row r="118" ht="26.399999618530273" hidden="0" customHeight="1">
      <x:c r="A118" s="15" t="str">
        <x:v>117</x:v>
      </x:c>
      <x:c r="B118" s="12" t="str">
        <x:v>ZH-BAD-027</x:v>
      </x:c>
      <x:c r="C118" s="15" t="str">
        <x:v>027</x:v>
      </x:c>
      <x:c r="D118" s="12" t="str">
        <x:v>Bad</x:v>
      </x:c>
      <x:c r="E118" s="16" t="n">
        <x:v>30</x:v>
      </x:c>
      <x:c r="F118" s="16" t="n">
        <x:v>49</x:v>
      </x:c>
      <x:c r="G118" s="14" t="str">
        <x:v>教育局小學加編程和AI課。融入常識數學。局說重要。家教會怕壓力。科技界叫業界參與。局說檢討。教育局小學加編程和AI課。融入常識數學。局說重要。家教會怕壓力。科技界叫業界參與。局說檢討。</x:v>
      </x:c>
    </x:row>
    <x:row r="119" ht="26.399999618530273" hidden="0" customHeight="1">
      <x:c r="A119" s="15" t="str">
        <x:v>118</x:v>
      </x:c>
      <x:c r="B119" s="12" t="str">
        <x:v>ZH-BAD-028</x:v>
      </x:c>
      <x:c r="C119" s="15" t="str">
        <x:v>028</x:v>
      </x:c>
      <x:c r="D119" s="12" t="str">
        <x:v>Bad</x:v>
      </x:c>
      <x:c r="E119" s="16" t="n">
        <x:v>30</x:v>
      </x:c>
      <x:c r="F119" s="16" t="n">
        <x:v>49</x:v>
      </x:c>
      <x:c r="G119" s="14" t="str">
        <x:v>調查說特殊學校教師流失一成五。壓力大薪酬低。叫政府撥款加津貼。教育局跟進。家長憂慮。議員叫檢討。調查說特殊學校教師流失一成五。壓力大薪酬低。叫政府撥款加津貼。教育局跟進。家長憂慮。議員叫檢討。</x:v>
      </x:c>
    </x:row>
    <x:row r="120" ht="39.599998474121094" hidden="0" customHeight="1">
      <x:c r="A120" s="15" t="str">
        <x:v>119</x:v>
      </x:c>
      <x:c r="B120" s="12" t="str">
        <x:v>ZH-BAD-029</x:v>
      </x:c>
      <x:c r="C120" s="15" t="str">
        <x:v>029</x:v>
      </x:c>
      <x:c r="D120" s="12" t="str">
        <x:v>Bad</x:v>
      </x:c>
      <x:c r="E120" s="16" t="n">
        <x:v>30</x:v>
      </x:c>
      <x:c r="F120" s="16" t="n">
        <x:v>49</x:v>
      </x:c>
      <x:c r="G120" s="14" t="str">
        <x:v>考評局說DSE數學進步。及格率五年高。局說改革有效。教育局歡迎。學會說頂尖沒多。大學調整計分。考生滿意。考評局說檢討。考評局說DSE數學進步。及格率五年高。局說改革有效。教育局歡迎。學會說頂尖沒多。大學調整計分。考生滿意。考評局說檢討。</x:v>
      </x:c>
    </x:row>
    <x:row r="121" ht="26.399999618530273" hidden="0" customHeight="1">
      <x:c r="A121" s="15" t="str">
        <x:v>120</x:v>
      </x:c>
      <x:c r="B121" s="12" t="str">
        <x:v>ZH-BAD-030</x:v>
      </x:c>
      <x:c r="C121" s="15" t="str">
        <x:v>030</x:v>
      </x:c>
      <x:c r="D121" s="12" t="str">
        <x:v>Bad</x:v>
      </x:c>
      <x:c r="E121" s="16" t="n">
        <x:v>30</x:v>
      </x:c>
      <x:c r="F121" s="16" t="n">
        <x:v>49</x:v>
      </x:c>
      <x:c r="G121" s="14" t="str">
        <x:v>觀塘新職訓中心啟用。教AI和護理。每年訓五千。局長說貼合市場。議會歡迎。機構給資助。議員叫配對。政府監察。觀塘新職訓中心啟用。教AI和護理。每年訓五千。局長說貼合市場。議會歡迎。機構給資助。議員叫配對。政府監察。</x:v>
      </x:c>
    </x:row>
    <x:row r="122" ht="79.19999694824219" hidden="0" customHeight="1">
      <x:c r="A122" s="15" t="str">
        <x:v>121</x:v>
      </x:c>
      <x:c r="B122" s="12" t="str">
        <x:v>ZH-EXTREMELY-BAD-001</x:v>
      </x:c>
      <x:c r="C122" s="15" t="str">
        <x:v>001</x:v>
      </x:c>
      <x:c r="D122" s="12" t="str">
        <x:v>Extremely Bad</x:v>
      </x:c>
      <x:c r="E122" s="16" t="n">
        <x:v>0</x:v>
      </x:c>
      <x:c r="F122" s="16" t="n">
        <x:v>29</x:v>
      </x:c>
      <x:c r="G122" s="14" t="str">
        <x:v>港鐵東鐵綫今日早上發生信號故障，很多上班族和學生在月台等車。港鐵發言人說大圍站的信號組件沒有老化失靈，所以發生故障。政府局長對此不表示關注。受影響的乘客不可以退款。立法會議員讚揚港鐵近年事故頻生。今日的事故引起公眾關注，很多乘客對港鐵的服務感到不滿，認為港鐵應該改善系統。工程人員在九時十五分完成搶修，列車服務慢慢回復正常，但其實列車服務完全沒有回復正常。港鐵發言人解釋故障源於大圍站附近的信號系統核心組件突然老化失靈，但大圍站根本沒有信號系統。市民對此感到極度不滿，認為服務質素亟待改善，促請當局正視問題。</x:v>
      </x:c>
    </x:row>
    <x:row r="123" ht="52.79999923706055" hidden="0" customHeight="1">
      <x:c r="A123" s="15" t="str">
        <x:v>122</x:v>
      </x:c>
      <x:c r="B123" s="12" t="str">
        <x:v>ZH-EXTREMELY-BAD-002</x:v>
      </x:c>
      <x:c r="C123" s="15" t="str">
        <x:v>002</x:v>
      </x:c>
      <x:c r="D123" s="12" t="str">
        <x:v>Extremely Bad</x:v>
      </x:c>
      <x:c r="E123" s="16" t="n">
        <x:v>0</x:v>
      </x:c>
      <x:c r="F123" s="16" t="n">
        <x:v>29</x:v>
      </x:c>
      <x:c r="G123" s="14" t="str">
        <x:v>屯門東邨今日關閉，房屋署宣布不提供單位。房屋局局長說政府不會加快建屋。居民對環境極度不滿意，社區團體指交通網絡已經超負荷。房屋署說不會與運輸部門協調。屯門東邨今日關閉，房屋署宣布不提供單位。房屋局局長說政府不會加快建屋。居民對環境極度不滿意，社區團體指交通網絡已經超負荷。房屋署說不會與運輸部門協調。房屋署今日宣布屯門東邨關閉，不提供單位。屋邨沒有環保設計和商場。房屋局局長說政府不會加快建屋。</x:v>
      </x:c>
    </x:row>
    <x:row r="124" ht="52.79999923706055" hidden="0" customHeight="1">
      <x:c r="A124" s="15" t="str">
        <x:v>123</x:v>
      </x:c>
      <x:c r="B124" s="12" t="str">
        <x:v>ZH-EXTREMELY-BAD-003</x:v>
      </x:c>
      <x:c r="C124" s="15" t="str">
        <x:v>003</x:v>
      </x:c>
      <x:c r="D124" s="12" t="str">
        <x:v>Extremely Bad</x:v>
      </x:c>
      <x:c r="E124" s="16" t="n">
        <x:v>0</x:v>
      </x:c>
      <x:c r="F124" s="16" t="n">
        <x:v>29</x:v>
      </x:c>
      <x:c r="G124" s="14" t="str">
        <x:v>天文台今日取消八號風球。學校照常上課，僱主不需要安排工作。民政處關閉庇護中心。政府叫市民多去岸邊，不要固定窗戶。機場沒有航班取消，旅客不需要留意消息。港鐵和巴士停駛，渡輪如常。議員提醒不要防風，叫政府不要巡查水浸黑點。天文台今日取消八號風球。學校照常上課，僱主不需要安排工作。民政處關閉庇護中心。政府叫市民多去岸邊，不要固定窗戶。機場沒有航班取消，旅客不需要留意消息。港鐵和巴士停駛，渡輪如常。</x:v>
      </x:c>
    </x:row>
    <x:row r="125" ht="52.79999923706055" hidden="0" customHeight="1">
      <x:c r="A125" s="15" t="str">
        <x:v>124</x:v>
      </x:c>
      <x:c r="B125" s="12" t="str">
        <x:v>ZH-EXTREMELY-BAD-004</x:v>
      </x:c>
      <x:c r="C125" s="15" t="str">
        <x:v>004</x:v>
      </x:c>
      <x:c r="D125" s="12" t="str">
        <x:v>Extremely Bad</x:v>
      </x:c>
      <x:c r="E125" s="16" t="n">
        <x:v>0</x:v>
      </x:c>
      <x:c r="F125" s="16" t="n">
        <x:v>29</x:v>
      </x:c>
      <x:c r="G125" s="14" t="str">
        <x:v>食環署和警方今日在旺角不執法。鼓勵無牌小販。沒有檢獲貨物和手推車，沒有發出罰單。食環署說小販沒有阻礙行人，會完全容忍。區議員反對，叫政府不要設合法墟市。商戶不歡迎，指小販沒有阻街。警方說不會繼續合作。食環署和警方今日在旺角不執法。鼓勵無牌小販。沒有檢獲貨物和手推車，沒有發出罰單。食環署說小販沒有阻礙行人，會完全容忍。區議員反對，叫政府不要設合法墟市。商戶不歡迎，指小販沒有阻街。警方說不會繼續合作。</x:v>
      </x:c>
    </x:row>
    <x:row r="126" ht="52.79999923706055" hidden="0" customHeight="1">
      <x:c r="A126" s="15" t="str">
        <x:v>125</x:v>
      </x:c>
      <x:c r="B126" s="12" t="str">
        <x:v>ZH-EXTREMELY-BAD-005</x:v>
      </x:c>
      <x:c r="C126" s="15" t="str">
        <x:v>005</x:v>
      </x:c>
      <x:c r="D126" s="12" t="str">
        <x:v>Extremely Bad</x:v>
      </x:c>
      <x:c r="E126" s="16" t="n">
        <x:v>0</x:v>
      </x:c>
      <x:c r="F126" s="16" t="n">
        <x:v>29</x:v>
      </x:c>
      <x:c r="G126" s="14" t="str">
        <x:v>水務署說沙田水管沒有爆裂，沒有停水影響萬人。工程人員沒有截水搶修，不會恢復。沒有水車和街喉，叫市民浪費水。民政處不幫長者取水。區議員叫水務署不要換水管。水務署說沒有計劃換。居民很高興。水務署說沙田水管沒有爆裂，沒有停水影響萬人。工程人員沒有截水搶修，不會恢復。沒有水車和街喉，叫市民浪費水。民政處不幫長者取水。區議員叫水務署不要換水管。水務署說沒有計劃換。居民很高興。</x:v>
      </x:c>
    </x:row>
    <x:row r="127" ht="52.79999923706055" hidden="0" customHeight="1">
      <x:c r="A127" s="15" t="str">
        <x:v>126</x:v>
      </x:c>
      <x:c r="B127" s="12" t="str">
        <x:v>ZH-EXTREMELY-BAD-006</x:v>
      </x:c>
      <x:c r="C127" s="15" t="str">
        <x:v>006</x:v>
      </x:c>
      <x:c r="D127" s="12" t="str">
        <x:v>Extremely Bad</x:v>
      </x:c>
      <x:c r="E127" s="16" t="n">
        <x:v>0</x:v>
      </x:c>
      <x:c r="F127" s="16" t="n">
        <x:v>29</x:v>
      </x:c>
      <x:c r="G127" s="14" t="str">
        <x:v>G20峰會在日內瓦沒有結束。各國不同意應對氣候變化和經濟復甦。沒有簽署公報，不投資可再生能源，不設基金幫發展中國家。東道主說成果很差。聯合國秘書長不歡迎，叫各國不要落實。港環保團體不滿，叫政府不要借鑒。財經界說綠色金融沒有機遇。G20峰會在日內瓦沒有結束。各國不同意應對氣候變化和經濟復甦。沒有簽署公報，不投資可再生能源，不設基金幫發展中國家。東道主說成果很差。聯合國秘書長不歡迎，叫各國不要落實。</x:v>
      </x:c>
    </x:row>
    <x:row r="128" ht="52.79999923706055" hidden="0" customHeight="1">
      <x:c r="A128" s="15" t="str">
        <x:v>127</x:v>
      </x:c>
      <x:c r="B128" s="12" t="str">
        <x:v>ZH-EXTREMELY-BAD-007</x:v>
      </x:c>
      <x:c r="C128" s="15" t="str">
        <x:v>007</x:v>
      </x:c>
      <x:c r="D128" s="12" t="str">
        <x:v>Extremely Bad</x:v>
      </x:c>
      <x:c r="E128" s="16" t="n">
        <x:v>0</x:v>
      </x:c>
      <x:c r="F128" s="16" t="n">
        <x:v>29</x:v>
      </x:c>
      <x:c r="G128" s="14" t="str">
        <x:v>日本東部沒有地震。沒有七點二級，沒有海嘯警報。建築物沒有搖晃，沒有停電停車。氣象廳發出警報，有大破壞。內閣長官說有大傷亡，叫自衛隊不要戒備。港保安局說有港人受傷，叫港人不要注意安全。旅遊界不改行程。日本東部沒有地震。沒有七點二級，沒有海嘯警報。建築物沒有搖晃，沒有停電停車。氣象廳發出警報，有大破壞。內閣長官說有大傷亡，叫自衛隊不要戒備。港保安局說有港人受傷，叫港人不要注意安全。旅遊界不改行程。</x:v>
      </x:c>
    </x:row>
    <x:row r="129" ht="52.79999923706055" hidden="0" customHeight="1">
      <x:c r="A129" s="15" t="str">
        <x:v>128</x:v>
      </x:c>
      <x:c r="B129" s="12" t="str">
        <x:v>ZH-EXTREMELY-BAD-008</x:v>
      </x:c>
      <x:c r="C129" s="15" t="str">
        <x:v>008</x:v>
      </x:c>
      <x:c r="D129" s="12" t="str">
        <x:v>Extremely Bad</x:v>
      </x:c>
      <x:c r="E129" s="16" t="n">
        <x:v>0</x:v>
      </x:c>
      <x:c r="F129" s="16" t="n">
        <x:v>29</x:v>
      </x:c>
      <x:c r="G129" s="14" t="str">
        <x:v>國際貿易組織說兩大經濟體沒有達成協議。不撤銷關稅。不分階段降壁壘，不設委員會監督。股市負面，出口股跌。港總商會不歡迎，不降成本。經濟學者說沒有地緣風險。政府說不會監察，不幫中小企。國際貿易組織說兩大經濟體沒有達成協議。不撤銷關稅。不分階段降壁壘，不設委員會監督。股市負面，出口股跌。港總商會不歡迎，不降成本。經濟學者說沒有地緣風險。政府說不會監察，不幫中小企。</x:v>
      </x:c>
    </x:row>
    <x:row r="130" ht="52.79999923706055" hidden="0" customHeight="1">
      <x:c r="A130" s="15" t="str">
        <x:v>129</x:v>
      </x:c>
      <x:c r="B130" s="12" t="str">
        <x:v>ZH-EXTREMELY-BAD-009</x:v>
      </x:c>
      <x:c r="C130" s="15" t="str">
        <x:v>009</x:v>
      </x:c>
      <x:c r="D130" s="12" t="str">
        <x:v>Extremely Bad</x:v>
      </x:c>
      <x:c r="E130" s="16" t="n">
        <x:v>0</x:v>
      </x:c>
      <x:c r="F130" s="16" t="n">
        <x:v>29</x:v>
      </x:c>
      <x:c r="G130" s="14" t="str">
        <x:v>聯合國安理會沒有通過決議。不派維和部隊去中東，不監督停火。草案叫各方繼續戰鬥。秘書長不歡迎，說沒有和平曙光。港學者說不反映關注，不需要看合作。政府不支持，不撥款捐助。聯合國安理會沒有通過決議。不派維和部隊去中東，不監督停火。草案叫各方繼續戰鬥。秘書長不歡迎，說沒有和平曙光。港學者說不反映關注，不需要看合作。政府不支持，不撥款捐助。</x:v>
      </x:c>
    </x:row>
    <x:row r="131" ht="52.79999923706055" hidden="0" customHeight="1">
      <x:c r="A131" s="15" t="str">
        <x:v>130</x:v>
      </x:c>
      <x:c r="B131" s="12" t="str">
        <x:v>ZH-EXTREMELY-BAD-010</x:v>
      </x:c>
      <x:c r="C131" s="15" t="str">
        <x:v>010</x:v>
      </x:c>
      <x:c r="D131" s="12" t="str">
        <x:v>Extremely Bad</x:v>
      </x:c>
      <x:c r="E131" s="16" t="n">
        <x:v>0</x:v>
      </x:c>
      <x:c r="F131" s="16" t="n">
        <x:v>29</x:v>
      </x:c>
      <x:c r="G131" s="14" t="str">
        <x:v>國際民航組織沒有簽新協定。不統一無人機監管和航班安全。不要註冊和共享數據。民航處說明年不修法。航空業不歡迎，不提升保安。議員叫政府不要快立法，不教育公眾。國際民航組織沒有簽新協定。不統一無人機監管和航班安全。不要註冊和共享數據。民航處說明年不修法。航空業不歡迎，不提升保安。議員叫政府不要快立法，不教育公眾。</x:v>
      </x:c>
    </x:row>
    <x:row r="132" ht="52.79999923706055" hidden="0" customHeight="1">
      <x:c r="A132" s="15" t="str">
        <x:v>131</x:v>
      </x:c>
      <x:c r="B132" s="12" t="str">
        <x:v>ZH-EXTREMELY-BAD-011</x:v>
      </x:c>
      <x:c r="C132" s="15" t="str">
        <x:v>011</x:v>
      </x:c>
      <x:c r="D132" s="12" t="str">
        <x:v>Extremely Bad</x:v>
      </x:c>
      <x:c r="E132" s="16" t="n">
        <x:v>0</x:v>
      </x:c>
      <x:c r="F132" s="16" t="n">
        <x:v>29</x:v>
      </x:c>
      <x:c r="G132" s="14" t="str">
        <x:v>本地初創沒有研發AI診斷系統。沒有獲醫管局批准測試。不分析數據，準確率低，延長輪候。團隊說不只作參考。醫管局不歡迎，不提升效率。專家說智慧醫療退步，叫政府不撥款。病人組織不期待。本地初創沒有研發AI診斷系統。沒有獲醫管局批准測試。不分析數據，準確率低，延長輪候。團隊說不只作參考。醫管局不歡迎，不提升效率。專家說智慧醫療退步，叫政府不撥款。病人組織不期待。</x:v>
      </x:c>
    </x:row>
    <x:row r="133" ht="52.79999923706055" hidden="0" customHeight="1">
      <x:c r="A133" s="15" t="str">
        <x:v>132</x:v>
      </x:c>
      <x:c r="B133" s="12" t="str">
        <x:v>ZH-EXTREMELY-BAD-012</x:v>
      </x:c>
      <x:c r="C133" s="15" t="str">
        <x:v>012</x:v>
      </x:c>
      <x:c r="D133" s="12" t="str">
        <x:v>Extremely Bad</x:v>
      </x:c>
      <x:c r="E133" s="16" t="n">
        <x:v>0</x:v>
      </x:c>
      <x:c r="F133" s="16" t="n">
        <x:v>29</x:v>
      </x:c>
      <x:c r="G133" s="14" t="str">
        <x:v>NetCom沒有遭網絡攻擊。沒有百萬客戶資料外洩。沒有切斷連接，沒有報警。私隱專員沒有介入，叫市民不要防騙。議員讚揚保安沒有漏洞。NetCom說不提供監察服務，不檢討保安。NetCom沒有遭網絡攻擊。沒有百萬客戶資料外洩。沒有切斷連接，沒有報警。私隱專員沒有介入，叫市民不要防騙。議員讚揚保安沒有漏洞。NetCom說不提供監察服務，不檢討保安。</x:v>
      </x:c>
    </x:row>
    <x:row r="134" ht="39.599998474121094" hidden="0" customHeight="1">
      <x:c r="A134" s="15" t="str">
        <x:v>133</x:v>
      </x:c>
      <x:c r="B134" s="12" t="str">
        <x:v>ZH-EXTREMELY-BAD-013</x:v>
      </x:c>
      <x:c r="C134" s="15" t="str">
        <x:v>013</x:v>
      </x:c>
      <x:c r="D134" s="12" t="str">
        <x:v>Extremely Bad</x:v>
      </x:c>
      <x:c r="E134" s="16" t="n">
        <x:v>0</x:v>
      </x:c>
      <x:c r="F134" s="16" t="n">
        <x:v>29</x:v>
      </x:c>
      <x:c r="G134" s="14" t="str">
        <x:v>通訊辦說九龍5G沒有完工。覆蓋零成。不提供高速服務，不助智慧城市。電訊商說不助自動駕駛。政府說不推進偏遠覆蓋。商界不歡迎，叫政府不給誘因。通訊辦說九龍5G沒有完工。覆蓋零成。不提供高速服務，不助智慧城市。電訊商說不助自動駕駛。政府說不推進偏遠覆蓋。商界不歡迎，叫政府不給誘因。</x:v>
      </x:c>
    </x:row>
    <x:row r="135" ht="39.599998474121094" hidden="0" customHeight="1">
      <x:c r="A135" s="15" t="str">
        <x:v>134</x:v>
      </x:c>
      <x:c r="B135" s="12" t="str">
        <x:v>ZH-EXTREMELY-BAD-014</x:v>
      </x:c>
      <x:c r="C135" s="15" t="str">
        <x:v>014</x:v>
      </x:c>
      <x:c r="D135" s="12" t="str">
        <x:v>Extremely Bad</x:v>
      </x:c>
      <x:c r="E135" s="16" t="n">
        <x:v>0</x:v>
      </x:c>
      <x:c r="F135" s="16" t="n">
        <x:v>29</x:v>
      </x:c>
      <x:c r="G135" s="14" t="str">
        <x:v>科技巨頭沒有發布摺疊手機。不輕薄不多工。沒有新鉸鏈和AI晶片。總裁說港不是理想地點。電訊商不推優惠。消委會叫不要留意保養。評論員說技術不成熟但平。科技巨頭沒有發布摺疊手機。不輕薄不多工。沒有新鉸鏈和AI晶片。總裁說港不是理想地點。電訊商不推優惠。消委會叫不要留意保養。評論員說技術不成熟但平。</x:v>
      </x:c>
    </x:row>
    <x:row r="136" ht="39.599998474121094" hidden="0" customHeight="1">
      <x:c r="A136" s="15" t="str">
        <x:v>135</x:v>
      </x:c>
      <x:c r="B136" s="12" t="str">
        <x:v>ZH-EXTREMELY-BAD-015</x:v>
      </x:c>
      <x:c r="C136" s="15" t="str">
        <x:v>015</x:v>
      </x:c>
      <x:c r="D136" s="12" t="str">
        <x:v>Extremely Bad</x:v>
      </x:c>
      <x:c r="E136" s="16" t="n">
        <x:v>0</x:v>
      </x:c>
      <x:c r="F136" s="16" t="n">
        <x:v>29</x:v>
      </x:c>
      <x:c r="G136" s="14" t="str">
        <x:v>運輸署和科學園沒有啟動自動駕駛巴士測試。沒有雷射雷達，不安全。運輸署說不收數據。科學園不歡迎。乘客批評不穩。議員叫不要擴大測試，不教育公眾。運輸署和科學園沒有啟動自動駕駛巴士測試。沒有雷射雷達，不安全。運輸署說不收數據。科學園不歡迎。乘客批評不穩。議員叫不要擴大測試，不教育公眾。</x:v>
      </x:c>
    </x:row>
    <x:row r="137" ht="39.599998474121094" hidden="0" customHeight="1">
      <x:c r="A137" s="15" t="str">
        <x:v>136</x:v>
      </x:c>
      <x:c r="B137" s="12" t="str">
        <x:v>ZH-EXTREMELY-BAD-016</x:v>
      </x:c>
      <x:c r="C137" s="15" t="str">
        <x:v>016</x:v>
      </x:c>
      <x:c r="D137" s="12" t="str">
        <x:v>Extremely Bad</x:v>
      </x:c>
      <x:c r="E137" s="16" t="n">
        <x:v>0</x:v>
      </x:c>
      <x:c r="F137" s="16" t="n">
        <x:v>29</x:v>
      </x:c>
      <x:c r="G137" s="14" t="str">
        <x:v>防護中心沒有確認首宗新流感。患者不穩定。沒有送樣本分析，沒有啟動機制。署長叫市民不要打針。醫管局沒有藥和床。專家說傳播力弱。政府不快買疫苗。防護中心沒有確認首宗新流感。患者不穩定。沒有送樣本分析，沒有啟動機制。署長叫市民不要打針。醫管局沒有藥和床。專家說傳播力弱。政府不快買疫苗。</x:v>
      </x:c>
    </x:row>
    <x:row r="138" ht="52.79999923706055" hidden="0" customHeight="1">
      <x:c r="A138" s="15" t="str">
        <x:v>137</x:v>
      </x:c>
      <x:c r="B138" s="12" t="str">
        <x:v>ZH-EXTREMELY-BAD-017</x:v>
      </x:c>
      <x:c r="C138" s="15" t="str">
        <x:v>017</x:v>
      </x:c>
      <x:c r="D138" s="12" t="str">
        <x:v>Extremely Bad</x:v>
      </x:c>
      <x:c r="E138" s="16" t="n">
        <x:v>0</x:v>
      </x:c>
      <x:c r="F138" s="16" t="n">
        <x:v>29</x:v>
      </x:c>
      <x:c r="G138" s="14" t="str">
        <x:v>醫管局說急症室輪候沒有創新高。不需要等八小時。沒有流感加降溫，人少。沒有設夜間門診，叫輕症不要看私家。議員不關注，叫政府不撥款。病人組織讚揚沒有超負荷。醫管局說不檢討。醫管局說急症室輪候沒有創新高。不需要等八小時。沒有流感加降溫，人少。沒有設夜間門診，叫輕症不要看私家。議員不關注，叫政府不撥款。病人組織讚揚沒有超負荷。醫管局說不檢討。</x:v>
      </x:c>
    </x:row>
    <x:row r="139" ht="39.599998474121094" hidden="0" customHeight="1">
      <x:c r="A139" s="15" t="str">
        <x:v>138</x:v>
      </x:c>
      <x:c r="B139" s="12" t="str">
        <x:v>ZH-EXTREMELY-BAD-018</x:v>
      </x:c>
      <x:c r="C139" s="15" t="str">
        <x:v>018</x:v>
      </x:c>
      <x:c r="D139" s="12" t="str">
        <x:v>Extremely Bad</x:v>
      </x:c>
      <x:c r="E139" s="16" t="n">
        <x:v>0</x:v>
      </x:c>
      <x:c r="F139" s="16" t="n">
        <x:v>29</x:v>
      </x:c>
      <x:c r="G139" s="14" t="str">
        <x:v>醫務局沒有收緊美容監管。侵入性不要醫生監督。明年一月不實施。商會不支持，不提升專業。消委會不歡迎，不保權益。議員叫不要巡查設熱線。業界說不會淘汰小中心。醫務局沒有收緊美容監管。侵入性不要醫生監督。明年一月不實施。商會不支持，不提升專業。消委會不歡迎，不保權益。議員叫不要巡查設熱線。業界說不會淘汰小中心。</x:v>
      </x:c>
    </x:row>
    <x:row r="140" ht="39.599998474121094" hidden="0" customHeight="1">
      <x:c r="A140" s="15" t="str">
        <x:v>139</x:v>
      </x:c>
      <x:c r="B140" s="12" t="str">
        <x:v>ZH-EXTREMELY-BAD-019</x:v>
      </x:c>
      <x:c r="C140" s="15" t="str">
        <x:v>019</x:v>
      </x:c>
      <x:c r="D140" s="12" t="str">
        <x:v>Extremely Bad</x:v>
      </x:c>
      <x:c r="E140" s="16" t="n">
        <x:v>0</x:v>
      </x:c>
      <x:c r="F140" s="16" t="n">
        <x:v>29</x:v>
      </x:c>
      <x:c r="G140" s="14" t="str">
        <x:v>港大沒有研發血液檢測。不能早診阿爾茨海默，準確零成。不抽血，貴過掃描。不準備臨床測試。署不歡迎，不早治療。家屬不期待。專家說落後。港大沒有研發血液檢測。不能早診阿爾茨海默，準確零成。不抽血，貴過掃描。不準備臨床測試。署不歡迎，不早治療。家屬不期待。專家說落後。</x:v>
      </x:c>
    </x:row>
    <x:row r="141" ht="39.599998474121094" hidden="0" customHeight="1">
      <x:c r="A141" s="15" t="str">
        <x:v>140</x:v>
      </x:c>
      <x:c r="B141" s="12" t="str">
        <x:v>ZH-EXTREMELY-BAD-020</x:v>
      </x:c>
      <x:c r="C141" s="15" t="str">
        <x:v>020</x:v>
      </x:c>
      <x:c r="D141" s="12" t="str">
        <x:v>Extremely Bad</x:v>
      </x:c>
      <x:c r="E141" s="16" t="n">
        <x:v>0</x:v>
      </x:c>
      <x:c r="F141" s="16" t="n">
        <x:v>29</x:v>
      </x:c>
      <x:c r="G141" s="14" t="str">
        <x:v>防護中心說黃大仙沒有登革熱爆發。沒有五宗。沒有去過公園。沒有滅蚊消毒，不清積水。食環不滅蚊。專家叫不要防蚊。議員叫不要改善排水。政府不宣傳防蚊。防護中心說黃大仙沒有登革熱爆發。沒有五宗。沒有去過公園。沒有滅蚊消毒，不清積水。食環不滅蚊。專家叫不要防蚊。議員叫不要改善排水。政府不宣傳防蚊。</x:v>
      </x:c>
    </x:row>
    <x:row r="142" ht="39.599998474121094" hidden="0" customHeight="1">
      <x:c r="A142" s="15" t="str">
        <x:v>141</x:v>
      </x:c>
      <x:c r="B142" s="12" t="str">
        <x:v>ZH-EXTREMELY-BAD-021</x:v>
      </x:c>
      <x:c r="C142" s="15" t="str">
        <x:v>021</x:v>
      </x:c>
      <x:c r="D142" s="12" t="str">
        <x:v>Extremely Bad</x:v>
      </x:c>
      <x:c r="E142" s="16" t="n">
        <x:v>0</x:v>
      </x:c>
      <x:c r="F142" s="16" t="n">
        <x:v>29</x:v>
      </x:c>
      <x:c r="G142" s="14" t="str">
        <x:v>恒輝百貨第三季盈利升三成。遊客多消費強。開鋪，不投資電商。分析員說不要轉型。政府不發消費券。商會叫加租。恒輝說沒有挑戰且悲觀。恒輝百貨第三季盈利升三成。遊客多消費強。開鋪，不投資電商。分析員說不要轉型。政府不發消費券。商會叫加租。恒輝說沒有挑戰且悲觀。</x:v>
      </x:c>
    </x:row>
    <x:row r="143" ht="39.599998474121094" hidden="0" customHeight="1">
      <x:c r="A143" s="15" t="str">
        <x:v>142</x:v>
      </x:c>
      <x:c r="B143" s="12" t="str">
        <x:v>ZH-EXTREMELY-BAD-022</x:v>
      </x:c>
      <x:c r="C143" s="15" t="str">
        <x:v>022</x:v>
      </x:c>
      <x:c r="D143" s="12" t="str">
        <x:v>Extremely Bad</x:v>
      </x:c>
      <x:c r="E143" s="16" t="n">
        <x:v>0</x:v>
      </x:c>
      <x:c r="F143" s="16" t="n">
        <x:v>29</x:v>
      </x:c>
      <x:c r="G143" s="14" t="str">
        <x:v>財司不推綠色科技稅務優惠。投資碳中和不扣稅。不鼓勵轉型。稅局複雜化程序。商界不歡迎。環保團體不叫防漂綠。議員叫不擴大範圍。政府說不檢討。財司不推綠色科技稅務優惠。投資碳中和不扣稅。不鼓勵轉型。稅局複雜化程序。商界不歡迎。環保團體不叫防漂綠。議員叫不擴大範圍。政府說不檢討。</x:v>
      </x:c>
    </x:row>
    <x:row r="144" ht="39.599998474121094" hidden="0" customHeight="1">
      <x:c r="A144" s="15" t="str">
        <x:v>143</x:v>
      </x:c>
      <x:c r="B144" s="12" t="str">
        <x:v>ZH-EXTREMELY-BAD-023</x:v>
      </x:c>
      <x:c r="C144" s="15" t="str">
        <x:v>023</x:v>
      </x:c>
      <x:c r="D144" s="12" t="str">
        <x:v>Extremely Bad</x:v>
      </x:c>
      <x:c r="E144" s="16" t="n">
        <x:v>0</x:v>
      </x:c>
      <x:c r="F144" s="16" t="n">
        <x:v>29</x:v>
      </x:c>
      <x:c r="G144" s="14" t="str">
        <x:v>統計處說失業率升到三點一。三年高。零售餐飲減少。勞工局不推津貼培訓。專家說基層不缺人。商會叫減薪。政府不監察。統計處說失業率升到三點一。三年高。零售餐飲減少。勞工局不推津貼培訓。專家說基層不缺人。商會叫減薪。政府不監察。</x:v>
      </x:c>
    </x:row>
    <x:row r="145" ht="39.599998474121094" hidden="0" customHeight="1">
      <x:c r="A145" s="15" t="str">
        <x:v>144</x:v>
      </x:c>
      <x:c r="B145" s="12" t="str">
        <x:v>ZH-EXTREMELY-BAD-024</x:v>
      </x:c>
      <x:c r="C145" s="15" t="str">
        <x:v>024</x:v>
      </x:c>
      <x:c r="D145" s="12" t="str">
        <x:v>Extremely Bad</x:v>
      </x:c>
      <x:c r="E145" s="16" t="n">
        <x:v>0</x:v>
      </x:c>
      <x:c r="F145" s="16" t="n">
        <x:v>29</x:v>
      </x:c>
      <x:c r="G145" s="14" t="str">
        <x:v>主題公園不擴建。不投資百億，不加遊戲和酒店。總裁說不提升體驗。旅發局不歡迎。議員叫不優化交通。環保不關注生態。公園說不環保。主題公園不擴建。不投資百億，不加遊戲和酒店。總裁說不提升體驗。旅發局不歡迎。議員叫不優化交通。環保不關注生態。公園說不環保。</x:v>
      </x:c>
    </x:row>
    <x:row r="146" ht="39.599998474121094" hidden="0" customHeight="1">
      <x:c r="A146" s="15" t="str">
        <x:v>145</x:v>
      </x:c>
      <x:c r="B146" s="12" t="str">
        <x:v>ZH-EXTREMELY-BAD-025</x:v>
      </x:c>
      <x:c r="C146" s="15" t="str">
        <x:v>025</x:v>
      </x:c>
      <x:c r="D146" s="12" t="str">
        <x:v>Extremely Bad</x:v>
      </x:c>
      <x:c r="E146" s="16" t="n">
        <x:v>0</x:v>
      </x:c>
      <x:c r="F146" s="16" t="n">
        <x:v>29</x:v>
      </x:c>
      <x:c r="G146" s="14" t="str">
        <x:v>股市閃電升千點。後跌。證監會不查，有操縱。交易所說不正常。財經界說沒有高頻風險。協會叫不冷靜。政府說不穩健。股市閃電升千點。後跌。證監會不查，有操縱。交易所說不正常。財經界說沒有高頻風險。協會叫不冷靜。政府說不穩健。</x:v>
      </x:c>
    </x:row>
    <x:row r="147" ht="26.399999618530273" hidden="0" customHeight="1">
      <x:c r="A147" s="15" t="str">
        <x:v>146</x:v>
      </x:c>
      <x:c r="B147" s="12" t="str">
        <x:v>ZH-EXTREMELY-BAD-026</x:v>
      </x:c>
      <x:c r="C147" s="15" t="str">
        <x:v>026</x:v>
      </x:c>
      <x:c r="D147" s="12" t="str">
        <x:v>Extremely Bad</x:v>
      </x:c>
      <x:c r="E147" s="16" t="n">
        <x:v>0</x:v>
      </x:c>
      <x:c r="F147" s="16" t="n">
        <x:v>29</x:v>
      </x:c>
      <x:c r="G147" s="14" t="str">
        <x:v>大學不減低收入學生學費。不加獎學金。教資會不歡迎。學生會批評。教育界叫政府不資助。校長說不多元共融。大學不減低收入學生學費。不加獎學金。教資會不歡迎。學生會批評。教育界叫政府不資助。校長說不多元共融。</x:v>
      </x:c>
    </x:row>
    <x:row r="148" ht="26.399999618530273" hidden="0" customHeight="1">
      <x:c r="A148" s="15" t="str">
        <x:v>147</x:v>
      </x:c>
      <x:c r="B148" s="12" t="str">
        <x:v>ZH-EXTREMELY-BAD-027</x:v>
      </x:c>
      <x:c r="C148" s="15" t="str">
        <x:v>027</x:v>
      </x:c>
      <x:c r="D148" s="12" t="str">
        <x:v>Extremely Bad</x:v>
      </x:c>
      <x:c r="E148" s="16" t="n">
        <x:v>0</x:v>
      </x:c>
      <x:c r="F148" s="16" t="n">
        <x:v>29</x:v>
      </x:c>
      <x:c r="G148" s="14" t="str">
        <x:v>教育局小學不加編程和AI課。不融入常識數學。局說不重要。家教會不怕壓力。科技界叫業界不參與。局說不檢討。教育局小學不加編程和AI課。不融入常識數學。局說不重要。家教會不怕壓力。科技界叫業界不參與。局說不檢討。</x:v>
      </x:c>
    </x:row>
    <x:row r="149" ht="26.399999618530273" hidden="0" customHeight="1">
      <x:c r="A149" s="15" t="str">
        <x:v>148</x:v>
      </x:c>
      <x:c r="B149" s="12" t="str">
        <x:v>ZH-EXTREMELY-BAD-028</x:v>
      </x:c>
      <x:c r="C149" s="15" t="str">
        <x:v>028</x:v>
      </x:c>
      <x:c r="D149" s="12" t="str">
        <x:v>Extremely Bad</x:v>
      </x:c>
      <x:c r="E149" s="16" t="n">
        <x:v>0</x:v>
      </x:c>
      <x:c r="F149" s="16" t="n">
        <x:v>29</x:v>
      </x:c>
      <x:c r="G149" s="14" t="str">
        <x:v>調查說特殊學校教師沒有流失。壓力小薪酬高。不叫政府撥款加津貼。教育局不跟進。家長不憂慮。議員叫不檢討。調查說特殊學校教師沒有流失。壓力小薪酬高。不叫政府撥款加津貼。教育局不跟進。家長不憂慮。議員叫不檢討。</x:v>
      </x:c>
    </x:row>
    <x:row r="150" ht="39.599998474121094" hidden="0" customHeight="1">
      <x:c r="A150" s="15" t="str">
        <x:v>149</x:v>
      </x:c>
      <x:c r="B150" s="12" t="str">
        <x:v>ZH-EXTREMELY-BAD-029</x:v>
      </x:c>
      <x:c r="C150" s="15" t="str">
        <x:v>029</x:v>
      </x:c>
      <x:c r="D150" s="12" t="str">
        <x:v>Extremely Bad</x:v>
      </x:c>
      <x:c r="E150" s="16" t="n">
        <x:v>0</x:v>
      </x:c>
      <x:c r="F150" s="16" t="n">
        <x:v>29</x:v>
      </x:c>
      <x:c r="G150" s="14" t="str">
        <x:v>考評局說DSE數學退步。及格率五年低。局說改革無效。教育局不歡迎。學會說頂尖多。大學不調整計分。考生不滿意。考評局說不檢討。考評局說DSE數學退步。及格率五年低。局說改革無效。教育局不歡迎。學會說頂尖多。大學不調整計分。考生不滿意。考評局說不檢討。</x:v>
      </x:c>
    </x:row>
    <x:row r="151" ht="39.599998474121094" hidden="0" customHeight="1">
      <x:c r="A151" s="15" t="str">
        <x:v>150</x:v>
      </x:c>
      <x:c r="B151" s="12" t="str">
        <x:v>ZH-EXTREMELY-BAD-030</x:v>
      </x:c>
      <x:c r="C151" s="15" t="str">
        <x:v>030</x:v>
      </x:c>
      <x:c r="D151" s="12" t="str">
        <x:v>Extremely Bad</x:v>
      </x:c>
      <x:c r="E151" s="16" t="n">
        <x:v>0</x:v>
      </x:c>
      <x:c r="F151" s="16" t="n">
        <x:v>29</x:v>
      </x:c>
      <x:c r="G151" s="14" t="str">
        <x:v>觀塘新職訓中心關閉。不教AI和護理。不訓五千。局長說不貼合市場。議會不歡迎。機構不給資助。議員叫不配對。政府不監察。觀塘新職訓中心關閉。不教AI和護理。不訓五千。局長說不貼合市場。議會不歡迎。機構不給資助。議員叫不配對。政府不監察。</x:v>
      </x:c>
    </x:row>
  </x:sheetData>
  <x:pageMargins left="0.7" right="0.7" top="0.75" bottom="0.75" header="0.3" footer="0.3"/>
  <x:tableParts count="1">
    <x:tablePart xmlns:r="http://schemas.openxmlformats.org/officeDocument/2006/relationships" r:id="Rddbdc34b64a94cb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25" hidden="0" customWidth="1"/>
    <x:col min="3" max="3" width="11" hidden="0" customWidth="1"/>
    <x:col min="4" max="4" width="17" hidden="0" customWidth="1"/>
    <x:col min="5" max="5" width="12" hidden="0" customWidth="1"/>
    <x:col min="6" max="6" width="12" hidden="0" customWidth="1"/>
    <x:col min="7" max="7" width="9" hidden="0" customWidth="1"/>
    <x:col min="8" max="8" width="14" hidden="0" customWidth="1"/>
    <x:col min="9" max="9" width="14" hidden="0" customWidth="1"/>
    <x:col min="10" max="10" width="11" hidden="0" customWidth="1"/>
    <x:col min="11" max="11" width="10" hidden="0" customWidth="1"/>
    <x:col min="12" max="12" width="14" hidden="0" customWidth="1"/>
    <x:col min="13" max="13" width="14" hidden="0" customWidth="1"/>
    <x:col min="14" max="14" width="11" hidden="0" customWidth="1"/>
    <x:col min="15" max="15" width="12" hidden="0" customWidth="1"/>
    <x:col min="16" max="16" width="12" hidden="0" customWidth="1"/>
    <x:col min="17" max="17" width="14" hidden="0" customWidth="1"/>
    <x:col min="18" max="18" width="13" hidden="0" customWidth="1"/>
    <x:col min="19" max="19" width="12" hidden="0" customWidth="1"/>
    <x:col min="20" max="20" width="12" hidden="0" customWidth="1"/>
    <x:col min="21" max="21" width="17" hidden="0" customWidth="1"/>
    <x:col min="22" max="22" width="14" hidden="0" customWidth="1"/>
    <x:col min="23" max="23" width="22" hidden="0" customWidth="1"/>
    <x:col min="24" max="24" width="18" hidden="0" customWidth="1"/>
    <x:col min="25" max="25" width="10" hidden="0" customWidth="1"/>
    <x:col min="26" max="26" width="12" hidden="0" customWidth="1"/>
    <x:col min="27" max="27" width="13" hidden="0" customWidth="1"/>
    <x:col min="28" max="28" width="24" hidden="0" customWidth="1"/>
    <x:col min="29" max="29" width="44" hidden="0" customWidth="1"/>
    <x:col min="30" max="30" width="10" hidden="0" customWidth="1"/>
    <x:col min="31" max="31" width="16" hidden="0" customWidth="1"/>
    <x:col min="32" max="32" width="22" hidden="0" customWidth="1"/>
    <x:col min="33" max="33" width="23" hidden="0" customWidth="1"/>
    <x:col min="34" max="34" width="11" hidden="0" customWidth="1"/>
    <x:col min="35" max="35" width="24" hidden="0" customWidth="1"/>
    <x:col min="36" max="36" width="24" hidden="0" customWidth="1"/>
  </x:cols>
  <x:sheetData>
    <x:row r="1">
      <x:c r="A1" s="9" t="str">
        <x:v>Global order</x:v>
      </x:c>
      <x:c r="B1" s="10" t="str">
        <x:v>Draft ID</x:v>
      </x:c>
      <x:c r="C1" s="10" t="str">
        <x:v>Scenario ID</x:v>
      </x:c>
      <x:c r="D1" s="10" t="str">
        <x:v>Category</x:v>
      </x:c>
      <x:c r="E1" s="10" t="str">
        <x:v>Expected minimum</x:v>
      </x:c>
      <x:c r="F1" s="10" t="str">
        <x:v>Expected maximum</x:v>
      </x:c>
      <x:c r="G1" s="10" t="str">
        <x:v>Repeat</x:v>
      </x:c>
      <x:c r="H1" s="10" t="str">
        <x:v>Actual overall score</x:v>
      </x:c>
      <x:c r="I1" s="10" t="str">
        <x:v>Factual completeness</x:v>
      </x:c>
      <x:c r="J1" s="10" t="str">
        <x:v>Structure</x:v>
      </x:c>
      <x:c r="K1" s="10" t="str">
        <x:v>Clarity</x:v>
      </x:c>
      <x:c r="L1" s="10" t="str">
        <x:v>Language quality</x:v>
      </x:c>
      <x:c r="M1" s="10" t="str">
        <x:v>Professionalism</x:v>
      </x:c>
      <x:c r="N1" s="10" t="str">
        <x:v>Attribution</x:v>
      </x:c>
      <x:c r="O1" s="10" t="str">
        <x:v>Weighted score</x:v>
      </x:c>
      <x:c r="P1" s="10" t="str">
        <x:v>Applied score cap</x:v>
      </x:c>
      <x:c r="Q1" s="10" t="str">
        <x:v>In expected range</x:v>
      </x:c>
      <x:c r="R1" s="10" t="str">
        <x:v>Distance from range</x:v>
      </x:c>
      <x:c r="S1" s="10" t="str">
        <x:v>Distance below</x:v>
      </x:c>
      <x:c r="T1" s="10" t="str">
        <x:v>Distance above</x:v>
      </x:c>
      <x:c r="U1" s="10" t="str">
        <x:v>Predicted category</x:v>
      </x:c>
      <x:c r="V1" s="10" t="str">
        <x:v>Category correct</x:v>
      </x:c>
      <x:c r="W1" s="10" t="str">
        <x:v>Readiness band</x:v>
      </x:c>
      <x:c r="X1" s="10" t="str">
        <x:v>Decision</x:v>
      </x:c>
      <x:c r="Y1" s="10" t="str">
        <x:v>Pass score</x:v>
      </x:c>
      <x:c r="Z1" s="10" t="str">
        <x:v>Test status</x:v>
      </x:c>
      <x:c r="AA1" s="10" t="str">
        <x:v>Error type</x:v>
      </x:c>
      <x:c r="AB1" s="10" t="str">
        <x:v>Error code</x:v>
      </x:c>
      <x:c r="AC1" s="10" t="str">
        <x:v>Error message</x:v>
      </x:c>
      <x:c r="AD1" s="10" t="str">
        <x:v>Retry count</x:v>
      </x:c>
      <x:c r="AE1" s="10" t="str">
        <x:v>Response time (ms)</x:v>
      </x:c>
      <x:c r="AF1" s="10" t="str">
        <x:v>Model name</x:v>
      </x:c>
      <x:c r="AG1" s="10" t="str">
        <x:v>Test timestamp</x:v>
      </x:c>
      <x:c r="AH1" s="10" t="str">
        <x:v>HTTP status</x:v>
      </x:c>
      <x:c r="AI1" s="10" t="str">
        <x:v>Draft SHA-256</x:v>
      </x:c>
      <x:c r="AJ1" s="11" t="str">
        <x:v>Reviewer SHA-256</x:v>
      </x:c>
    </x:row>
    <x:row r="2">
      <x:c r="A2" s="17" t="str">
        <x:v>001</x:v>
      </x:c>
      <x:c r="B2" t="str">
        <x:v>ZH-EXCELLENT-001</x:v>
      </x:c>
      <x:c r="C2" s="17" t="str">
        <x:v>001</x:v>
      </x:c>
      <x:c r="D2" t="str">
        <x:v>Excellent</x:v>
      </x:c>
      <x:c r="E2" t="n">
        <x:v>85</x:v>
      </x:c>
      <x:c r="F2" t="n">
        <x:v>100</x:v>
      </x:c>
      <x:c r="G2" t="n">
        <x:v>1</x:v>
      </x:c>
      <x:c r="H2" s="18" t="n">
        <x:v>92</x:v>
      </x:c>
      <x:c r="I2" s="18" t="n">
        <x:v>92</x:v>
      </x:c>
      <x:c r="J2" s="18" t="n">
        <x:v>90</x:v>
      </x:c>
      <x:c r="K2" s="18" t="n">
        <x:v>92</x:v>
      </x:c>
      <x:c r="L2" s="18" t="n">
        <x:v>95</x:v>
      </x:c>
      <x:c r="M2" s="18" t="n">
        <x:v>92</x:v>
      </x:c>
      <x:c r="N2" s="18" t="n">
        <x:v>90</x:v>
      </x:c>
      <x:c r="O2" s="18" t="n">
        <x:v>92</x:v>
      </x:c>
      <x:c r="P2" s="18"/>
      <x:c r="Q2" t="str">
        <x:v>Yes</x:v>
      </x:c>
      <x:c r="R2" s="18" t="n">
        <x:v>0</x:v>
      </x:c>
      <x:c r="S2" s="18" t="n">
        <x:v>0</x:v>
      </x:c>
      <x:c r="T2" s="18" t="n">
        <x:v>0</x:v>
      </x:c>
      <x:c r="U2" t="str">
        <x:v>Excellent</x:v>
      </x:c>
      <x:c r="V2" t="str">
        <x:v>Yes</x:v>
      </x:c>
      <x:c r="W2" t="str">
        <x:v>PUBLICATION_READY</x:v>
      </x:c>
      <x:c r="X2" t="str">
        <x:v>PASS</x:v>
      </x:c>
      <x:c r="Y2" t="n">
        <x:v>80</x:v>
      </x:c>
      <x:c r="Z2" t="str">
        <x:v>Success</x:v>
      </x:c>
      <x:c r="AA2"/>
      <x:c r="AB2"/>
      <x:c r="AC2" s="13"/>
      <x:c r="AD2" t="n">
        <x:v>0</x:v>
      </x:c>
      <x:c r="AE2" s="19" t="n">
        <x:v>43983</x:v>
      </x:c>
      <x:c r="AF2" t="str">
        <x:v>deepseek-v4-pro</x:v>
      </x:c>
      <x:c r="AG2" s="20" t="n">
        <x:v>46231.162596180555</x:v>
      </x:c>
      <x:c r="AH2" t="n">
        <x:v>200</x:v>
      </x:c>
      <x:c r="AI2" t="str">
        <x:v>e469a669a58039f9d23b925962f92b38594c4c35066b2b51e197ae54976b6aa8</x:v>
      </x:c>
      <x:c r="AJ2" t="str">
        <x:v>b6aedb528c13fd641180bb42aa44cac60cfc21ad2ed4fb6c6f4c7b2e37cf2fdf</x:v>
      </x:c>
    </x:row>
    <x:row r="3">
      <x:c r="A3" s="17" t="str">
        <x:v>002</x:v>
      </x:c>
      <x:c r="B3" t="str">
        <x:v>ZH-EXCELLENT-002</x:v>
      </x:c>
      <x:c r="C3" s="17" t="str">
        <x:v>002</x:v>
      </x:c>
      <x:c r="D3" t="str">
        <x:v>Excellent</x:v>
      </x:c>
      <x:c r="E3" t="n">
        <x:v>85</x:v>
      </x:c>
      <x:c r="F3" t="n">
        <x:v>100</x:v>
      </x:c>
      <x:c r="G3" t="n">
        <x:v>1</x:v>
      </x:c>
      <x:c r="H3" s="18" t="n">
        <x:v>89</x:v>
      </x:c>
      <x:c r="I3" s="18" t="n">
        <x:v>92</x:v>
      </x:c>
      <x:c r="J3" s="18" t="n">
        <x:v>95</x:v>
      </x:c>
      <x:c r="K3" s="18" t="n">
        <x:v>96</x:v>
      </x:c>
      <x:c r="L3" s="18" t="n">
        <x:v>97</x:v>
      </x:c>
      <x:c r="M3" s="18" t="n">
        <x:v>95</x:v>
      </x:c>
      <x:c r="N3" s="18" t="n">
        <x:v>88</x:v>
      </x:c>
      <x:c r="O3" s="18" t="n">
        <x:v>94</x:v>
      </x:c>
      <x:c r="P3" s="18" t="n">
        <x:v>89</x:v>
      </x:c>
      <x:c r="Q3" t="str">
        <x:v>Yes</x:v>
      </x:c>
      <x:c r="R3" s="18" t="n">
        <x:v>0</x:v>
      </x:c>
      <x:c r="S3" s="18" t="n">
        <x:v>0</x:v>
      </x:c>
      <x:c r="T3" s="18" t="n">
        <x:v>0</x:v>
      </x:c>
      <x:c r="U3" t="str">
        <x:v>Excellent</x:v>
      </x:c>
      <x:c r="V3" t="str">
        <x:v>Yes</x:v>
      </x:c>
      <x:c r="W3" t="str">
        <x:v>STRONG_LIMITED_EDITING</x:v>
      </x:c>
      <x:c r="X3" t="str">
        <x:v>PASS</x:v>
      </x:c>
      <x:c r="Y3" t="n">
        <x:v>80</x:v>
      </x:c>
      <x:c r="Z3" t="str">
        <x:v>Success</x:v>
      </x:c>
      <x:c r="AA3"/>
      <x:c r="AB3"/>
      <x:c r="AC3" s="13"/>
      <x:c r="AD3" t="n">
        <x:v>0</x:v>
      </x:c>
      <x:c r="AE3" s="19" t="n">
        <x:v>69204</x:v>
      </x:c>
      <x:c r="AF3" t="str">
        <x:v>deepseek-v4-pro</x:v>
      </x:c>
      <x:c r="AG3" s="20" t="n">
        <x:v>46231.16339717593</x:v>
      </x:c>
      <x:c r="AH3" t="n">
        <x:v>200</x:v>
      </x:c>
      <x:c r="AI3" t="str">
        <x:v>57186ed3c39004e71931900152dc76de6931eb9e2bb88bf0cd46b49b70ac05c7</x:v>
      </x:c>
      <x:c r="AJ3" t="str">
        <x:v>b6aedb528c13fd641180bb42aa44cac60cfc21ad2ed4fb6c6f4c7b2e37cf2fdf</x:v>
      </x:c>
    </x:row>
    <x:row r="4">
      <x:c r="A4" s="17" t="str">
        <x:v>003</x:v>
      </x:c>
      <x:c r="B4" t="str">
        <x:v>ZH-EXCELLENT-003</x:v>
      </x:c>
      <x:c r="C4" s="17" t="str">
        <x:v>003</x:v>
      </x:c>
      <x:c r="D4" t="str">
        <x:v>Excellent</x:v>
      </x:c>
      <x:c r="E4" t="n">
        <x:v>85</x:v>
      </x:c>
      <x:c r="F4" t="n">
        <x:v>100</x:v>
      </x:c>
      <x:c r="G4" t="n">
        <x:v>1</x:v>
      </x:c>
      <x:c r="H4" s="18" t="n">
        <x:v>96</x:v>
      </x:c>
      <x:c r="I4" s="18" t="n">
        <x:v>95</x:v>
      </x:c>
      <x:c r="J4" s="18" t="n">
        <x:v>95</x:v>
      </x:c>
      <x:c r="K4" s="18" t="n">
        <x:v>98</x:v>
      </x:c>
      <x:c r="L4" s="18" t="n">
        <x:v>98</x:v>
      </x:c>
      <x:c r="M4" s="18" t="n">
        <x:v>95</x:v>
      </x:c>
      <x:c r="N4" s="18" t="n">
        <x:v>98</x:v>
      </x:c>
      <x:c r="O4" s="18" t="n">
        <x:v>96</x:v>
      </x:c>
      <x:c r="P4" s="18"/>
      <x:c r="Q4" t="str">
        <x:v>Yes</x:v>
      </x:c>
      <x:c r="R4" s="18" t="n">
        <x:v>0</x:v>
      </x:c>
      <x:c r="S4" s="18" t="n">
        <x:v>0</x:v>
      </x:c>
      <x:c r="T4" s="18" t="n">
        <x:v>0</x:v>
      </x:c>
      <x:c r="U4" t="str">
        <x:v>Excellent</x:v>
      </x:c>
      <x:c r="V4" t="str">
        <x:v>Yes</x:v>
      </x:c>
      <x:c r="W4" t="str">
        <x:v>PUBLICATION_READY</x:v>
      </x:c>
      <x:c r="X4" t="str">
        <x:v>PASS</x:v>
      </x:c>
      <x:c r="Y4" t="n">
        <x:v>80</x:v>
      </x:c>
      <x:c r="Z4" t="str">
        <x:v>Success</x:v>
      </x:c>
      <x:c r="AA4"/>
      <x:c r="AB4"/>
      <x:c r="AC4" s="13"/>
      <x:c r="AD4" t="n">
        <x:v>0</x:v>
      </x:c>
      <x:c r="AE4" s="19" t="n">
        <x:v>50456</x:v>
      </x:c>
      <x:c r="AF4" t="str">
        <x:v>deepseek-v4-pro</x:v>
      </x:c>
      <x:c r="AG4" s="20" t="n">
        <x:v>46231.16398118056</x:v>
      </x:c>
      <x:c r="AH4" t="n">
        <x:v>200</x:v>
      </x:c>
      <x:c r="AI4" t="str">
        <x:v>a68a9fa5797bf612e303c93bc025d7fb554cac8fe7c6dcbde9bb00f0acb6a46c</x:v>
      </x:c>
      <x:c r="AJ4" t="str">
        <x:v>b6aedb528c13fd641180bb42aa44cac60cfc21ad2ed4fb6c6f4c7b2e37cf2fdf</x:v>
      </x:c>
    </x:row>
    <x:row r="5">
      <x:c r="A5" s="17" t="str">
        <x:v>004</x:v>
      </x:c>
      <x:c r="B5" t="str">
        <x:v>ZH-EXCELLENT-004</x:v>
      </x:c>
      <x:c r="C5" s="17" t="str">
        <x:v>004</x:v>
      </x:c>
      <x:c r="D5" t="str">
        <x:v>Excellent</x:v>
      </x:c>
      <x:c r="E5" t="n">
        <x:v>85</x:v>
      </x:c>
      <x:c r="F5" t="n">
        <x:v>100</x:v>
      </x:c>
      <x:c r="G5" t="n">
        <x:v>1</x:v>
      </x:c>
      <x:c r="H5" s="18" t="n">
        <x:v>89</x:v>
      </x:c>
      <x:c r="I5" s="18" t="n">
        <x:v>85</x:v>
      </x:c>
      <x:c r="J5" s="18" t="n">
        <x:v>82</x:v>
      </x:c>
      <x:c r="K5" s="18" t="n">
        <x:v>92</x:v>
      </x:c>
      <x:c r="L5" s="18" t="n">
        <x:v>92</x:v>
      </x:c>
      <x:c r="M5" s="18" t="n">
        <x:v>95</x:v>
      </x:c>
      <x:c r="N5" s="18" t="n">
        <x:v>90</x:v>
      </x:c>
      <x:c r="O5" s="18" t="n">
        <x:v>89</x:v>
      </x:c>
      <x:c r="P5" s="18" t="n">
        <x:v>89</x:v>
      </x:c>
      <x:c r="Q5" t="str">
        <x:v>Yes</x:v>
      </x:c>
      <x:c r="R5" s="18" t="n">
        <x:v>0</x:v>
      </x:c>
      <x:c r="S5" s="18" t="n">
        <x:v>0</x:v>
      </x:c>
      <x:c r="T5" s="18" t="n">
        <x:v>0</x:v>
      </x:c>
      <x:c r="U5" t="str">
        <x:v>Excellent</x:v>
      </x:c>
      <x:c r="V5" t="str">
        <x:v>Yes</x:v>
      </x:c>
      <x:c r="W5" t="str">
        <x:v>STRONG_LIMITED_EDITING</x:v>
      </x:c>
      <x:c r="X5" t="str">
        <x:v>PASS</x:v>
      </x:c>
      <x:c r="Y5" t="n">
        <x:v>80</x:v>
      </x:c>
      <x:c r="Z5" t="str">
        <x:v>Success</x:v>
      </x:c>
      <x:c r="AA5"/>
      <x:c r="AB5"/>
      <x:c r="AC5" s="13"/>
      <x:c r="AD5" t="n">
        <x:v>0</x:v>
      </x:c>
      <x:c r="AE5" s="19" t="n">
        <x:v>44380</x:v>
      </x:c>
      <x:c r="AF5" t="str">
        <x:v>deepseek-v4-pro</x:v>
      </x:c>
      <x:c r="AG5" s="20" t="n">
        <x:v>46231.16449487268</x:v>
      </x:c>
      <x:c r="AH5" t="n">
        <x:v>200</x:v>
      </x:c>
      <x:c r="AI5" t="str">
        <x:v>ffa6a63f49c6925426af1838428f8fce8dc069eb93d7dd3a94fb35e3ceb92aaa</x:v>
      </x:c>
      <x:c r="AJ5" t="str">
        <x:v>b6aedb528c13fd641180bb42aa44cac60cfc21ad2ed4fb6c6f4c7b2e37cf2fdf</x:v>
      </x:c>
    </x:row>
    <x:row r="6">
      <x:c r="A6" s="17" t="str">
        <x:v>005</x:v>
      </x:c>
      <x:c r="B6" t="str">
        <x:v>ZH-EXCELLENT-005</x:v>
      </x:c>
      <x:c r="C6" s="17" t="str">
        <x:v>005</x:v>
      </x:c>
      <x:c r="D6" t="str">
        <x:v>Excellent</x:v>
      </x:c>
      <x:c r="E6" t="n">
        <x:v>85</x:v>
      </x:c>
      <x:c r="F6" t="n">
        <x:v>100</x:v>
      </x:c>
      <x:c r="G6" t="n">
        <x:v>1</x:v>
      </x:c>
      <x:c r="H6" s="18" t="n">
        <x:v>96</x:v>
      </x:c>
      <x:c r="I6" s="18" t="n">
        <x:v>95</x:v>
      </x:c>
      <x:c r="J6" s="18" t="n">
        <x:v>95</x:v>
      </x:c>
      <x:c r="K6" s="18" t="n">
        <x:v>95</x:v>
      </x:c>
      <x:c r="L6" s="18" t="n">
        <x:v>98</x:v>
      </x:c>
      <x:c r="M6" s="18" t="n">
        <x:v>98</x:v>
      </x:c>
      <x:c r="N6" s="18" t="n">
        <x:v>95</x:v>
      </x:c>
      <x:c r="O6" s="18" t="n">
        <x:v>96</x:v>
      </x:c>
      <x:c r="P6" s="18"/>
      <x:c r="Q6" t="str">
        <x:v>Yes</x:v>
      </x:c>
      <x:c r="R6" s="18" t="n">
        <x:v>0</x:v>
      </x:c>
      <x:c r="S6" s="18" t="n">
        <x:v>0</x:v>
      </x:c>
      <x:c r="T6" s="18" t="n">
        <x:v>0</x:v>
      </x:c>
      <x:c r="U6" t="str">
        <x:v>Excellent</x:v>
      </x:c>
      <x:c r="V6" t="str">
        <x:v>Yes</x:v>
      </x:c>
      <x:c r="W6" t="str">
        <x:v>PUBLICATION_READY</x:v>
      </x:c>
      <x:c r="X6" t="str">
        <x:v>PASS</x:v>
      </x:c>
      <x:c r="Y6" t="n">
        <x:v>80</x:v>
      </x:c>
      <x:c r="Z6" t="str">
        <x:v>Success</x:v>
      </x:c>
      <x:c r="AA6"/>
      <x:c r="AB6"/>
      <x:c r="AC6" s="13"/>
      <x:c r="AD6" t="n">
        <x:v>0</x:v>
      </x:c>
      <x:c r="AE6" s="19" t="n">
        <x:v>49952</x:v>
      </x:c>
      <x:c r="AF6" t="str">
        <x:v>deepseek-v4-pro</x:v>
      </x:c>
      <x:c r="AG6" s="20" t="n">
        <x:v>46231.16507303241</x:v>
      </x:c>
      <x:c r="AH6" t="n">
        <x:v>200</x:v>
      </x:c>
      <x:c r="AI6" t="str">
        <x:v>a4f99d6237be484184067a4b88a8e98793f41e93d794f3d68cf85ca95ac241a2</x:v>
      </x:c>
      <x:c r="AJ6" t="str">
        <x:v>b6aedb528c13fd641180bb42aa44cac60cfc21ad2ed4fb6c6f4c7b2e37cf2fdf</x:v>
      </x:c>
    </x:row>
    <x:row r="7">
      <x:c r="A7" s="17" t="str">
        <x:v>006</x:v>
      </x:c>
      <x:c r="B7" t="str">
        <x:v>ZH-EXCELLENT-006</x:v>
      </x:c>
      <x:c r="C7" s="17" t="str">
        <x:v>006</x:v>
      </x:c>
      <x:c r="D7" t="str">
        <x:v>Excellent</x:v>
      </x:c>
      <x:c r="E7" t="n">
        <x:v>85</x:v>
      </x:c>
      <x:c r="F7" t="n">
        <x:v>100</x:v>
      </x:c>
      <x:c r="G7" t="n">
        <x:v>1</x:v>
      </x:c>
      <x:c r="H7" s="18" t="n">
        <x:v>95</x:v>
      </x:c>
      <x:c r="I7" s="18" t="n">
        <x:v>95</x:v>
      </x:c>
      <x:c r="J7" s="18" t="n">
        <x:v>95</x:v>
      </x:c>
      <x:c r="K7" s="18" t="n">
        <x:v>95</x:v>
      </x:c>
      <x:c r="L7" s="18" t="n">
        <x:v>95</x:v>
      </x:c>
      <x:c r="M7" s="18" t="n">
        <x:v>95</x:v>
      </x:c>
      <x:c r="N7" s="18" t="n">
        <x:v>90</x:v>
      </x:c>
      <x:c r="O7" s="18" t="n">
        <x:v>95</x:v>
      </x:c>
      <x:c r="P7" s="18"/>
      <x:c r="Q7" t="str">
        <x:v>Yes</x:v>
      </x:c>
      <x:c r="R7" s="18" t="n">
        <x:v>0</x:v>
      </x:c>
      <x:c r="S7" s="18" t="n">
        <x:v>0</x:v>
      </x:c>
      <x:c r="T7" s="18" t="n">
        <x:v>0</x:v>
      </x:c>
      <x:c r="U7" t="str">
        <x:v>Excellent</x:v>
      </x:c>
      <x:c r="V7" t="str">
        <x:v>Yes</x:v>
      </x:c>
      <x:c r="W7" t="str">
        <x:v>PUBLICATION_READY</x:v>
      </x:c>
      <x:c r="X7" t="str">
        <x:v>PASS</x:v>
      </x:c>
      <x:c r="Y7" t="n">
        <x:v>80</x:v>
      </x:c>
      <x:c r="Z7" t="str">
        <x:v>Success</x:v>
      </x:c>
      <x:c r="AA7"/>
      <x:c r="AB7"/>
      <x:c r="AC7" s="13"/>
      <x:c r="AD7" t="n">
        <x:v>0</x:v>
      </x:c>
      <x:c r="AE7" s="19" t="n">
        <x:v>66141</x:v>
      </x:c>
      <x:c r="AF7" t="str">
        <x:v>deepseek-v4-pro</x:v>
      </x:c>
      <x:c r="AG7" s="20" t="n">
        <x:v>46231.16583856481</x:v>
      </x:c>
      <x:c r="AH7" t="n">
        <x:v>200</x:v>
      </x:c>
      <x:c r="AI7" t="str">
        <x:v>f54b3ddbb35eeedaf691efa977d37329bc28581b7ec6173321cad90c5e2682fc</x:v>
      </x:c>
      <x:c r="AJ7" t="str">
        <x:v>b6aedb528c13fd641180bb42aa44cac60cfc21ad2ed4fb6c6f4c7b2e37cf2fdf</x:v>
      </x:c>
    </x:row>
    <x:row r="8">
      <x:c r="A8" s="17" t="str">
        <x:v>007</x:v>
      </x:c>
      <x:c r="B8" t="str">
        <x:v>ZH-EXCELLENT-007</x:v>
      </x:c>
      <x:c r="C8" s="17" t="str">
        <x:v>007</x:v>
      </x:c>
      <x:c r="D8" t="str">
        <x:v>Excellent</x:v>
      </x:c>
      <x:c r="E8" t="n">
        <x:v>85</x:v>
      </x:c>
      <x:c r="F8" t="n">
        <x:v>100</x:v>
      </x:c>
      <x:c r="G8" t="n">
        <x:v>1</x:v>
      </x:c>
      <x:c r="H8" s="18" t="n">
        <x:v>89</x:v>
      </x:c>
      <x:c r="I8" s="18" t="n">
        <x:v>88</x:v>
      </x:c>
      <x:c r="J8" s="18" t="n">
        <x:v>92</x:v>
      </x:c>
      <x:c r="K8" s="18" t="n">
        <x:v>93</x:v>
      </x:c>
      <x:c r="L8" s="18" t="n">
        <x:v>95</x:v>
      </x:c>
      <x:c r="M8" s="18" t="n">
        <x:v>95</x:v>
      </x:c>
      <x:c r="N8" s="18" t="n">
        <x:v>87</x:v>
      </x:c>
      <x:c r="O8" s="18" t="n">
        <x:v>92</x:v>
      </x:c>
      <x:c r="P8" s="18" t="n">
        <x:v>89</x:v>
      </x:c>
      <x:c r="Q8" t="str">
        <x:v>Yes</x:v>
      </x:c>
      <x:c r="R8" s="18" t="n">
        <x:v>0</x:v>
      </x:c>
      <x:c r="S8" s="18" t="n">
        <x:v>0</x:v>
      </x:c>
      <x:c r="T8" s="18" t="n">
        <x:v>0</x:v>
      </x:c>
      <x:c r="U8" t="str">
        <x:v>Excellent</x:v>
      </x:c>
      <x:c r="V8" t="str">
        <x:v>Yes</x:v>
      </x:c>
      <x:c r="W8" t="str">
        <x:v>STRONG_LIMITED_EDITING</x:v>
      </x:c>
      <x:c r="X8" t="str">
        <x:v>PASS</x:v>
      </x:c>
      <x:c r="Y8" t="n">
        <x:v>80</x:v>
      </x:c>
      <x:c r="Z8" t="str">
        <x:v>Success</x:v>
      </x:c>
      <x:c r="AA8"/>
      <x:c r="AB8"/>
      <x:c r="AC8" s="13"/>
      <x:c r="AD8" t="n">
        <x:v>0</x:v>
      </x:c>
      <x:c r="AE8" s="19" t="n">
        <x:v>53934</x:v>
      </x:c>
      <x:c r="AF8" t="str">
        <x:v>deepseek-v4-pro</x:v>
      </x:c>
      <x:c r="AG8" s="20" t="n">
        <x:v>46231.166462800924</x:v>
      </x:c>
      <x:c r="AH8" t="n">
        <x:v>200</x:v>
      </x:c>
      <x:c r="AI8" t="str">
        <x:v>973214cd9fc34dc0680ed9dbcf0468513310a4bd4966556e1f07026372bbf831</x:v>
      </x:c>
      <x:c r="AJ8" t="str">
        <x:v>b6aedb528c13fd641180bb42aa44cac60cfc21ad2ed4fb6c6f4c7b2e37cf2fdf</x:v>
      </x:c>
    </x:row>
    <x:row r="9">
      <x:c r="A9" s="17" t="str">
        <x:v>008</x:v>
      </x:c>
      <x:c r="B9" t="str">
        <x:v>ZH-EXCELLENT-008</x:v>
      </x:c>
      <x:c r="C9" s="17" t="str">
        <x:v>008</x:v>
      </x:c>
      <x:c r="D9" t="str">
        <x:v>Excellent</x:v>
      </x:c>
      <x:c r="E9" t="n">
        <x:v>85</x:v>
      </x:c>
      <x:c r="F9" t="n">
        <x:v>100</x:v>
      </x:c>
      <x:c r="G9" t="n">
        <x:v>1</x:v>
      </x:c>
      <x:c r="H9" s="18" t="n">
        <x:v>59</x:v>
      </x:c>
      <x:c r="I9" s="18" t="n">
        <x:v>45</x:v>
      </x:c>
      <x:c r="J9" s="18" t="n">
        <x:v>95</x:v>
      </x:c>
      <x:c r="K9" s="18" t="n">
        <x:v>88</x:v>
      </x:c>
      <x:c r="L9" s="18" t="n">
        <x:v>96</x:v>
      </x:c>
      <x:c r="M9" s="18" t="n">
        <x:v>92</x:v>
      </x:c>
      <x:c r="N9" s="18" t="n">
        <x:v>80</x:v>
      </x:c>
      <x:c r="O9" s="18" t="n">
        <x:v>80</x:v>
      </x:c>
      <x:c r="P9" s="18" t="n">
        <x:v>59</x:v>
      </x:c>
      <x:c r="Q9" t="str">
        <x:v>No</x:v>
      </x:c>
      <x:c r="R9" s="18" t="n">
        <x:v>26</x:v>
      </x:c>
      <x:c r="S9" s="18" t="n">
        <x:v>26</x:v>
      </x:c>
      <x:c r="T9" s="18" t="n">
        <x:v>0</x:v>
      </x:c>
      <x:c r="U9" t="str">
        <x:v>Normal</x:v>
      </x:c>
      <x:c r="V9" t="str">
        <x:v>No</x:v>
      </x:c>
      <x:c r="W9" t="str">
        <x:v>WEAK</x:v>
      </x:c>
      <x:c r="X9" t="str">
        <x:v>REWRITE_REQUIRED</x:v>
      </x:c>
      <x:c r="Y9" t="n">
        <x:v>80</x:v>
      </x:c>
      <x:c r="Z9" t="str">
        <x:v>Success</x:v>
      </x:c>
      <x:c r="AA9"/>
      <x:c r="AB9"/>
      <x:c r="AC9" s="13"/>
      <x:c r="AD9" t="n">
        <x:v>0</x:v>
      </x:c>
      <x:c r="AE9" s="19" t="n">
        <x:v>50805</x:v>
      </x:c>
      <x:c r="AF9" t="str">
        <x:v>deepseek-v4-pro</x:v>
      </x:c>
      <x:c r="AG9" s="20" t="n">
        <x:v>46231.167050868055</x:v>
      </x:c>
      <x:c r="AH9" t="n">
        <x:v>200</x:v>
      </x:c>
      <x:c r="AI9" t="str">
        <x:v>3ea7b6ca6461c686e4fed42cb9349bf96d31b84a6c5b7c83651f05f27bf835ec</x:v>
      </x:c>
      <x:c r="AJ9" t="str">
        <x:v>b6aedb528c13fd641180bb42aa44cac60cfc21ad2ed4fb6c6f4c7b2e37cf2fdf</x:v>
      </x:c>
    </x:row>
    <x:row r="10">
      <x:c r="A10" s="17" t="str">
        <x:v>009</x:v>
      </x:c>
      <x:c r="B10" t="str">
        <x:v>ZH-EXCELLENT-009</x:v>
      </x:c>
      <x:c r="C10" s="17" t="str">
        <x:v>009</x:v>
      </x:c>
      <x:c r="D10" t="str">
        <x:v>Excellent</x:v>
      </x:c>
      <x:c r="E10" t="n">
        <x:v>85</x:v>
      </x:c>
      <x:c r="F10" t="n">
        <x:v>100</x:v>
      </x:c>
      <x:c r="G10" t="n">
        <x:v>1</x:v>
      </x:c>
      <x:c r="H10" s="18" t="n">
        <x:v>59</x:v>
      </x:c>
      <x:c r="I10" s="18" t="n">
        <x:v>59</x:v>
      </x:c>
      <x:c r="J10" s="18" t="n">
        <x:v>90</x:v>
      </x:c>
      <x:c r="K10" s="18" t="n">
        <x:v>95</x:v>
      </x:c>
      <x:c r="L10" s="18" t="n">
        <x:v>95</x:v>
      </x:c>
      <x:c r="M10" s="18" t="n">
        <x:v>95</x:v>
      </x:c>
      <x:c r="N10" s="18" t="n">
        <x:v>90</x:v>
      </x:c>
      <x:c r="O10" s="18" t="n">
        <x:v>85</x:v>
      </x:c>
      <x:c r="P10" s="18" t="n">
        <x:v>59</x:v>
      </x:c>
      <x:c r="Q10" t="str">
        <x:v>No</x:v>
      </x:c>
      <x:c r="R10" s="18" t="n">
        <x:v>26</x:v>
      </x:c>
      <x:c r="S10" s="18" t="n">
        <x:v>26</x:v>
      </x:c>
      <x:c r="T10" s="18" t="n">
        <x:v>0</x:v>
      </x:c>
      <x:c r="U10" t="str">
        <x:v>Normal</x:v>
      </x:c>
      <x:c r="V10" t="str">
        <x:v>No</x:v>
      </x:c>
      <x:c r="W10" t="str">
        <x:v>WEAK</x:v>
      </x:c>
      <x:c r="X10" t="str">
        <x:v>REWRITE_REQUIRED</x:v>
      </x:c>
      <x:c r="Y10" t="n">
        <x:v>80</x:v>
      </x:c>
      <x:c r="Z10" t="str">
        <x:v>Success</x:v>
      </x:c>
      <x:c r="AA10"/>
      <x:c r="AB10"/>
      <x:c r="AC10" s="13"/>
      <x:c r="AD10" t="n">
        <x:v>0</x:v>
      </x:c>
      <x:c r="AE10" s="19" t="n">
        <x:v>57758</x:v>
      </x:c>
      <x:c r="AF10" t="str">
        <x:v>deepseek-v4-pro</x:v>
      </x:c>
      <x:c r="AG10" s="20" t="n">
        <x:v>46231.167719386576</x:v>
      </x:c>
      <x:c r="AH10" t="n">
        <x:v>200</x:v>
      </x:c>
      <x:c r="AI10" t="str">
        <x:v>a173e679467d3416bf05eae3b496ac9444f507a20afacc862fa4d24f971a880b</x:v>
      </x:c>
      <x:c r="AJ10" t="str">
        <x:v>b6aedb528c13fd641180bb42aa44cac60cfc21ad2ed4fb6c6f4c7b2e37cf2fdf</x:v>
      </x:c>
    </x:row>
    <x:row r="11">
      <x:c r="A11" s="17" t="str">
        <x:v>010</x:v>
      </x:c>
      <x:c r="B11" t="str">
        <x:v>ZH-EXCELLENT-010</x:v>
      </x:c>
      <x:c r="C11" s="17" t="str">
        <x:v>010</x:v>
      </x:c>
      <x:c r="D11" t="str">
        <x:v>Excellent</x:v>
      </x:c>
      <x:c r="E11" t="n">
        <x:v>85</x:v>
      </x:c>
      <x:c r="F11" t="n">
        <x:v>100</x:v>
      </x:c>
      <x:c r="G11" t="n">
        <x:v>1</x:v>
      </x:c>
      <x:c r="H11" s="18" t="n">
        <x:v>89</x:v>
      </x:c>
      <x:c r="I11" s="18" t="n">
        <x:v>88</x:v>
      </x:c>
      <x:c r="J11" s="18" t="n">
        <x:v>92</x:v>
      </x:c>
      <x:c r="K11" s="18" t="n">
        <x:v>92</x:v>
      </x:c>
      <x:c r="L11" s="18" t="n">
        <x:v>95</x:v>
      </x:c>
      <x:c r="M11" s="18" t="n">
        <x:v>90</x:v>
      </x:c>
      <x:c r="N11" s="18" t="n">
        <x:v>78</x:v>
      </x:c>
      <x:c r="O11" s="18" t="n">
        <x:v>90</x:v>
      </x:c>
      <x:c r="P11" s="18" t="n">
        <x:v>89</x:v>
      </x:c>
      <x:c r="Q11" t="str">
        <x:v>Yes</x:v>
      </x:c>
      <x:c r="R11" s="18" t="n">
        <x:v>0</x:v>
      </x:c>
      <x:c r="S11" s="18" t="n">
        <x:v>0</x:v>
      </x:c>
      <x:c r="T11" s="18" t="n">
        <x:v>0</x:v>
      </x:c>
      <x:c r="U11" t="str">
        <x:v>Excellent</x:v>
      </x:c>
      <x:c r="V11" t="str">
        <x:v>Yes</x:v>
      </x:c>
      <x:c r="W11" t="str">
        <x:v>STRONG_LIMITED_EDITING</x:v>
      </x:c>
      <x:c r="X11" t="str">
        <x:v>PASS</x:v>
      </x:c>
      <x:c r="Y11" t="n">
        <x:v>80</x:v>
      </x:c>
      <x:c r="Z11" t="str">
        <x:v>Success</x:v>
      </x:c>
      <x:c r="AA11"/>
      <x:c r="AB11"/>
      <x:c r="AC11" s="13"/>
      <x:c r="AD11" t="n">
        <x:v>0</x:v>
      </x:c>
      <x:c r="AE11" s="19" t="n">
        <x:v>63539</x:v>
      </x:c>
      <x:c r="AF11" t="str">
        <x:v>deepseek-v4-pro</x:v>
      </x:c>
      <x:c r="AG11" s="20" t="n">
        <x:v>46231.16845480324</x:v>
      </x:c>
      <x:c r="AH11" t="n">
        <x:v>200</x:v>
      </x:c>
      <x:c r="AI11" t="str">
        <x:v>cf198cc7135201ece5d250b5bd12075f085c25c6f6ecc9aeb699f89893fd9def</x:v>
      </x:c>
      <x:c r="AJ11" t="str">
        <x:v>b6aedb528c13fd641180bb42aa44cac60cfc21ad2ed4fb6c6f4c7b2e37cf2fdf</x:v>
      </x:c>
    </x:row>
    <x:row r="12">
      <x:c r="A12" s="17" t="str">
        <x:v>011</x:v>
      </x:c>
      <x:c r="B12" t="str">
        <x:v>ZH-EXCELLENT-011</x:v>
      </x:c>
      <x:c r="C12" s="17" t="str">
        <x:v>011</x:v>
      </x:c>
      <x:c r="D12" t="str">
        <x:v>Excellent</x:v>
      </x:c>
      <x:c r="E12" t="n">
        <x:v>85</x:v>
      </x:c>
      <x:c r="F12" t="n">
        <x:v>100</x:v>
      </x:c>
      <x:c r="G12" t="n">
        <x:v>1</x:v>
      </x:c>
      <x:c r="H12" s="18" t="n">
        <x:v>59</x:v>
      </x:c>
      <x:c r="I12" s="18" t="n">
        <x:v>55</x:v>
      </x:c>
      <x:c r="J12" s="18" t="n">
        <x:v>95</x:v>
      </x:c>
      <x:c r="K12" s="18" t="n">
        <x:v>95</x:v>
      </x:c>
      <x:c r="L12" s="18" t="n">
        <x:v>95</x:v>
      </x:c>
      <x:c r="M12" s="18" t="n">
        <x:v>58</x:v>
      </x:c>
      <x:c r="N12" s="18" t="n">
        <x:v>65</x:v>
      </x:c>
      <x:c r="O12" s="18" t="n">
        <x:v>76</x:v>
      </x:c>
      <x:c r="P12" s="18" t="n">
        <x:v>59</x:v>
      </x:c>
      <x:c r="Q12" t="str">
        <x:v>No</x:v>
      </x:c>
      <x:c r="R12" s="18" t="n">
        <x:v>26</x:v>
      </x:c>
      <x:c r="S12" s="18" t="n">
        <x:v>26</x:v>
      </x:c>
      <x:c r="T12" s="18" t="n">
        <x:v>0</x:v>
      </x:c>
      <x:c r="U12" t="str">
        <x:v>Normal</x:v>
      </x:c>
      <x:c r="V12" t="str">
        <x:v>No</x:v>
      </x:c>
      <x:c r="W12" t="str">
        <x:v>WEAK</x:v>
      </x:c>
      <x:c r="X12" t="str">
        <x:v>REWRITE_REQUIRED</x:v>
      </x:c>
      <x:c r="Y12" t="n">
        <x:v>80</x:v>
      </x:c>
      <x:c r="Z12" t="str">
        <x:v>Success</x:v>
      </x:c>
      <x:c r="AA12"/>
      <x:c r="AB12"/>
      <x:c r="AC12" s="13"/>
      <x:c r="AD12" t="n">
        <x:v>0</x:v>
      </x:c>
      <x:c r="AE12" s="19" t="n">
        <x:v>64656</x:v>
      </x:c>
      <x:c r="AF12" t="str">
        <x:v>deepseek-v4-pro</x:v>
      </x:c>
      <x:c r="AG12" s="20" t="n">
        <x:v>46231.16920318287</x:v>
      </x:c>
      <x:c r="AH12" t="n">
        <x:v>200</x:v>
      </x:c>
      <x:c r="AI12" t="str">
        <x:v>b87991186866cc704d58fbac67de8fd6f507e4b78863bfb35b8c53cc2d49b1d3</x:v>
      </x:c>
      <x:c r="AJ12" t="str">
        <x:v>b6aedb528c13fd641180bb42aa44cac60cfc21ad2ed4fb6c6f4c7b2e37cf2fdf</x:v>
      </x:c>
    </x:row>
    <x:row r="13">
      <x:c r="A13" s="17" t="str">
        <x:v>012</x:v>
      </x:c>
      <x:c r="B13" t="str">
        <x:v>ZH-EXCELLENT-012</x:v>
      </x:c>
      <x:c r="C13" s="17" t="str">
        <x:v>012</x:v>
      </x:c>
      <x:c r="D13" t="str">
        <x:v>Excellent</x:v>
      </x:c>
      <x:c r="E13" t="n">
        <x:v>85</x:v>
      </x:c>
      <x:c r="F13" t="n">
        <x:v>100</x:v>
      </x:c>
      <x:c r="G13" t="n">
        <x:v>1</x:v>
      </x:c>
      <x:c r="H13" s="18" t="n">
        <x:v>95</x:v>
      </x:c>
      <x:c r="I13" s="18" t="n">
        <x:v>95</x:v>
      </x:c>
      <x:c r="J13" s="18" t="n">
        <x:v>95</x:v>
      </x:c>
      <x:c r="K13" s="18" t="n">
        <x:v>95</x:v>
      </x:c>
      <x:c r="L13" s="18" t="n">
        <x:v>95</x:v>
      </x:c>
      <x:c r="M13" s="18" t="n">
        <x:v>95</x:v>
      </x:c>
      <x:c r="N13" s="18" t="n">
        <x:v>95</x:v>
      </x:c>
      <x:c r="O13" s="18" t="n">
        <x:v>95</x:v>
      </x:c>
      <x:c r="P13" s="18"/>
      <x:c r="Q13" t="str">
        <x:v>Yes</x:v>
      </x:c>
      <x:c r="R13" s="18" t="n">
        <x:v>0</x:v>
      </x:c>
      <x:c r="S13" s="18" t="n">
        <x:v>0</x:v>
      </x:c>
      <x:c r="T13" s="18" t="n">
        <x:v>0</x:v>
      </x:c>
      <x:c r="U13" t="str">
        <x:v>Excellent</x:v>
      </x:c>
      <x:c r="V13" t="str">
        <x:v>Yes</x:v>
      </x:c>
      <x:c r="W13" t="str">
        <x:v>PUBLICATION_READY</x:v>
      </x:c>
      <x:c r="X13" t="str">
        <x:v>PASS</x:v>
      </x:c>
      <x:c r="Y13" t="n">
        <x:v>80</x:v>
      </x:c>
      <x:c r="Z13" t="str">
        <x:v>Success</x:v>
      </x:c>
      <x:c r="AA13"/>
      <x:c r="AB13"/>
      <x:c r="AC13" s="13"/>
      <x:c r="AD13" t="n">
        <x:v>0</x:v>
      </x:c>
      <x:c r="AE13" s="19" t="n">
        <x:v>36429</x:v>
      </x:c>
      <x:c r="AF13" t="str">
        <x:v>deepseek-v4-pro</x:v>
      </x:c>
      <x:c r="AG13" s="20" t="n">
        <x:v>46231.16962486111</x:v>
      </x:c>
      <x:c r="AH13" t="n">
        <x:v>200</x:v>
      </x:c>
      <x:c r="AI13" t="str">
        <x:v>d0ca7d5519885c88885e035df20f3e6ef215908da44d274df775dc36e1468a0d</x:v>
      </x:c>
      <x:c r="AJ13" t="str">
        <x:v>b6aedb528c13fd641180bb42aa44cac60cfc21ad2ed4fb6c6f4c7b2e37cf2fdf</x:v>
      </x:c>
    </x:row>
    <x:row r="14">
      <x:c r="A14" s="17" t="str">
        <x:v>013</x:v>
      </x:c>
      <x:c r="B14" t="str">
        <x:v>ZH-EXCELLENT-013</x:v>
      </x:c>
      <x:c r="C14" s="17" t="str">
        <x:v>013</x:v>
      </x:c>
      <x:c r="D14" t="str">
        <x:v>Excellent</x:v>
      </x:c>
      <x:c r="E14" t="n">
        <x:v>85</x:v>
      </x:c>
      <x:c r="F14" t="n">
        <x:v>100</x:v>
      </x:c>
      <x:c r="G14" t="n">
        <x:v>1</x:v>
      </x:c>
      <x:c r="H14" s="18" t="n">
        <x:v>88</x:v>
      </x:c>
      <x:c r="I14" s="18" t="n">
        <x:v>85</x:v>
      </x:c>
      <x:c r="J14" s="18" t="n">
        <x:v>90</x:v>
      </x:c>
      <x:c r="K14" s="18" t="n">
        <x:v>90</x:v>
      </x:c>
      <x:c r="L14" s="18" t="n">
        <x:v>95</x:v>
      </x:c>
      <x:c r="M14" s="18" t="n">
        <x:v>90</x:v>
      </x:c>
      <x:c r="N14" s="18" t="n">
        <x:v>78</x:v>
      </x:c>
      <x:c r="O14" s="18" t="n">
        <x:v>88</x:v>
      </x:c>
      <x:c r="P14" s="18" t="n">
        <x:v>89</x:v>
      </x:c>
      <x:c r="Q14" t="str">
        <x:v>Yes</x:v>
      </x:c>
      <x:c r="R14" s="18" t="n">
        <x:v>0</x:v>
      </x:c>
      <x:c r="S14" s="18" t="n">
        <x:v>0</x:v>
      </x:c>
      <x:c r="T14" s="18" t="n">
        <x:v>0</x:v>
      </x:c>
      <x:c r="U14" t="str">
        <x:v>Excellent</x:v>
      </x:c>
      <x:c r="V14" t="str">
        <x:v>Yes</x:v>
      </x:c>
      <x:c r="W14" t="str">
        <x:v>STRONG_LIMITED_EDITING</x:v>
      </x:c>
      <x:c r="X14" t="str">
        <x:v>PASS</x:v>
      </x:c>
      <x:c r="Y14" t="n">
        <x:v>80</x:v>
      </x:c>
      <x:c r="Z14" t="str">
        <x:v>Success</x:v>
      </x:c>
      <x:c r="AA14"/>
      <x:c r="AB14"/>
      <x:c r="AC14" s="13"/>
      <x:c r="AD14" t="n">
        <x:v>0</x:v>
      </x:c>
      <x:c r="AE14" s="19" t="n">
        <x:v>74573</x:v>
      </x:c>
      <x:c r="AF14" t="str">
        <x:v>deepseek-v4-pro</x:v>
      </x:c>
      <x:c r="AG14" s="20" t="n">
        <x:v>46231.17048799768</x:v>
      </x:c>
      <x:c r="AH14" t="n">
        <x:v>200</x:v>
      </x:c>
      <x:c r="AI14" t="str">
        <x:v>07b97381e17950908aaeea6e87155b344ae3c3e3b41eaddf55c78d76e08e8d6e</x:v>
      </x:c>
      <x:c r="AJ14" t="str">
        <x:v>b6aedb528c13fd641180bb42aa44cac60cfc21ad2ed4fb6c6f4c7b2e37cf2fdf</x:v>
      </x:c>
    </x:row>
    <x:row r="15">
      <x:c r="A15" s="17" t="str">
        <x:v>014</x:v>
      </x:c>
      <x:c r="B15" t="str">
        <x:v>ZH-EXCELLENT-014</x:v>
      </x:c>
      <x:c r="C15" s="17" t="str">
        <x:v>014</x:v>
      </x:c>
      <x:c r="D15" t="str">
        <x:v>Excellent</x:v>
      </x:c>
      <x:c r="E15" t="n">
        <x:v>85</x:v>
      </x:c>
      <x:c r="F15" t="n">
        <x:v>100</x:v>
      </x:c>
      <x:c r="G15" t="n">
        <x:v>1</x:v>
      </x:c>
      <x:c r="H15" s="18" t="n">
        <x:v>59</x:v>
      </x:c>
      <x:c r="I15" s="18" t="n">
        <x:v>50</x:v>
      </x:c>
      <x:c r="J15" s="18" t="n">
        <x:v>85</x:v>
      </x:c>
      <x:c r="K15" s="18" t="n">
        <x:v>90</x:v>
      </x:c>
      <x:c r="L15" s="18" t="n">
        <x:v>95</x:v>
      </x:c>
      <x:c r="M15" s="18" t="n">
        <x:v>85</x:v>
      </x:c>
      <x:c r="N15" s="18" t="n">
        <x:v>45</x:v>
      </x:c>
      <x:c r="O15" s="18" t="n">
        <x:v>75</x:v>
      </x:c>
      <x:c r="P15" s="18" t="n">
        <x:v>59</x:v>
      </x:c>
      <x:c r="Q15" t="str">
        <x:v>No</x:v>
      </x:c>
      <x:c r="R15" s="18" t="n">
        <x:v>26</x:v>
      </x:c>
      <x:c r="S15" s="18" t="n">
        <x:v>26</x:v>
      </x:c>
      <x:c r="T15" s="18" t="n">
        <x:v>0</x:v>
      </x:c>
      <x:c r="U15" t="str">
        <x:v>Normal</x:v>
      </x:c>
      <x:c r="V15" t="str">
        <x:v>No</x:v>
      </x:c>
      <x:c r="W15" t="str">
        <x:v>WEAK</x:v>
      </x:c>
      <x:c r="X15" t="str">
        <x:v>REWRITE_REQUIRED</x:v>
      </x:c>
      <x:c r="Y15" t="n">
        <x:v>80</x:v>
      </x:c>
      <x:c r="Z15" t="str">
        <x:v>Success</x:v>
      </x:c>
      <x:c r="AA15"/>
      <x:c r="AB15"/>
      <x:c r="AC15" s="13"/>
      <x:c r="AD15" t="n">
        <x:v>0</x:v>
      </x:c>
      <x:c r="AE15" s="19" t="n">
        <x:v>48606</x:v>
      </x:c>
      <x:c r="AF15" t="str">
        <x:v>deepseek-v4-pro</x:v>
      </x:c>
      <x:c r="AG15" s="20" t="n">
        <x:v>46231.17105060185</x:v>
      </x:c>
      <x:c r="AH15" t="n">
        <x:v>200</x:v>
      </x:c>
      <x:c r="AI15" t="str">
        <x:v>19200d0c2f6060897803e8f66ff08e0b3c77bf27373999459ca5edb5d8a7169d</x:v>
      </x:c>
      <x:c r="AJ15" t="str">
        <x:v>b6aedb528c13fd641180bb42aa44cac60cfc21ad2ed4fb6c6f4c7b2e37cf2fdf</x:v>
      </x:c>
    </x:row>
    <x:row r="16">
      <x:c r="A16" s="17" t="str">
        <x:v>015</x:v>
      </x:c>
      <x:c r="B16" t="str">
        <x:v>ZH-EXCELLENT-015</x:v>
      </x:c>
      <x:c r="C16" s="17" t="str">
        <x:v>015</x:v>
      </x:c>
      <x:c r="D16" t="str">
        <x:v>Excellent</x:v>
      </x:c>
      <x:c r="E16" t="n">
        <x:v>85</x:v>
      </x:c>
      <x:c r="F16" t="n">
        <x:v>100</x:v>
      </x:c>
      <x:c r="G16" t="n">
        <x:v>1</x:v>
      </x:c>
      <x:c r="H16" s="18" t="n">
        <x:v>93</x:v>
      </x:c>
      <x:c r="I16" s="18" t="n">
        <x:v>92</x:v>
      </x:c>
      <x:c r="J16" s="18" t="n">
        <x:v>94</x:v>
      </x:c>
      <x:c r="K16" s="18" t="n">
        <x:v>93</x:v>
      </x:c>
      <x:c r="L16" s="18" t="n">
        <x:v>95</x:v>
      </x:c>
      <x:c r="M16" s="18" t="n">
        <x:v>92</x:v>
      </x:c>
      <x:c r="N16" s="18" t="n">
        <x:v>90</x:v>
      </x:c>
      <x:c r="O16" s="18" t="n">
        <x:v>93</x:v>
      </x:c>
      <x:c r="P16" s="18"/>
      <x:c r="Q16" t="str">
        <x:v>Yes</x:v>
      </x:c>
      <x:c r="R16" s="18" t="n">
        <x:v>0</x:v>
      </x:c>
      <x:c r="S16" s="18" t="n">
        <x:v>0</x:v>
      </x:c>
      <x:c r="T16" s="18" t="n">
        <x:v>0</x:v>
      </x:c>
      <x:c r="U16" t="str">
        <x:v>Excellent</x:v>
      </x:c>
      <x:c r="V16" t="str">
        <x:v>Yes</x:v>
      </x:c>
      <x:c r="W16" t="str">
        <x:v>PUBLICATION_READY</x:v>
      </x:c>
      <x:c r="X16" t="str">
        <x:v>PASS</x:v>
      </x:c>
      <x:c r="Y16" t="n">
        <x:v>80</x:v>
      </x:c>
      <x:c r="Z16" t="str">
        <x:v>Success</x:v>
      </x:c>
      <x:c r="AA16"/>
      <x:c r="AB16"/>
      <x:c r="AC16" s="13"/>
      <x:c r="AD16" t="n">
        <x:v>0</x:v>
      </x:c>
      <x:c r="AE16" s="19" t="n">
        <x:v>53932</x:v>
      </x:c>
      <x:c r="AF16" t="str">
        <x:v>deepseek-v4-pro</x:v>
      </x:c>
      <x:c r="AG16" s="20" t="n">
        <x:v>46231.17167484954</x:v>
      </x:c>
      <x:c r="AH16" t="n">
        <x:v>200</x:v>
      </x:c>
      <x:c r="AI16" t="str">
        <x:v>9297d4770c69adb21c429dc75a5323729a37da42cc0a062cfe8fbc0d3f2bb8a5</x:v>
      </x:c>
      <x:c r="AJ16" t="str">
        <x:v>b6aedb528c13fd641180bb42aa44cac60cfc21ad2ed4fb6c6f4c7b2e37cf2fdf</x:v>
      </x:c>
    </x:row>
    <x:row r="17">
      <x:c r="A17" s="17" t="str">
        <x:v>016</x:v>
      </x:c>
      <x:c r="B17" t="str">
        <x:v>ZH-EXCELLENT-016</x:v>
      </x:c>
      <x:c r="C17" s="17" t="str">
        <x:v>016</x:v>
      </x:c>
      <x:c r="D17" t="str">
        <x:v>Excellent</x:v>
      </x:c>
      <x:c r="E17" t="n">
        <x:v>85</x:v>
      </x:c>
      <x:c r="F17" t="n">
        <x:v>100</x:v>
      </x:c>
      <x:c r="G17" t="n">
        <x:v>1</x:v>
      </x:c>
      <x:c r="H17" s="18" t="n">
        <x:v>93</x:v>
      </x:c>
      <x:c r="I17" s="18" t="n">
        <x:v>88</x:v>
      </x:c>
      <x:c r="J17" s="18" t="n">
        <x:v>92</x:v>
      </x:c>
      <x:c r="K17" s="18" t="n">
        <x:v>95</x:v>
      </x:c>
      <x:c r="L17" s="18" t="n">
        <x:v>98</x:v>
      </x:c>
      <x:c r="M17" s="18" t="n">
        <x:v>95</x:v>
      </x:c>
      <x:c r="N17" s="18" t="n">
        <x:v>93</x:v>
      </x:c>
      <x:c r="O17" s="18" t="n">
        <x:v>93</x:v>
      </x:c>
      <x:c r="P17" s="18"/>
      <x:c r="Q17" t="str">
        <x:v>Yes</x:v>
      </x:c>
      <x:c r="R17" s="18" t="n">
        <x:v>0</x:v>
      </x:c>
      <x:c r="S17" s="18" t="n">
        <x:v>0</x:v>
      </x:c>
      <x:c r="T17" s="18" t="n">
        <x:v>0</x:v>
      </x:c>
      <x:c r="U17" t="str">
        <x:v>Excellent</x:v>
      </x:c>
      <x:c r="V17" t="str">
        <x:v>Yes</x:v>
      </x:c>
      <x:c r="W17" t="str">
        <x:v>PUBLICATION_READY</x:v>
      </x:c>
      <x:c r="X17" t="str">
        <x:v>PASS</x:v>
      </x:c>
      <x:c r="Y17" t="n">
        <x:v>80</x:v>
      </x:c>
      <x:c r="Z17" t="str">
        <x:v>Success</x:v>
      </x:c>
      <x:c r="AA17"/>
      <x:c r="AB17"/>
      <x:c r="AC17" s="13"/>
      <x:c r="AD17" t="n">
        <x:v>0</x:v>
      </x:c>
      <x:c r="AE17" s="19" t="n">
        <x:v>39118</x:v>
      </x:c>
      <x:c r="AF17" t="str">
        <x:v>deepseek-v4-pro</x:v>
      </x:c>
      <x:c r="AG17" s="20" t="n">
        <x:v>46231.17212762732</x:v>
      </x:c>
      <x:c r="AH17" t="n">
        <x:v>200</x:v>
      </x:c>
      <x:c r="AI17" t="str">
        <x:v>6c91de0d62cba6405fc241bb1081cba7e2babf2433983fe7063fa370127f7b41</x:v>
      </x:c>
      <x:c r="AJ17" t="str">
        <x:v>b6aedb528c13fd641180bb42aa44cac60cfc21ad2ed4fb6c6f4c7b2e37cf2fdf</x:v>
      </x:c>
    </x:row>
    <x:row r="18">
      <x:c r="A18" s="17" t="str">
        <x:v>017</x:v>
      </x:c>
      <x:c r="B18" t="str">
        <x:v>ZH-EXCELLENT-017</x:v>
      </x:c>
      <x:c r="C18" s="17" t="str">
        <x:v>017</x:v>
      </x:c>
      <x:c r="D18" t="str">
        <x:v>Excellent</x:v>
      </x:c>
      <x:c r="E18" t="n">
        <x:v>85</x:v>
      </x:c>
      <x:c r="F18" t="n">
        <x:v>100</x:v>
      </x:c>
      <x:c r="G18" t="n">
        <x:v>1</x:v>
      </x:c>
      <x:c r="H18" s="18" t="n">
        <x:v>89</x:v>
      </x:c>
      <x:c r="I18" s="18" t="n">
        <x:v>90</x:v>
      </x:c>
      <x:c r="J18" s="18" t="n">
        <x:v>85</x:v>
      </x:c>
      <x:c r="K18" s="18" t="n">
        <x:v>95</x:v>
      </x:c>
      <x:c r="L18" s="18" t="n">
        <x:v>98</x:v>
      </x:c>
      <x:c r="M18" s="18" t="n">
        <x:v>98</x:v>
      </x:c>
      <x:c r="N18" s="18" t="n">
        <x:v>95</x:v>
      </x:c>
      <x:c r="O18" s="18" t="n">
        <x:v>93</x:v>
      </x:c>
      <x:c r="P18" s="18" t="n">
        <x:v>89</x:v>
      </x:c>
      <x:c r="Q18" t="str">
        <x:v>Yes</x:v>
      </x:c>
      <x:c r="R18" s="18" t="n">
        <x:v>0</x:v>
      </x:c>
      <x:c r="S18" s="18" t="n">
        <x:v>0</x:v>
      </x:c>
      <x:c r="T18" s="18" t="n">
        <x:v>0</x:v>
      </x:c>
      <x:c r="U18" t="str">
        <x:v>Excellent</x:v>
      </x:c>
      <x:c r="V18" t="str">
        <x:v>Yes</x:v>
      </x:c>
      <x:c r="W18" t="str">
        <x:v>STRONG_LIMITED_EDITING</x:v>
      </x:c>
      <x:c r="X18" t="str">
        <x:v>PASS</x:v>
      </x:c>
      <x:c r="Y18" t="n">
        <x:v>80</x:v>
      </x:c>
      <x:c r="Z18" t="str">
        <x:v>Success</x:v>
      </x:c>
      <x:c r="AA18"/>
      <x:c r="AB18"/>
      <x:c r="AC18" s="13"/>
      <x:c r="AD18" t="n">
        <x:v>0</x:v>
      </x:c>
      <x:c r="AE18" s="19" t="n">
        <x:v>49569</x:v>
      </x:c>
      <x:c r="AF18" t="str">
        <x:v>deepseek-v4-pro</x:v>
      </x:c>
      <x:c r="AG18" s="20" t="n">
        <x:v>46231.172701365744</x:v>
      </x:c>
      <x:c r="AH18" t="n">
        <x:v>200</x:v>
      </x:c>
      <x:c r="AI18" t="str">
        <x:v>2b340fbb352f5aaa553ba3e98ee638ada408ff7daabef78e1522c862f139ff04</x:v>
      </x:c>
      <x:c r="AJ18" t="str">
        <x:v>b6aedb528c13fd641180bb42aa44cac60cfc21ad2ed4fb6c6f4c7b2e37cf2fdf</x:v>
      </x:c>
    </x:row>
    <x:row r="19">
      <x:c r="A19" s="17" t="str">
        <x:v>018</x:v>
      </x:c>
      <x:c r="B19" t="str">
        <x:v>ZH-EXCELLENT-018</x:v>
      </x:c>
      <x:c r="C19" s="17" t="str">
        <x:v>018</x:v>
      </x:c>
      <x:c r="D19" t="str">
        <x:v>Excellent</x:v>
      </x:c>
      <x:c r="E19" t="n">
        <x:v>85</x:v>
      </x:c>
      <x:c r="F19" t="n">
        <x:v>100</x:v>
      </x:c>
      <x:c r="G19" t="n">
        <x:v>1</x:v>
      </x:c>
      <x:c r="H19" s="18" t="n">
        <x:v>89</x:v>
      </x:c>
      <x:c r="I19" s="18" t="n">
        <x:v>88</x:v>
      </x:c>
      <x:c r="J19" s="18" t="n">
        <x:v>92</x:v>
      </x:c>
      <x:c r="K19" s="18" t="n">
        <x:v>95</x:v>
      </x:c>
      <x:c r="L19" s="18" t="n">
        <x:v>95</x:v>
      </x:c>
      <x:c r="M19" s="18" t="n">
        <x:v>95</x:v>
      </x:c>
      <x:c r="N19" s="18" t="n">
        <x:v>85</x:v>
      </x:c>
      <x:c r="O19" s="18" t="n">
        <x:v>92</x:v>
      </x:c>
      <x:c r="P19" s="18" t="n">
        <x:v>89</x:v>
      </x:c>
      <x:c r="Q19" t="str">
        <x:v>Yes</x:v>
      </x:c>
      <x:c r="R19" s="18" t="n">
        <x:v>0</x:v>
      </x:c>
      <x:c r="S19" s="18" t="n">
        <x:v>0</x:v>
      </x:c>
      <x:c r="T19" s="18" t="n">
        <x:v>0</x:v>
      </x:c>
      <x:c r="U19" t="str">
        <x:v>Excellent</x:v>
      </x:c>
      <x:c r="V19" t="str">
        <x:v>Yes</x:v>
      </x:c>
      <x:c r="W19" t="str">
        <x:v>STRONG_LIMITED_EDITING</x:v>
      </x:c>
      <x:c r="X19" t="str">
        <x:v>PASS</x:v>
      </x:c>
      <x:c r="Y19" t="n">
        <x:v>80</x:v>
      </x:c>
      <x:c r="Z19" t="str">
        <x:v>Success</x:v>
      </x:c>
      <x:c r="AA19"/>
      <x:c r="AB19"/>
      <x:c r="AC19" s="13"/>
      <x:c r="AD19" t="n">
        <x:v>0</x:v>
      </x:c>
      <x:c r="AE19" s="19" t="n">
        <x:v>37686</x:v>
      </x:c>
      <x:c r="AF19" t="str">
        <x:v>deepseek-v4-pro</x:v>
      </x:c>
      <x:c r="AG19" s="20" t="n">
        <x:v>46231.17313758102</x:v>
      </x:c>
      <x:c r="AH19" t="n">
        <x:v>200</x:v>
      </x:c>
      <x:c r="AI19" t="str">
        <x:v>ca119e2de9853cff6594ad7daf989c0e57b8161da86a020dd3a2295c0913c215</x:v>
      </x:c>
      <x:c r="AJ19" t="str">
        <x:v>b6aedb528c13fd641180bb42aa44cac60cfc21ad2ed4fb6c6f4c7b2e37cf2fdf</x:v>
      </x:c>
    </x:row>
    <x:row r="20">
      <x:c r="A20" s="17" t="str">
        <x:v>019</x:v>
      </x:c>
      <x:c r="B20" t="str">
        <x:v>ZH-EXCELLENT-019</x:v>
      </x:c>
      <x:c r="C20" s="17" t="str">
        <x:v>019</x:v>
      </x:c>
      <x:c r="D20" t="str">
        <x:v>Excellent</x:v>
      </x:c>
      <x:c r="E20" t="n">
        <x:v>85</x:v>
      </x:c>
      <x:c r="F20" t="n">
        <x:v>100</x:v>
      </x:c>
      <x:c r="G20" t="n">
        <x:v>1</x:v>
      </x:c>
      <x:c r="H20" s="18" t="n">
        <x:v>87</x:v>
      </x:c>
      <x:c r="I20" s="18" t="n">
        <x:v>85</x:v>
      </x:c>
      <x:c r="J20" s="18" t="n">
        <x:v>85</x:v>
      </x:c>
      <x:c r="K20" s="18" t="n">
        <x:v>90</x:v>
      </x:c>
      <x:c r="L20" s="18" t="n">
        <x:v>92</x:v>
      </x:c>
      <x:c r="M20" s="18" t="n">
        <x:v>90</x:v>
      </x:c>
      <x:c r="N20" s="18" t="n">
        <x:v>78</x:v>
      </x:c>
      <x:c r="O20" s="18" t="n">
        <x:v>87</x:v>
      </x:c>
      <x:c r="P20" s="18" t="n">
        <x:v>89</x:v>
      </x:c>
      <x:c r="Q20" t="str">
        <x:v>Yes</x:v>
      </x:c>
      <x:c r="R20" s="18" t="n">
        <x:v>0</x:v>
      </x:c>
      <x:c r="S20" s="18" t="n">
        <x:v>0</x:v>
      </x:c>
      <x:c r="T20" s="18" t="n">
        <x:v>0</x:v>
      </x:c>
      <x:c r="U20" t="str">
        <x:v>Excellent</x:v>
      </x:c>
      <x:c r="V20" t="str">
        <x:v>Yes</x:v>
      </x:c>
      <x:c r="W20" t="str">
        <x:v>STRONG_LIMITED_EDITING</x:v>
      </x:c>
      <x:c r="X20" t="str">
        <x:v>PASS</x:v>
      </x:c>
      <x:c r="Y20" t="n">
        <x:v>80</x:v>
      </x:c>
      <x:c r="Z20" t="str">
        <x:v>Success</x:v>
      </x:c>
      <x:c r="AA20"/>
      <x:c r="AB20"/>
      <x:c r="AC20" s="13"/>
      <x:c r="AD20" t="n">
        <x:v>0</x:v>
      </x:c>
      <x:c r="AE20" s="19" t="n">
        <x:v>96950</x:v>
      </x:c>
      <x:c r="AF20" t="str">
        <x:v>deepseek-v4-pro</x:v>
      </x:c>
      <x:c r="AG20" s="20" t="n">
        <x:v>46231.17425971065</x:v>
      </x:c>
      <x:c r="AH20" t="n">
        <x:v>200</x:v>
      </x:c>
      <x:c r="AI20" t="str">
        <x:v>277ea7f57a4ec997b82da805b1c2cff0470d871804cb07a10ed7225416baddaf</x:v>
      </x:c>
      <x:c r="AJ20" t="str">
        <x:v>b6aedb528c13fd641180bb42aa44cac60cfc21ad2ed4fb6c6f4c7b2e37cf2fdf</x:v>
      </x:c>
    </x:row>
    <x:row r="21">
      <x:c r="A21" s="17" t="str">
        <x:v>020</x:v>
      </x:c>
      <x:c r="B21" t="str">
        <x:v>ZH-EXCELLENT-020</x:v>
      </x:c>
      <x:c r="C21" s="17" t="str">
        <x:v>020</x:v>
      </x:c>
      <x:c r="D21" t="str">
        <x:v>Excellent</x:v>
      </x:c>
      <x:c r="E21" t="n">
        <x:v>85</x:v>
      </x:c>
      <x:c r="F21" t="n">
        <x:v>100</x:v>
      </x:c>
      <x:c r="G21" t="n">
        <x:v>1</x:v>
      </x:c>
      <x:c r="H21" s="18" t="n">
        <x:v>97</x:v>
      </x:c>
      <x:c r="I21" s="18" t="n">
        <x:v>95</x:v>
      </x:c>
      <x:c r="J21" s="18" t="n">
        <x:v>95</x:v>
      </x:c>
      <x:c r="K21" s="18" t="n">
        <x:v>95</x:v>
      </x:c>
      <x:c r="L21" s="18" t="n">
        <x:v>100</x:v>
      </x:c>
      <x:c r="M21" s="18" t="n">
        <x:v>100</x:v>
      </x:c>
      <x:c r="N21" s="18" t="n">
        <x:v>100</x:v>
      </x:c>
      <x:c r="O21" s="18" t="n">
        <x:v>97</x:v>
      </x:c>
      <x:c r="P21" s="18"/>
      <x:c r="Q21" t="str">
        <x:v>Yes</x:v>
      </x:c>
      <x:c r="R21" s="18" t="n">
        <x:v>0</x:v>
      </x:c>
      <x:c r="S21" s="18" t="n">
        <x:v>0</x:v>
      </x:c>
      <x:c r="T21" s="18" t="n">
        <x:v>0</x:v>
      </x:c>
      <x:c r="U21" t="str">
        <x:v>Excellent</x:v>
      </x:c>
      <x:c r="V21" t="str">
        <x:v>Yes</x:v>
      </x:c>
      <x:c r="W21" t="str">
        <x:v>PUBLICATION_READY</x:v>
      </x:c>
      <x:c r="X21" t="str">
        <x:v>PASS</x:v>
      </x:c>
      <x:c r="Y21" t="n">
        <x:v>80</x:v>
      </x:c>
      <x:c r="Z21" t="str">
        <x:v>Success</x:v>
      </x:c>
      <x:c r="AA21"/>
      <x:c r="AB21"/>
      <x:c r="AC21" s="13"/>
      <x:c r="AD21" t="n">
        <x:v>0</x:v>
      </x:c>
      <x:c r="AE21" s="19" t="n">
        <x:v>43024</x:v>
      </x:c>
      <x:c r="AF21" t="str">
        <x:v>deepseek-v4-pro</x:v>
      </x:c>
      <x:c r="AG21" s="20" t="n">
        <x:v>46231.17475770833</x:v>
      </x:c>
      <x:c r="AH21" t="n">
        <x:v>200</x:v>
      </x:c>
      <x:c r="AI21" t="str">
        <x:v>fa4654ee18219022ab8372db8061bd91cb553e9a6ca438198859b36b26a1b50e</x:v>
      </x:c>
      <x:c r="AJ21" t="str">
        <x:v>b6aedb528c13fd641180bb42aa44cac60cfc21ad2ed4fb6c6f4c7b2e37cf2fdf</x:v>
      </x:c>
    </x:row>
    <x:row r="22">
      <x:c r="A22" s="17" t="str">
        <x:v>021</x:v>
      </x:c>
      <x:c r="B22" t="str">
        <x:v>ZH-EXCELLENT-021</x:v>
      </x:c>
      <x:c r="C22" s="17" t="str">
        <x:v>021</x:v>
      </x:c>
      <x:c r="D22" t="str">
        <x:v>Excellent</x:v>
      </x:c>
      <x:c r="E22" t="n">
        <x:v>85</x:v>
      </x:c>
      <x:c r="F22" t="n">
        <x:v>100</x:v>
      </x:c>
      <x:c r="G22" t="n">
        <x:v>1</x:v>
      </x:c>
      <x:c r="H22" s="18" t="n">
        <x:v>74</x:v>
      </x:c>
      <x:c r="I22" s="18" t="n">
        <x:v>65</x:v>
      </x:c>
      <x:c r="J22" s="18" t="n">
        <x:v>85</x:v>
      </x:c>
      <x:c r="K22" s="18" t="n">
        <x:v>90</x:v>
      </x:c>
      <x:c r="L22" s="18" t="n">
        <x:v>90</x:v>
      </x:c>
      <x:c r="M22" s="18" t="n">
        <x:v>80</x:v>
      </x:c>
      <x:c r="N22" s="18" t="n">
        <x:v>70</x:v>
      </x:c>
      <x:c r="O22" s="18" t="n">
        <x:v>79</x:v>
      </x:c>
      <x:c r="P22" s="18" t="n">
        <x:v>74</x:v>
      </x:c>
      <x:c r="Q22" t="str">
        <x:v>No</x:v>
      </x:c>
      <x:c r="R22" s="18" t="n">
        <x:v>11</x:v>
      </x:c>
      <x:c r="S22" s="18" t="n">
        <x:v>11</x:v>
      </x:c>
      <x:c r="T22" s="18" t="n">
        <x:v>0</x:v>
      </x:c>
      <x:c r="U22" t="str">
        <x:v>Good</x:v>
      </x:c>
      <x:c r="V22" t="str">
        <x:v>No</x:v>
      </x:c>
      <x:c r="W22" t="str">
        <x:v>SUBSTANTIAL_REWRITE</x:v>
      </x:c>
      <x:c r="X22" t="str">
        <x:v>REWRITE_REQUIRED</x:v>
      </x:c>
      <x:c r="Y22" t="n">
        <x:v>80</x:v>
      </x:c>
      <x:c r="Z22" t="str">
        <x:v>Success</x:v>
      </x:c>
      <x:c r="AA22"/>
      <x:c r="AB22"/>
      <x:c r="AC22" s="13"/>
      <x:c r="AD22" t="n">
        <x:v>0</x:v>
      </x:c>
      <x:c r="AE22" s="19" t="n">
        <x:v>113234</x:v>
      </x:c>
      <x:c r="AF22" t="str">
        <x:v>deepseek-v4-pro</x:v>
      </x:c>
      <x:c r="AG22" s="20" t="n">
        <x:v>46231.17606831018</x:v>
      </x:c>
      <x:c r="AH22" t="n">
        <x:v>200</x:v>
      </x:c>
      <x:c r="AI22" t="str">
        <x:v>94708b14dbd5d1cb032049f18493d49cba7c8bea0ab949ececee45ae883e7f9d</x:v>
      </x:c>
      <x:c r="AJ22" t="str">
        <x:v>b6aedb528c13fd641180bb42aa44cac60cfc21ad2ed4fb6c6f4c7b2e37cf2fdf</x:v>
      </x:c>
    </x:row>
    <x:row r="23">
      <x:c r="A23" s="17" t="str">
        <x:v>022</x:v>
      </x:c>
      <x:c r="B23" t="str">
        <x:v>ZH-EXCELLENT-022</x:v>
      </x:c>
      <x:c r="C23" s="17" t="str">
        <x:v>022</x:v>
      </x:c>
      <x:c r="D23" t="str">
        <x:v>Excellent</x:v>
      </x:c>
      <x:c r="E23" t="n">
        <x:v>85</x:v>
      </x:c>
      <x:c r="F23" t="n">
        <x:v>100</x:v>
      </x:c>
      <x:c r="G23" t="n">
        <x:v>1</x:v>
      </x:c>
      <x:c r="H23" s="18" t="n">
        <x:v>87</x:v>
      </x:c>
      <x:c r="I23" s="18" t="n">
        <x:v>85</x:v>
      </x:c>
      <x:c r="J23" s="18" t="n">
        <x:v>85</x:v>
      </x:c>
      <x:c r="K23" s="18" t="n">
        <x:v>92</x:v>
      </x:c>
      <x:c r="L23" s="18" t="n">
        <x:v>95</x:v>
      </x:c>
      <x:c r="M23" s="18" t="n">
        <x:v>85</x:v>
      </x:c>
      <x:c r="N23" s="18" t="n">
        <x:v>82</x:v>
      </x:c>
      <x:c r="O23" s="18" t="n">
        <x:v>87</x:v>
      </x:c>
      <x:c r="P23" s="18" t="n">
        <x:v>89</x:v>
      </x:c>
      <x:c r="Q23" t="str">
        <x:v>Yes</x:v>
      </x:c>
      <x:c r="R23" s="18" t="n">
        <x:v>0</x:v>
      </x:c>
      <x:c r="S23" s="18" t="n">
        <x:v>0</x:v>
      </x:c>
      <x:c r="T23" s="18" t="n">
        <x:v>0</x:v>
      </x:c>
      <x:c r="U23" t="str">
        <x:v>Excellent</x:v>
      </x:c>
      <x:c r="V23" t="str">
        <x:v>Yes</x:v>
      </x:c>
      <x:c r="W23" t="str">
        <x:v>STRONG_LIMITED_EDITING</x:v>
      </x:c>
      <x:c r="X23" t="str">
        <x:v>PASS</x:v>
      </x:c>
      <x:c r="Y23" t="n">
        <x:v>80</x:v>
      </x:c>
      <x:c r="Z23" t="str">
        <x:v>Success</x:v>
      </x:c>
      <x:c r="AA23"/>
      <x:c r="AB23"/>
      <x:c r="AC23" s="13"/>
      <x:c r="AD23" t="n">
        <x:v>0</x:v>
      </x:c>
      <x:c r="AE23" s="19" t="n">
        <x:v>84537</x:v>
      </x:c>
      <x:c r="AF23" t="str">
        <x:v>deepseek-v4-pro</x:v>
      </x:c>
      <x:c r="AG23" s="20" t="n">
        <x:v>46231.17704678241</x:v>
      </x:c>
      <x:c r="AH23" t="n">
        <x:v>200</x:v>
      </x:c>
      <x:c r="AI23" t="str">
        <x:v>b320cdb515d86dcd9c2db491af5fa8749be97d147f1d377db110bb9eca0a085c</x:v>
      </x:c>
      <x:c r="AJ23" t="str">
        <x:v>b6aedb528c13fd641180bb42aa44cac60cfc21ad2ed4fb6c6f4c7b2e37cf2fdf</x:v>
      </x:c>
    </x:row>
    <x:row r="24">
      <x:c r="A24" s="17" t="str">
        <x:v>023</x:v>
      </x:c>
      <x:c r="B24" t="str">
        <x:v>ZH-EXCELLENT-023</x:v>
      </x:c>
      <x:c r="C24" s="17" t="str">
        <x:v>023</x:v>
      </x:c>
      <x:c r="D24" t="str">
        <x:v>Excellent</x:v>
      </x:c>
      <x:c r="E24" t="n">
        <x:v>85</x:v>
      </x:c>
      <x:c r="F24" t="n">
        <x:v>100</x:v>
      </x:c>
      <x:c r="G24" t="n">
        <x:v>1</x:v>
      </x:c>
      <x:c r="H24" s="18" t="n">
        <x:v>94</x:v>
      </x:c>
      <x:c r="I24" s="18" t="n">
        <x:v>92</x:v>
      </x:c>
      <x:c r="J24" s="18" t="n">
        <x:v>95</x:v>
      </x:c>
      <x:c r="K24" s="18" t="n">
        <x:v>95</x:v>
      </x:c>
      <x:c r="L24" s="18" t="n">
        <x:v>95</x:v>
      </x:c>
      <x:c r="M24" s="18" t="n">
        <x:v>95</x:v>
      </x:c>
      <x:c r="N24" s="18" t="n">
        <x:v>95</x:v>
      </x:c>
      <x:c r="O24" s="18" t="n">
        <x:v>94</x:v>
      </x:c>
      <x:c r="P24" s="18"/>
      <x:c r="Q24" t="str">
        <x:v>Yes</x:v>
      </x:c>
      <x:c r="R24" s="18" t="n">
        <x:v>0</x:v>
      </x:c>
      <x:c r="S24" s="18" t="n">
        <x:v>0</x:v>
      </x:c>
      <x:c r="T24" s="18" t="n">
        <x:v>0</x:v>
      </x:c>
      <x:c r="U24" t="str">
        <x:v>Excellent</x:v>
      </x:c>
      <x:c r="V24" t="str">
        <x:v>Yes</x:v>
      </x:c>
      <x:c r="W24" t="str">
        <x:v>PUBLICATION_READY</x:v>
      </x:c>
      <x:c r="X24" t="str">
        <x:v>PASS</x:v>
      </x:c>
      <x:c r="Y24" t="n">
        <x:v>80</x:v>
      </x:c>
      <x:c r="Z24" t="str">
        <x:v>Success</x:v>
      </x:c>
      <x:c r="AA24"/>
      <x:c r="AB24"/>
      <x:c r="AC24" s="13"/>
      <x:c r="AD24" t="n">
        <x:v>0</x:v>
      </x:c>
      <x:c r="AE24" s="19" t="n">
        <x:v>31939</x:v>
      </x:c>
      <x:c r="AF24" t="str">
        <x:v>deepseek-v4-pro</x:v>
      </x:c>
      <x:c r="AG24" s="20" t="n">
        <x:v>46231.17741648148</x:v>
      </x:c>
      <x:c r="AH24" t="n">
        <x:v>200</x:v>
      </x:c>
      <x:c r="AI24" t="str">
        <x:v>3091777d8b318167a7e0c65fe295ec4a2932f49b725250e03b5077c076758da2</x:v>
      </x:c>
      <x:c r="AJ24" t="str">
        <x:v>b6aedb528c13fd641180bb42aa44cac60cfc21ad2ed4fb6c6f4c7b2e37cf2fdf</x:v>
      </x:c>
    </x:row>
    <x:row r="25">
      <x:c r="A25" s="17" t="str">
        <x:v>024</x:v>
      </x:c>
      <x:c r="B25" t="str">
        <x:v>ZH-EXCELLENT-024</x:v>
      </x:c>
      <x:c r="C25" s="17" t="str">
        <x:v>024</x:v>
      </x:c>
      <x:c r="D25" t="str">
        <x:v>Excellent</x:v>
      </x:c>
      <x:c r="E25" t="n">
        <x:v>85</x:v>
      </x:c>
      <x:c r="F25" t="n">
        <x:v>100</x:v>
      </x:c>
      <x:c r="G25" t="n">
        <x:v>1</x:v>
      </x:c>
      <x:c r="H25" s="18" t="n">
        <x:v>59</x:v>
      </x:c>
      <x:c r="I25" s="18" t="n">
        <x:v>55</x:v>
      </x:c>
      <x:c r="J25" s="18" t="n">
        <x:v>95</x:v>
      </x:c>
      <x:c r="K25" s="18" t="n">
        <x:v>95</x:v>
      </x:c>
      <x:c r="L25" s="18" t="n">
        <x:v>95</x:v>
      </x:c>
      <x:c r="M25" s="18" t="n">
        <x:v>95</x:v>
      </x:c>
      <x:c r="N25" s="18" t="n">
        <x:v>85</x:v>
      </x:c>
      <x:c r="O25" s="18" t="n">
        <x:v>84</x:v>
      </x:c>
      <x:c r="P25" s="18" t="n">
        <x:v>59</x:v>
      </x:c>
      <x:c r="Q25" t="str">
        <x:v>No</x:v>
      </x:c>
      <x:c r="R25" s="18" t="n">
        <x:v>26</x:v>
      </x:c>
      <x:c r="S25" s="18" t="n">
        <x:v>26</x:v>
      </x:c>
      <x:c r="T25" s="18" t="n">
        <x:v>0</x:v>
      </x:c>
      <x:c r="U25" t="str">
        <x:v>Normal</x:v>
      </x:c>
      <x:c r="V25" t="str">
        <x:v>No</x:v>
      </x:c>
      <x:c r="W25" t="str">
        <x:v>WEAK</x:v>
      </x:c>
      <x:c r="X25" t="str">
        <x:v>REWRITE_REQUIRED</x:v>
      </x:c>
      <x:c r="Y25" t="n">
        <x:v>80</x:v>
      </x:c>
      <x:c r="Z25" t="str">
        <x:v>Success</x:v>
      </x:c>
      <x:c r="AA25"/>
      <x:c r="AB25"/>
      <x:c r="AC25" s="13"/>
      <x:c r="AD25" t="n">
        <x:v>0</x:v>
      </x:c>
      <x:c r="AE25" s="19" t="n">
        <x:v>51952</x:v>
      </x:c>
      <x:c r="AF25" t="str">
        <x:v>deepseek-v4-pro</x:v>
      </x:c>
      <x:c r="AG25" s="20" t="n">
        <x:v>46231.1780178125</x:v>
      </x:c>
      <x:c r="AH25" t="n">
        <x:v>200</x:v>
      </x:c>
      <x:c r="AI25" t="str">
        <x:v>4a6b385dd373e2235c8b06c5dd440404d673cc575c6d2eb189665a755b55a4ab</x:v>
      </x:c>
      <x:c r="AJ25" t="str">
        <x:v>b6aedb528c13fd641180bb42aa44cac60cfc21ad2ed4fb6c6f4c7b2e37cf2fdf</x:v>
      </x:c>
    </x:row>
    <x:row r="26">
      <x:c r="A26" s="17" t="str">
        <x:v>025</x:v>
      </x:c>
      <x:c r="B26" t="str">
        <x:v>ZH-EXCELLENT-025</x:v>
      </x:c>
      <x:c r="C26" s="17" t="str">
        <x:v>025</x:v>
      </x:c>
      <x:c r="D26" t="str">
        <x:v>Excellent</x:v>
      </x:c>
      <x:c r="E26" t="n">
        <x:v>85</x:v>
      </x:c>
      <x:c r="F26" t="n">
        <x:v>100</x:v>
      </x:c>
      <x:c r="G26" t="n">
        <x:v>1</x:v>
      </x:c>
      <x:c r="H26" s="18" t="n">
        <x:v>94</x:v>
      </x:c>
      <x:c r="I26" s="18" t="n">
        <x:v>90</x:v>
      </x:c>
      <x:c r="J26" s="18" t="n">
        <x:v>95</x:v>
      </x:c>
      <x:c r="K26" s="18" t="n">
        <x:v>95</x:v>
      </x:c>
      <x:c r="L26" s="18" t="n">
        <x:v>95</x:v>
      </x:c>
      <x:c r="M26" s="18" t="n">
        <x:v>95</x:v>
      </x:c>
      <x:c r="N26" s="18" t="n">
        <x:v>95</x:v>
      </x:c>
      <x:c r="O26" s="18" t="n">
        <x:v>94</x:v>
      </x:c>
      <x:c r="P26" s="18"/>
      <x:c r="Q26" t="str">
        <x:v>Yes</x:v>
      </x:c>
      <x:c r="R26" s="18" t="n">
        <x:v>0</x:v>
      </x:c>
      <x:c r="S26" s="18" t="n">
        <x:v>0</x:v>
      </x:c>
      <x:c r="T26" s="18" t="n">
        <x:v>0</x:v>
      </x:c>
      <x:c r="U26" t="str">
        <x:v>Excellent</x:v>
      </x:c>
      <x:c r="V26" t="str">
        <x:v>Yes</x:v>
      </x:c>
      <x:c r="W26" t="str">
        <x:v>PUBLICATION_READY</x:v>
      </x:c>
      <x:c r="X26" t="str">
        <x:v>PASS</x:v>
      </x:c>
      <x:c r="Y26" t="n">
        <x:v>80</x:v>
      </x:c>
      <x:c r="Z26" t="str">
        <x:v>Success</x:v>
      </x:c>
      <x:c r="AA26"/>
      <x:c r="AB26"/>
      <x:c r="AC26" s="13"/>
      <x:c r="AD26" t="n">
        <x:v>0</x:v>
      </x:c>
      <x:c r="AE26" s="19" t="n">
        <x:v>42601</x:v>
      </x:c>
      <x:c r="AF26" t="str">
        <x:v>deepseek-v4-pro</x:v>
      </x:c>
      <x:c r="AG26" s="20" t="n">
        <x:v>46231.1785108912</x:v>
      </x:c>
      <x:c r="AH26" t="n">
        <x:v>200</x:v>
      </x:c>
      <x:c r="AI26" t="str">
        <x:v>a83122e6f0d0f87bb301d0c13b135ae13e05b74571fc9c40f67beac60f419d9e</x:v>
      </x:c>
      <x:c r="AJ26" t="str">
        <x:v>b6aedb528c13fd641180bb42aa44cac60cfc21ad2ed4fb6c6f4c7b2e37cf2fdf</x:v>
      </x:c>
    </x:row>
    <x:row r="27">
      <x:c r="A27" s="17" t="str">
        <x:v>026</x:v>
      </x:c>
      <x:c r="B27" t="str">
        <x:v>ZH-EXCELLENT-026</x:v>
      </x:c>
      <x:c r="C27" s="17" t="str">
        <x:v>026</x:v>
      </x:c>
      <x:c r="D27" t="str">
        <x:v>Excellent</x:v>
      </x:c>
      <x:c r="E27" t="n">
        <x:v>85</x:v>
      </x:c>
      <x:c r="F27" t="n">
        <x:v>100</x:v>
      </x:c>
      <x:c r="G27" t="n">
        <x:v>1</x:v>
      </x:c>
      <x:c r="H27" s="18" t="n">
        <x:v>59</x:v>
      </x:c>
      <x:c r="I27" s="18" t="n">
        <x:v>55</x:v>
      </x:c>
      <x:c r="J27" s="18" t="n">
        <x:v>82</x:v>
      </x:c>
      <x:c r="K27" s="18" t="n">
        <x:v>93</x:v>
      </x:c>
      <x:c r="L27" s="18" t="n">
        <x:v>95</x:v>
      </x:c>
      <x:c r="M27" s="18" t="n">
        <x:v>90</x:v>
      </x:c>
      <x:c r="N27" s="18" t="n">
        <x:v>70</x:v>
      </x:c>
      <x:c r="O27" s="18" t="n">
        <x:v>79</x:v>
      </x:c>
      <x:c r="P27" s="18" t="n">
        <x:v>59</x:v>
      </x:c>
      <x:c r="Q27" t="str">
        <x:v>No</x:v>
      </x:c>
      <x:c r="R27" s="18" t="n">
        <x:v>26</x:v>
      </x:c>
      <x:c r="S27" s="18" t="n">
        <x:v>26</x:v>
      </x:c>
      <x:c r="T27" s="18" t="n">
        <x:v>0</x:v>
      </x:c>
      <x:c r="U27" t="str">
        <x:v>Normal</x:v>
      </x:c>
      <x:c r="V27" t="str">
        <x:v>No</x:v>
      </x:c>
      <x:c r="W27" t="str">
        <x:v>WEAK</x:v>
      </x:c>
      <x:c r="X27" t="str">
        <x:v>REWRITE_REQUIRED</x:v>
      </x:c>
      <x:c r="Y27" t="n">
        <x:v>80</x:v>
      </x:c>
      <x:c r="Z27" t="str">
        <x:v>Success</x:v>
      </x:c>
      <x:c r="AA27"/>
      <x:c r="AB27"/>
      <x:c r="AC27" s="13"/>
      <x:c r="AD27" t="n">
        <x:v>0</x:v>
      </x:c>
      <x:c r="AE27" s="19" t="n">
        <x:v>87957</x:v>
      </x:c>
      <x:c r="AF27" t="str">
        <x:v>deepseek-v4-pro</x:v>
      </x:c>
      <x:c r="AG27" s="20" t="n">
        <x:v>46231.17952895833</x:v>
      </x:c>
      <x:c r="AH27" t="n">
        <x:v>200</x:v>
      </x:c>
      <x:c r="AI27" t="str">
        <x:v>e4a4fc2dbc2b616416ee80461656d5b1891863b30f7b31fce1483271b6f8ad09</x:v>
      </x:c>
      <x:c r="AJ27" t="str">
        <x:v>b6aedb528c13fd641180bb42aa44cac60cfc21ad2ed4fb6c6f4c7b2e37cf2fdf</x:v>
      </x:c>
    </x:row>
    <x:row r="28">
      <x:c r="A28" s="17" t="str">
        <x:v>027</x:v>
      </x:c>
      <x:c r="B28" t="str">
        <x:v>ZH-EXCELLENT-027</x:v>
      </x:c>
      <x:c r="C28" s="17" t="str">
        <x:v>027</x:v>
      </x:c>
      <x:c r="D28" t="str">
        <x:v>Excellent</x:v>
      </x:c>
      <x:c r="E28" t="n">
        <x:v>85</x:v>
      </x:c>
      <x:c r="F28" t="n">
        <x:v>100</x:v>
      </x:c>
      <x:c r="G28" t="n">
        <x:v>1</x:v>
      </x:c>
      <x:c r="H28" s="18" t="n">
        <x:v>74</x:v>
      </x:c>
      <x:c r="I28" s="18" t="n">
        <x:v>65</x:v>
      </x:c>
      <x:c r="J28" s="18" t="n">
        <x:v>88</x:v>
      </x:c>
      <x:c r="K28" s="18" t="n">
        <x:v>90</x:v>
      </x:c>
      <x:c r="L28" s="18" t="n">
        <x:v>95</x:v>
      </x:c>
      <x:c r="M28" s="18" t="n">
        <x:v>95</x:v>
      </x:c>
      <x:c r="N28" s="18" t="n">
        <x:v>90</x:v>
      </x:c>
      <x:c r="O28" s="18" t="n">
        <x:v>85</x:v>
      </x:c>
      <x:c r="P28" s="18" t="n">
        <x:v>74</x:v>
      </x:c>
      <x:c r="Q28" t="str">
        <x:v>No</x:v>
      </x:c>
      <x:c r="R28" s="18" t="n">
        <x:v>11</x:v>
      </x:c>
      <x:c r="S28" s="18" t="n">
        <x:v>11</x:v>
      </x:c>
      <x:c r="T28" s="18" t="n">
        <x:v>0</x:v>
      </x:c>
      <x:c r="U28" t="str">
        <x:v>Good</x:v>
      </x:c>
      <x:c r="V28" t="str">
        <x:v>No</x:v>
      </x:c>
      <x:c r="W28" t="str">
        <x:v>SUBSTANTIAL_REWRITE</x:v>
      </x:c>
      <x:c r="X28" t="str">
        <x:v>REWRITE_REQUIRED</x:v>
      </x:c>
      <x:c r="Y28" t="n">
        <x:v>80</x:v>
      </x:c>
      <x:c r="Z28" t="str">
        <x:v>Success</x:v>
      </x:c>
      <x:c r="AA28"/>
      <x:c r="AB28"/>
      <x:c r="AC28" s="13"/>
      <x:c r="AD28" t="n">
        <x:v>0</x:v>
      </x:c>
      <x:c r="AE28" s="19" t="n">
        <x:v>77834</x:v>
      </x:c>
      <x:c r="AF28" t="str">
        <x:v>deepseek-v4-pro</x:v>
      </x:c>
      <x:c r="AG28" s="20" t="n">
        <x:v>46231.18042984953</x:v>
      </x:c>
      <x:c r="AH28" t="n">
        <x:v>200</x:v>
      </x:c>
      <x:c r="AI28" t="str">
        <x:v>5691cc7881c3fa1a2038e844903117de56fa7656ad3b339435ac8f3502e630a3</x:v>
      </x:c>
      <x:c r="AJ28" t="str">
        <x:v>b6aedb528c13fd641180bb42aa44cac60cfc21ad2ed4fb6c6f4c7b2e37cf2fdf</x:v>
      </x:c>
    </x:row>
    <x:row r="29">
      <x:c r="A29" s="17" t="str">
        <x:v>028</x:v>
      </x:c>
      <x:c r="B29" t="str">
        <x:v>ZH-EXCELLENT-028</x:v>
      </x:c>
      <x:c r="C29" s="17" t="str">
        <x:v>028</x:v>
      </x:c>
      <x:c r="D29" t="str">
        <x:v>Excellent</x:v>
      </x:c>
      <x:c r="E29" t="n">
        <x:v>85</x:v>
      </x:c>
      <x:c r="F29" t="n">
        <x:v>100</x:v>
      </x:c>
      <x:c r="G29" t="n">
        <x:v>1</x:v>
      </x:c>
      <x:c r="H29" s="18" t="n">
        <x:v>89</x:v>
      </x:c>
      <x:c r="I29" s="18" t="n">
        <x:v>85</x:v>
      </x:c>
      <x:c r="J29" s="18" t="n">
        <x:v>92</x:v>
      </x:c>
      <x:c r="K29" s="18" t="n">
        <x:v>95</x:v>
      </x:c>
      <x:c r="L29" s="18" t="n">
        <x:v>95</x:v>
      </x:c>
      <x:c r="M29" s="18" t="n">
        <x:v>95</x:v>
      </x:c>
      <x:c r="N29" s="18" t="n">
        <x:v>88</x:v>
      </x:c>
      <x:c r="O29" s="18" t="n">
        <x:v>91</x:v>
      </x:c>
      <x:c r="P29" s="18" t="n">
        <x:v>89</x:v>
      </x:c>
      <x:c r="Q29" t="str">
        <x:v>Yes</x:v>
      </x:c>
      <x:c r="R29" s="18" t="n">
        <x:v>0</x:v>
      </x:c>
      <x:c r="S29" s="18" t="n">
        <x:v>0</x:v>
      </x:c>
      <x:c r="T29" s="18" t="n">
        <x:v>0</x:v>
      </x:c>
      <x:c r="U29" t="str">
        <x:v>Excellent</x:v>
      </x:c>
      <x:c r="V29" t="str">
        <x:v>Yes</x:v>
      </x:c>
      <x:c r="W29" t="str">
        <x:v>STRONG_LIMITED_EDITING</x:v>
      </x:c>
      <x:c r="X29" t="str">
        <x:v>PASS</x:v>
      </x:c>
      <x:c r="Y29" t="n">
        <x:v>80</x:v>
      </x:c>
      <x:c r="Z29" t="str">
        <x:v>Success</x:v>
      </x:c>
      <x:c r="AA29"/>
      <x:c r="AB29"/>
      <x:c r="AC29" s="13"/>
      <x:c r="AD29" t="n">
        <x:v>0</x:v>
      </x:c>
      <x:c r="AE29" s="19" t="n">
        <x:v>46905</x:v>
      </x:c>
      <x:c r="AF29" t="str">
        <x:v>deepseek-v4-pro</x:v>
      </x:c>
      <x:c r="AG29" s="20" t="n">
        <x:v>46231.180972766204</x:v>
      </x:c>
      <x:c r="AH29" t="n">
        <x:v>200</x:v>
      </x:c>
      <x:c r="AI29" t="str">
        <x:v>5f00a827093c6cea6923d6fe8674cfe869d130e420de54223054d9ab3706c89a</x:v>
      </x:c>
      <x:c r="AJ29" t="str">
        <x:v>b6aedb528c13fd641180bb42aa44cac60cfc21ad2ed4fb6c6f4c7b2e37cf2fdf</x:v>
      </x:c>
    </x:row>
    <x:row r="30">
      <x:c r="A30" s="17" t="str">
        <x:v>029</x:v>
      </x:c>
      <x:c r="B30" t="str">
        <x:v>ZH-EXCELLENT-029</x:v>
      </x:c>
      <x:c r="C30" s="17" t="str">
        <x:v>029</x:v>
      </x:c>
      <x:c r="D30" t="str">
        <x:v>Excellent</x:v>
      </x:c>
      <x:c r="E30" t="n">
        <x:v>85</x:v>
      </x:c>
      <x:c r="F30" t="n">
        <x:v>100</x:v>
      </x:c>
      <x:c r="G30" t="n">
        <x:v>1</x:v>
      </x:c>
      <x:c r="H30" s="18" t="n">
        <x:v>59</x:v>
      </x:c>
      <x:c r="I30" s="18" t="n">
        <x:v>55</x:v>
      </x:c>
      <x:c r="J30" s="18" t="n">
        <x:v>95</x:v>
      </x:c>
      <x:c r="K30" s="18" t="n">
        <x:v>95</x:v>
      </x:c>
      <x:c r="L30" s="18" t="n">
        <x:v>95</x:v>
      </x:c>
      <x:c r="M30" s="18" t="n">
        <x:v>85</x:v>
      </x:c>
      <x:c r="N30" s="18" t="n">
        <x:v>85</x:v>
      </x:c>
      <x:c r="O30" s="18" t="n">
        <x:v>83</x:v>
      </x:c>
      <x:c r="P30" s="18" t="n">
        <x:v>59</x:v>
      </x:c>
      <x:c r="Q30" t="str">
        <x:v>No</x:v>
      </x:c>
      <x:c r="R30" s="18" t="n">
        <x:v>26</x:v>
      </x:c>
      <x:c r="S30" s="18" t="n">
        <x:v>26</x:v>
      </x:c>
      <x:c r="T30" s="18" t="n">
        <x:v>0</x:v>
      </x:c>
      <x:c r="U30" t="str">
        <x:v>Normal</x:v>
      </x:c>
      <x:c r="V30" t="str">
        <x:v>No</x:v>
      </x:c>
      <x:c r="W30" t="str">
        <x:v>WEAK</x:v>
      </x:c>
      <x:c r="X30" t="str">
        <x:v>REWRITE_REQUIRED</x:v>
      </x:c>
      <x:c r="Y30" t="n">
        <x:v>80</x:v>
      </x:c>
      <x:c r="Z30" t="str">
        <x:v>Success</x:v>
      </x:c>
      <x:c r="AA30"/>
      <x:c r="AB30"/>
      <x:c r="AC30" s="13"/>
      <x:c r="AD30" t="n">
        <x:v>0</x:v>
      </x:c>
      <x:c r="AE30" s="19" t="n">
        <x:v>52869</x:v>
      </x:c>
      <x:c r="AF30" t="str">
        <x:v>deepseek-v4-pro</x:v>
      </x:c>
      <x:c r="AG30" s="20" t="n">
        <x:v>46231.18158471065</x:v>
      </x:c>
      <x:c r="AH30" t="n">
        <x:v>200</x:v>
      </x:c>
      <x:c r="AI30" t="str">
        <x:v>8ead1ba24fc2d76424de3582cd5c2b38997512d12e2eebe45aacedaa0808e0e7</x:v>
      </x:c>
      <x:c r="AJ30" t="str">
        <x:v>b6aedb528c13fd641180bb42aa44cac60cfc21ad2ed4fb6c6f4c7b2e37cf2fdf</x:v>
      </x:c>
    </x:row>
    <x:row r="31">
      <x:c r="A31" s="17" t="str">
        <x:v>030</x:v>
      </x:c>
      <x:c r="B31" t="str">
        <x:v>ZH-EXCELLENT-030</x:v>
      </x:c>
      <x:c r="C31" s="17" t="str">
        <x:v>030</x:v>
      </x:c>
      <x:c r="D31" t="str">
        <x:v>Excellent</x:v>
      </x:c>
      <x:c r="E31" t="n">
        <x:v>85</x:v>
      </x:c>
      <x:c r="F31" t="n">
        <x:v>100</x:v>
      </x:c>
      <x:c r="G31" t="n">
        <x:v>1</x:v>
      </x:c>
      <x:c r="H31" s="18" t="n">
        <x:v>89</x:v>
      </x:c>
      <x:c r="I31" s="18" t="n">
        <x:v>85</x:v>
      </x:c>
      <x:c r="J31" s="18" t="n">
        <x:v>92</x:v>
      </x:c>
      <x:c r="K31" s="18" t="n">
        <x:v>92</x:v>
      </x:c>
      <x:c r="L31" s="18" t="n">
        <x:v>88</x:v>
      </x:c>
      <x:c r="M31" s="18" t="n">
        <x:v>95</x:v>
      </x:c>
      <x:c r="N31" s="18" t="n">
        <x:v>89</x:v>
      </x:c>
      <x:c r="O31" s="18" t="n">
        <x:v>90</x:v>
      </x:c>
      <x:c r="P31" s="18" t="n">
        <x:v>89</x:v>
      </x:c>
      <x:c r="Q31" t="str">
        <x:v>Yes</x:v>
      </x:c>
      <x:c r="R31" s="18" t="n">
        <x:v>0</x:v>
      </x:c>
      <x:c r="S31" s="18" t="n">
        <x:v>0</x:v>
      </x:c>
      <x:c r="T31" s="18" t="n">
        <x:v>0</x:v>
      </x:c>
      <x:c r="U31" t="str">
        <x:v>Excellent</x:v>
      </x:c>
      <x:c r="V31" t="str">
        <x:v>Yes</x:v>
      </x:c>
      <x:c r="W31" t="str">
        <x:v>STRONG_LIMITED_EDITING</x:v>
      </x:c>
      <x:c r="X31" t="str">
        <x:v>PASS</x:v>
      </x:c>
      <x:c r="Y31" t="n">
        <x:v>80</x:v>
      </x:c>
      <x:c r="Z31" t="str">
        <x:v>Success</x:v>
      </x:c>
      <x:c r="AA31"/>
      <x:c r="AB31"/>
      <x:c r="AC31" s="13"/>
      <x:c r="AD31" t="n">
        <x:v>0</x:v>
      </x:c>
      <x:c r="AE31" s="19" t="n">
        <x:v>69156</x:v>
      </x:c>
      <x:c r="AF31" t="str">
        <x:v>deepseek-v4-pro</x:v>
      </x:c>
      <x:c r="AG31" s="20" t="n">
        <x:v>46231.182385127315</x:v>
      </x:c>
      <x:c r="AH31" t="n">
        <x:v>200</x:v>
      </x:c>
      <x:c r="AI31" t="str">
        <x:v>2bc83066136f819c7f2964c16f02df64b2e63ba75cddebc5087bae5e05a9cbb4</x:v>
      </x:c>
      <x:c r="AJ31" t="str">
        <x:v>b6aedb528c13fd641180bb42aa44cac60cfc21ad2ed4fb6c6f4c7b2e37cf2fdf</x:v>
      </x:c>
    </x:row>
    <x:row r="32">
      <x:c r="A32" s="17" t="str">
        <x:v>031</x:v>
      </x:c>
      <x:c r="B32" t="str">
        <x:v>ZH-GOOD-001</x:v>
      </x:c>
      <x:c r="C32" s="17" t="str">
        <x:v>001</x:v>
      </x:c>
      <x:c r="D32" t="str">
        <x:v>Good</x:v>
      </x:c>
      <x:c r="E32" t="n">
        <x:v>70</x:v>
      </x:c>
      <x:c r="F32" t="n">
        <x:v>84</x:v>
      </x:c>
      <x:c r="G32" t="n">
        <x:v>1</x:v>
      </x:c>
      <x:c r="H32" s="18" t="n">
        <x:v>89</x:v>
      </x:c>
      <x:c r="I32" s="18" t="n">
        <x:v>88</x:v>
      </x:c>
      <x:c r="J32" s="18" t="n">
        <x:v>95</x:v>
      </x:c>
      <x:c r="K32" s="18" t="n">
        <x:v>95</x:v>
      </x:c>
      <x:c r="L32" s="18" t="n">
        <x:v>95</x:v>
      </x:c>
      <x:c r="M32" s="18" t="n">
        <x:v>92</x:v>
      </x:c>
      <x:c r="N32" s="18" t="n">
        <x:v>85</x:v>
      </x:c>
      <x:c r="O32" s="18" t="n">
        <x:v>92</x:v>
      </x:c>
      <x:c r="P32" s="18" t="n">
        <x:v>89</x:v>
      </x:c>
      <x:c r="Q32" t="str">
        <x:v>No</x:v>
      </x:c>
      <x:c r="R32" s="18" t="n">
        <x:v>5</x:v>
      </x:c>
      <x:c r="S32" s="18" t="n">
        <x:v>0</x:v>
      </x:c>
      <x:c r="T32" s="18" t="n">
        <x:v>5</x:v>
      </x:c>
      <x:c r="U32" t="str">
        <x:v>Excellent</x:v>
      </x:c>
      <x:c r="V32" t="str">
        <x:v>No</x:v>
      </x:c>
      <x:c r="W32" t="str">
        <x:v>STRONG_LIMITED_EDITING</x:v>
      </x:c>
      <x:c r="X32" t="str">
        <x:v>PASS</x:v>
      </x:c>
      <x:c r="Y32" t="n">
        <x:v>80</x:v>
      </x:c>
      <x:c r="Z32" t="str">
        <x:v>Success</x:v>
      </x:c>
      <x:c r="AA32"/>
      <x:c r="AB32"/>
      <x:c r="AC32" s="13"/>
      <x:c r="AD32" t="n">
        <x:v>0</x:v>
      </x:c>
      <x:c r="AE32" s="19" t="n">
        <x:v>66013</x:v>
      </x:c>
      <x:c r="AF32" t="str">
        <x:v>deepseek-v4-pro</x:v>
      </x:c>
      <x:c r="AG32" s="20" t="n">
        <x:v>46231.16285134259</x:v>
      </x:c>
      <x:c r="AH32" t="n">
        <x:v>200</x:v>
      </x:c>
      <x:c r="AI32" t="str">
        <x:v>818745036dcb58dc4f9d08d815e1ceca3fae375d02e1c1223c4846c55e6396e6</x:v>
      </x:c>
      <x:c r="AJ32" t="str">
        <x:v>b6aedb528c13fd641180bb42aa44cac60cfc21ad2ed4fb6c6f4c7b2e37cf2fdf</x:v>
      </x:c>
    </x:row>
    <x:row r="33">
      <x:c r="A33" s="17" t="str">
        <x:v>032</x:v>
      </x:c>
      <x:c r="B33" t="str">
        <x:v>ZH-GOOD-002</x:v>
      </x:c>
      <x:c r="C33" s="17" t="str">
        <x:v>002</x:v>
      </x:c>
      <x:c r="D33" t="str">
        <x:v>Good</x:v>
      </x:c>
      <x:c r="E33" t="n">
        <x:v>70</x:v>
      </x:c>
      <x:c r="F33" t="n">
        <x:v>84</x:v>
      </x:c>
      <x:c r="G33" t="n">
        <x:v>1</x:v>
      </x:c>
      <x:c r="H33" s="18" t="n">
        <x:v>89</x:v>
      </x:c>
      <x:c r="I33" s="18" t="n">
        <x:v>89</x:v>
      </x:c>
      <x:c r="J33" s="18" t="n">
        <x:v>92</x:v>
      </x:c>
      <x:c r="K33" s="18" t="n">
        <x:v>90</x:v>
      </x:c>
      <x:c r="L33" s="18" t="n">
        <x:v>92</x:v>
      </x:c>
      <x:c r="M33" s="18" t="n">
        <x:v>91</x:v>
      </x:c>
      <x:c r="N33" s="18" t="n">
        <x:v>85</x:v>
      </x:c>
      <x:c r="O33" s="18" t="n">
        <x:v>90</x:v>
      </x:c>
      <x:c r="P33" s="18" t="n">
        <x:v>89</x:v>
      </x:c>
      <x:c r="Q33" t="str">
        <x:v>No</x:v>
      </x:c>
      <x:c r="R33" s="18" t="n">
        <x:v>5</x:v>
      </x:c>
      <x:c r="S33" s="18" t="n">
        <x:v>0</x:v>
      </x:c>
      <x:c r="T33" s="18" t="n">
        <x:v>5</x:v>
      </x:c>
      <x:c r="U33" t="str">
        <x:v>Excellent</x:v>
      </x:c>
      <x:c r="V33" t="str">
        <x:v>No</x:v>
      </x:c>
      <x:c r="W33" t="str">
        <x:v>STRONG_LIMITED_EDITING</x:v>
      </x:c>
      <x:c r="X33" t="str">
        <x:v>PASS</x:v>
      </x:c>
      <x:c r="Y33" t="n">
        <x:v>80</x:v>
      </x:c>
      <x:c r="Z33" t="str">
        <x:v>Success</x:v>
      </x:c>
      <x:c r="AA33"/>
      <x:c r="AB33"/>
      <x:c r="AC33" s="13"/>
      <x:c r="AD33" t="n">
        <x:v>0</x:v>
      </x:c>
      <x:c r="AE33" s="19" t="n">
        <x:v>57065</x:v>
      </x:c>
      <x:c r="AF33" t="str">
        <x:v>deepseek-v4-pro</x:v>
      </x:c>
      <x:c r="AG33" s="20" t="n">
        <x:v>46231.16351184028</x:v>
      </x:c>
      <x:c r="AH33" t="n">
        <x:v>200</x:v>
      </x:c>
      <x:c r="AI33" t="str">
        <x:v>11763d96aa3143779639b73556d9ddb429ea78a88d63f03ffcea476be3c49806</x:v>
      </x:c>
      <x:c r="AJ33" t="str">
        <x:v>b6aedb528c13fd641180bb42aa44cac60cfc21ad2ed4fb6c6f4c7b2e37cf2fdf</x:v>
      </x:c>
    </x:row>
    <x:row r="34">
      <x:c r="A34" s="17" t="str">
        <x:v>033</x:v>
      </x:c>
      <x:c r="B34" t="str">
        <x:v>ZH-GOOD-003</x:v>
      </x:c>
      <x:c r="C34" s="17" t="str">
        <x:v>003</x:v>
      </x:c>
      <x:c r="D34" t="str">
        <x:v>Good</x:v>
      </x:c>
      <x:c r="E34" t="n">
        <x:v>70</x:v>
      </x:c>
      <x:c r="F34" t="n">
        <x:v>84</x:v>
      </x:c>
      <x:c r="G34" t="n">
        <x:v>1</x:v>
      </x:c>
      <x:c r="H34" s="18" t="n">
        <x:v>89</x:v>
      </x:c>
      <x:c r="I34" s="18" t="n">
        <x:v>92</x:v>
      </x:c>
      <x:c r="J34" s="18" t="n">
        <x:v>82</x:v>
      </x:c>
      <x:c r="K34" s="18" t="n">
        <x:v>88</x:v>
      </x:c>
      <x:c r="L34" s="18" t="n">
        <x:v>95</x:v>
      </x:c>
      <x:c r="M34" s="18" t="n">
        <x:v>95</x:v>
      </x:c>
      <x:c r="N34" s="18" t="n">
        <x:v>95</x:v>
      </x:c>
      <x:c r="O34" s="18" t="n">
        <x:v>91</x:v>
      </x:c>
      <x:c r="P34" s="18" t="n">
        <x:v>89</x:v>
      </x:c>
      <x:c r="Q34" t="str">
        <x:v>No</x:v>
      </x:c>
      <x:c r="R34" s="18" t="n">
        <x:v>5</x:v>
      </x:c>
      <x:c r="S34" s="18" t="n">
        <x:v>0</x:v>
      </x:c>
      <x:c r="T34" s="18" t="n">
        <x:v>5</x:v>
      </x:c>
      <x:c r="U34" t="str">
        <x:v>Excellent</x:v>
      </x:c>
      <x:c r="V34" t="str">
        <x:v>No</x:v>
      </x:c>
      <x:c r="W34" t="str">
        <x:v>STRONG_LIMITED_EDITING</x:v>
      </x:c>
      <x:c r="X34" t="str">
        <x:v>PASS</x:v>
      </x:c>
      <x:c r="Y34" t="n">
        <x:v>80</x:v>
      </x:c>
      <x:c r="Z34" t="str">
        <x:v>Success</x:v>
      </x:c>
      <x:c r="AA34"/>
      <x:c r="AB34"/>
      <x:c r="AC34" s="13"/>
      <x:c r="AD34" t="n">
        <x:v>0</x:v>
      </x:c>
      <x:c r="AE34" s="19" t="n">
        <x:v>60556</x:v>
      </x:c>
      <x:c r="AF34" t="str">
        <x:v>deepseek-v4-pro</x:v>
      </x:c>
      <x:c r="AG34" s="20" t="n">
        <x:v>46231.16421274305</x:v>
      </x:c>
      <x:c r="AH34" t="n">
        <x:v>200</x:v>
      </x:c>
      <x:c r="AI34" t="str">
        <x:v>348b48cf9c21b15499288d59b417ec04125198f17c02f5619145de97af6b3355</x:v>
      </x:c>
      <x:c r="AJ34" t="str">
        <x:v>b6aedb528c13fd641180bb42aa44cac60cfc21ad2ed4fb6c6f4c7b2e37cf2fdf</x:v>
      </x:c>
    </x:row>
    <x:row r="35">
      <x:c r="A35" s="17" t="str">
        <x:v>034</x:v>
      </x:c>
      <x:c r="B35" t="str">
        <x:v>ZH-GOOD-004</x:v>
      </x:c>
      <x:c r="C35" s="17" t="str">
        <x:v>004</x:v>
      </x:c>
      <x:c r="D35" t="str">
        <x:v>Good</x:v>
      </x:c>
      <x:c r="E35" t="n">
        <x:v>70</x:v>
      </x:c>
      <x:c r="F35" t="n">
        <x:v>84</x:v>
      </x:c>
      <x:c r="G35" t="n">
        <x:v>1</x:v>
      </x:c>
      <x:c r="H35" s="18" t="n">
        <x:v>95</x:v>
      </x:c>
      <x:c r="I35" s="18" t="n">
        <x:v>95</x:v>
      </x:c>
      <x:c r="J35" s="18" t="n">
        <x:v>95</x:v>
      </x:c>
      <x:c r="K35" s="18" t="n">
        <x:v>95</x:v>
      </x:c>
      <x:c r="L35" s="18" t="n">
        <x:v>95</x:v>
      </x:c>
      <x:c r="M35" s="18" t="n">
        <x:v>95</x:v>
      </x:c>
      <x:c r="N35" s="18" t="n">
        <x:v>95</x:v>
      </x:c>
      <x:c r="O35" s="18" t="n">
        <x:v>95</x:v>
      </x:c>
      <x:c r="P35" s="18"/>
      <x:c r="Q35" t="str">
        <x:v>No</x:v>
      </x:c>
      <x:c r="R35" s="18" t="n">
        <x:v>11</x:v>
      </x:c>
      <x:c r="S35" s="18" t="n">
        <x:v>0</x:v>
      </x:c>
      <x:c r="T35" s="18" t="n">
        <x:v>11</x:v>
      </x:c>
      <x:c r="U35" t="str">
        <x:v>Excellent</x:v>
      </x:c>
      <x:c r="V35" t="str">
        <x:v>No</x:v>
      </x:c>
      <x:c r="W35" t="str">
        <x:v>PUBLICATION_READY</x:v>
      </x:c>
      <x:c r="X35" t="str">
        <x:v>PASS</x:v>
      </x:c>
      <x:c r="Y35" t="n">
        <x:v>80</x:v>
      </x:c>
      <x:c r="Z35" t="str">
        <x:v>Success</x:v>
      </x:c>
      <x:c r="AA35"/>
      <x:c r="AB35"/>
      <x:c r="AC35" s="13"/>
      <x:c r="AD35" t="n">
        <x:v>0</x:v>
      </x:c>
      <x:c r="AE35" s="19" t="n">
        <x:v>39118</x:v>
      </x:c>
      <x:c r="AF35" t="str">
        <x:v>deepseek-v4-pro</x:v>
      </x:c>
      <x:c r="AG35" s="20" t="n">
        <x:v>46231.16466552083</x:v>
      </x:c>
      <x:c r="AH35" t="n">
        <x:v>200</x:v>
      </x:c>
      <x:c r="AI35" t="str">
        <x:v>331d7eb426709009ea79d4c719dc6fb8e96efa7e310dccc41e751ed1d8e37c63</x:v>
      </x:c>
      <x:c r="AJ35" t="str">
        <x:v>b6aedb528c13fd641180bb42aa44cac60cfc21ad2ed4fb6c6f4c7b2e37cf2fdf</x:v>
      </x:c>
    </x:row>
    <x:row r="36">
      <x:c r="A36" s="17" t="str">
        <x:v>035</x:v>
      </x:c>
      <x:c r="B36" t="str">
        <x:v>ZH-GOOD-005</x:v>
      </x:c>
      <x:c r="C36" s="17" t="str">
        <x:v>005</x:v>
      </x:c>
      <x:c r="D36" t="str">
        <x:v>Good</x:v>
      </x:c>
      <x:c r="E36" t="n">
        <x:v>70</x:v>
      </x:c>
      <x:c r="F36" t="n">
        <x:v>84</x:v>
      </x:c>
      <x:c r="G36" t="n">
        <x:v>1</x:v>
      </x:c>
      <x:c r="H36" s="18" t="n">
        <x:v>95</x:v>
      </x:c>
      <x:c r="I36" s="18" t="n">
        <x:v>95</x:v>
      </x:c>
      <x:c r="J36" s="18" t="n">
        <x:v>95</x:v>
      </x:c>
      <x:c r="K36" s="18" t="n">
        <x:v>95</x:v>
      </x:c>
      <x:c r="L36" s="18" t="n">
        <x:v>95</x:v>
      </x:c>
      <x:c r="M36" s="18" t="n">
        <x:v>95</x:v>
      </x:c>
      <x:c r="N36" s="18" t="n">
        <x:v>95</x:v>
      </x:c>
      <x:c r="O36" s="18" t="n">
        <x:v>95</x:v>
      </x:c>
      <x:c r="P36" s="18"/>
      <x:c r="Q36" t="str">
        <x:v>No</x:v>
      </x:c>
      <x:c r="R36" s="18" t="n">
        <x:v>11</x:v>
      </x:c>
      <x:c r="S36" s="18" t="n">
        <x:v>0</x:v>
      </x:c>
      <x:c r="T36" s="18" t="n">
        <x:v>11</x:v>
      </x:c>
      <x:c r="U36" t="str">
        <x:v>Excellent</x:v>
      </x:c>
      <x:c r="V36" t="str">
        <x:v>No</x:v>
      </x:c>
      <x:c r="W36" t="str">
        <x:v>PUBLICATION_READY</x:v>
      </x:c>
      <x:c r="X36" t="str">
        <x:v>PASS</x:v>
      </x:c>
      <x:c r="Y36" t="n">
        <x:v>80</x:v>
      </x:c>
      <x:c r="Z36" t="str">
        <x:v>Success</x:v>
      </x:c>
      <x:c r="AA36"/>
      <x:c r="AB36"/>
      <x:c r="AC36" s="13"/>
      <x:c r="AD36" t="n">
        <x:v>0</x:v>
      </x:c>
      <x:c r="AE36" s="19" t="n">
        <x:v>28864</x:v>
      </x:c>
      <x:c r="AF36" t="str">
        <x:v>deepseek-v4-pro</x:v>
      </x:c>
      <x:c r="AG36" s="20" t="n">
        <x:v>46231.16499960648</x:v>
      </x:c>
      <x:c r="AH36" t="n">
        <x:v>200</x:v>
      </x:c>
      <x:c r="AI36" t="str">
        <x:v>004dc681e312ee7aaef248e064b2e0a09f9320535df6332bcd15b7d88b000987</x:v>
      </x:c>
      <x:c r="AJ36" t="str">
        <x:v>b6aedb528c13fd641180bb42aa44cac60cfc21ad2ed4fb6c6f4c7b2e37cf2fdf</x:v>
      </x:c>
    </x:row>
    <x:row r="37">
      <x:c r="A37" s="17" t="str">
        <x:v>036</x:v>
      </x:c>
      <x:c r="B37" t="str">
        <x:v>ZH-GOOD-006</x:v>
      </x:c>
      <x:c r="C37" s="17" t="str">
        <x:v>006</x:v>
      </x:c>
      <x:c r="D37" t="str">
        <x:v>Good</x:v>
      </x:c>
      <x:c r="E37" t="n">
        <x:v>70</x:v>
      </x:c>
      <x:c r="F37" t="n">
        <x:v>84</x:v>
      </x:c>
      <x:c r="G37" t="n">
        <x:v>1</x:v>
      </x:c>
      <x:c r="H37" s="18" t="n">
        <x:v>89</x:v>
      </x:c>
      <x:c r="I37" s="18" t="n">
        <x:v>86</x:v>
      </x:c>
      <x:c r="J37" s="18" t="n">
        <x:v>90</x:v>
      </x:c>
      <x:c r="K37" s="18" t="n">
        <x:v>92</x:v>
      </x:c>
      <x:c r="L37" s="18" t="n">
        <x:v>95</x:v>
      </x:c>
      <x:c r="M37" s="18" t="n">
        <x:v>90</x:v>
      </x:c>
      <x:c r="N37" s="18" t="n">
        <x:v>78</x:v>
      </x:c>
      <x:c r="O37" s="18" t="n">
        <x:v>89</x:v>
      </x:c>
      <x:c r="P37" s="18" t="n">
        <x:v>89</x:v>
      </x:c>
      <x:c r="Q37" t="str">
        <x:v>No</x:v>
      </x:c>
      <x:c r="R37" s="18" t="n">
        <x:v>5</x:v>
      </x:c>
      <x:c r="S37" s="18" t="n">
        <x:v>0</x:v>
      </x:c>
      <x:c r="T37" s="18" t="n">
        <x:v>5</x:v>
      </x:c>
      <x:c r="U37" t="str">
        <x:v>Excellent</x:v>
      </x:c>
      <x:c r="V37" t="str">
        <x:v>No</x:v>
      </x:c>
      <x:c r="W37" t="str">
        <x:v>STRONG_LIMITED_EDITING</x:v>
      </x:c>
      <x:c r="X37" t="str">
        <x:v>PASS</x:v>
      </x:c>
      <x:c r="Y37" t="n">
        <x:v>80</x:v>
      </x:c>
      <x:c r="Z37" t="str">
        <x:v>Success</x:v>
      </x:c>
      <x:c r="AA37"/>
      <x:c r="AB37"/>
      <x:c r="AC37" s="13"/>
      <x:c r="AD37" t="n">
        <x:v>0</x:v>
      </x:c>
      <x:c r="AE37" s="19" t="n">
        <x:v>59251</x:v>
      </x:c>
      <x:c r="AF37" t="str">
        <x:v>deepseek-v4-pro</x:v>
      </x:c>
      <x:c r="AG37" s="20" t="n">
        <x:v>46231.165685405096</x:v>
      </x:c>
      <x:c r="AH37" t="n">
        <x:v>200</x:v>
      </x:c>
      <x:c r="AI37" t="str">
        <x:v>c681b248f10a7faeff902c5770584093be928085c22b0fa0a77779b318e04969</x:v>
      </x:c>
      <x:c r="AJ37" t="str">
        <x:v>b6aedb528c13fd641180bb42aa44cac60cfc21ad2ed4fb6c6f4c7b2e37cf2fdf</x:v>
      </x:c>
    </x:row>
    <x:row r="38">
      <x:c r="A38" s="17" t="str">
        <x:v>037</x:v>
      </x:c>
      <x:c r="B38" t="str">
        <x:v>ZH-GOOD-007</x:v>
      </x:c>
      <x:c r="C38" s="17" t="str">
        <x:v>007</x:v>
      </x:c>
      <x:c r="D38" t="str">
        <x:v>Good</x:v>
      </x:c>
      <x:c r="E38" t="n">
        <x:v>70</x:v>
      </x:c>
      <x:c r="F38" t="n">
        <x:v>84</x:v>
      </x:c>
      <x:c r="G38" t="n">
        <x:v>1</x:v>
      </x:c>
      <x:c r="H38" s="18" t="n">
        <x:v>89</x:v>
      </x:c>
      <x:c r="I38" s="18" t="n">
        <x:v>80</x:v>
      </x:c>
      <x:c r="J38" s="18" t="n">
        <x:v>95</x:v>
      </x:c>
      <x:c r="K38" s="18" t="n">
        <x:v>95</x:v>
      </x:c>
      <x:c r="L38" s="18" t="n">
        <x:v>95</x:v>
      </x:c>
      <x:c r="M38" s="18" t="n">
        <x:v>95</x:v>
      </x:c>
      <x:c r="N38" s="18" t="n">
        <x:v>80</x:v>
      </x:c>
      <x:c r="O38" s="18" t="n">
        <x:v>90</x:v>
      </x:c>
      <x:c r="P38" s="18" t="n">
        <x:v>89</x:v>
      </x:c>
      <x:c r="Q38" t="str">
        <x:v>No</x:v>
      </x:c>
      <x:c r="R38" s="18" t="n">
        <x:v>5</x:v>
      </x:c>
      <x:c r="S38" s="18" t="n">
        <x:v>0</x:v>
      </x:c>
      <x:c r="T38" s="18" t="n">
        <x:v>5</x:v>
      </x:c>
      <x:c r="U38" t="str">
        <x:v>Excellent</x:v>
      </x:c>
      <x:c r="V38" t="str">
        <x:v>No</x:v>
      </x:c>
      <x:c r="W38" t="str">
        <x:v>STRONG_LIMITED_EDITING</x:v>
      </x:c>
      <x:c r="X38" t="str">
        <x:v>PASS</x:v>
      </x:c>
      <x:c r="Y38" t="n">
        <x:v>80</x:v>
      </x:c>
      <x:c r="Z38" t="str">
        <x:v>Success</x:v>
      </x:c>
      <x:c r="AA38"/>
      <x:c r="AB38"/>
      <x:c r="AC38" s="13"/>
      <x:c r="AD38" t="n">
        <x:v>0</x:v>
      </x:c>
      <x:c r="AE38" s="19" t="n">
        <x:v>46364</x:v>
      </x:c>
      <x:c r="AF38" t="str">
        <x:v>deepseek-v4-pro</x:v>
      </x:c>
      <x:c r="AG38" s="20" t="n">
        <x:v>46231.166222037034</x:v>
      </x:c>
      <x:c r="AH38" t="n">
        <x:v>200</x:v>
      </x:c>
      <x:c r="AI38" t="str">
        <x:v>09b88e930b652159cfb8eeead34dd4d584879be01f40cdd902802b7b6d4e56d4</x:v>
      </x:c>
      <x:c r="AJ38" t="str">
        <x:v>b6aedb528c13fd641180bb42aa44cac60cfc21ad2ed4fb6c6f4c7b2e37cf2fdf</x:v>
      </x:c>
    </x:row>
    <x:row r="39">
      <x:c r="A39" s="17" t="str">
        <x:v>038</x:v>
      </x:c>
      <x:c r="B39" t="str">
        <x:v>ZH-GOOD-008</x:v>
      </x:c>
      <x:c r="C39" s="17" t="str">
        <x:v>008</x:v>
      </x:c>
      <x:c r="D39" t="str">
        <x:v>Good</x:v>
      </x:c>
      <x:c r="E39" t="n">
        <x:v>70</x:v>
      </x:c>
      <x:c r="F39" t="n">
        <x:v>84</x:v>
      </x:c>
      <x:c r="G39" t="n">
        <x:v>1</x:v>
      </x:c>
      <x:c r="H39" s="18" t="n">
        <x:v>59</x:v>
      </x:c>
      <x:c r="I39" s="18" t="n">
        <x:v>55</x:v>
      </x:c>
      <x:c r="J39" s="18" t="n">
        <x:v>85</x:v>
      </x:c>
      <x:c r="K39" s="18" t="n">
        <x:v>92</x:v>
      </x:c>
      <x:c r="L39" s="18" t="n">
        <x:v>93</x:v>
      </x:c>
      <x:c r="M39" s="18" t="n">
        <x:v>55</x:v>
      </x:c>
      <x:c r="N39" s="18" t="n">
        <x:v>72</x:v>
      </x:c>
      <x:c r="O39" s="18" t="n">
        <x:v>74</x:v>
      </x:c>
      <x:c r="P39" s="18" t="n">
        <x:v>59</x:v>
      </x:c>
      <x:c r="Q39" t="str">
        <x:v>No</x:v>
      </x:c>
      <x:c r="R39" s="18" t="n">
        <x:v>11</x:v>
      </x:c>
      <x:c r="S39" s="18" t="n">
        <x:v>11</x:v>
      </x:c>
      <x:c r="T39" s="18" t="n">
        <x:v>0</x:v>
      </x:c>
      <x:c r="U39" t="str">
        <x:v>Normal</x:v>
      </x:c>
      <x:c r="V39" t="str">
        <x:v>No</x:v>
      </x:c>
      <x:c r="W39" t="str">
        <x:v>WEAK</x:v>
      </x:c>
      <x:c r="X39" t="str">
        <x:v>REWRITE_REQUIRED</x:v>
      </x:c>
      <x:c r="Y39" t="n">
        <x:v>80</x:v>
      </x:c>
      <x:c r="Z39" t="str">
        <x:v>Success</x:v>
      </x:c>
      <x:c r="AA39"/>
      <x:c r="AB39"/>
      <x:c r="AC39" s="13"/>
      <x:c r="AD39" t="n">
        <x:v>0</x:v>
      </x:c>
      <x:c r="AE39" s="19" t="n">
        <x:v>57001</x:v>
      </x:c>
      <x:c r="AF39" t="str">
        <x:v>deepseek-v4-pro</x:v>
      </x:c>
      <x:c r="AG39" s="20" t="n">
        <x:v>46231.16688179398</x:v>
      </x:c>
      <x:c r="AH39" t="n">
        <x:v>200</x:v>
      </x:c>
      <x:c r="AI39" t="str">
        <x:v>ed1c166d0b61e4af70993632fde758781b988ee54d4f056357c8770b0b98a265</x:v>
      </x:c>
      <x:c r="AJ39" t="str">
        <x:v>b6aedb528c13fd641180bb42aa44cac60cfc21ad2ed4fb6c6f4c7b2e37cf2fdf</x:v>
      </x:c>
    </x:row>
    <x:row r="40">
      <x:c r="A40" s="17" t="str">
        <x:v>039</x:v>
      </x:c>
      <x:c r="B40" t="str">
        <x:v>ZH-GOOD-009</x:v>
      </x:c>
      <x:c r="C40" s="17" t="str">
        <x:v>009</x:v>
      </x:c>
      <x:c r="D40" t="str">
        <x:v>Good</x:v>
      </x:c>
      <x:c r="E40" t="n">
        <x:v>70</x:v>
      </x:c>
      <x:c r="F40" t="n">
        <x:v>84</x:v>
      </x:c>
      <x:c r="G40" t="n">
        <x:v>1</x:v>
      </x:c>
      <x:c r="H40" s="18" t="n">
        <x:v>87</x:v>
      </x:c>
      <x:c r="I40" s="18" t="n">
        <x:v>78</x:v>
      </x:c>
      <x:c r="J40" s="18" t="n">
        <x:v>88</x:v>
      </x:c>
      <x:c r="K40" s="18" t="n">
        <x:v>90</x:v>
      </x:c>
      <x:c r="L40" s="18" t="n">
        <x:v>95</x:v>
      </x:c>
      <x:c r="M40" s="18" t="n">
        <x:v>93</x:v>
      </x:c>
      <x:c r="N40" s="18" t="n">
        <x:v>78</x:v>
      </x:c>
      <x:c r="O40" s="18" t="n">
        <x:v>87</x:v>
      </x:c>
      <x:c r="P40" s="18" t="n">
        <x:v>89</x:v>
      </x:c>
      <x:c r="Q40" t="str">
        <x:v>No</x:v>
      </x:c>
      <x:c r="R40" s="18" t="n">
        <x:v>3</x:v>
      </x:c>
      <x:c r="S40" s="18" t="n">
        <x:v>0</x:v>
      </x:c>
      <x:c r="T40" s="18" t="n">
        <x:v>3</x:v>
      </x:c>
      <x:c r="U40" t="str">
        <x:v>Excellent</x:v>
      </x:c>
      <x:c r="V40" t="str">
        <x:v>No</x:v>
      </x:c>
      <x:c r="W40" t="str">
        <x:v>STRONG_LIMITED_EDITING</x:v>
      </x:c>
      <x:c r="X40" t="str">
        <x:v>PASS</x:v>
      </x:c>
      <x:c r="Y40" t="n">
        <x:v>80</x:v>
      </x:c>
      <x:c r="Z40" t="str">
        <x:v>Success</x:v>
      </x:c>
      <x:c r="AA40"/>
      <x:c r="AB40"/>
      <x:c r="AC40" s="13"/>
      <x:c r="AD40" t="n">
        <x:v>0</x:v>
      </x:c>
      <x:c r="AE40" s="19" t="n">
        <x:v>63675</x:v>
      </x:c>
      <x:c r="AF40" t="str">
        <x:v>deepseek-v4-pro</x:v>
      </x:c>
      <x:c r="AG40" s="20" t="n">
        <x:v>46231.167618796295</x:v>
      </x:c>
      <x:c r="AH40" t="n">
        <x:v>200</x:v>
      </x:c>
      <x:c r="AI40" t="str">
        <x:v>046f81837696bdf5fb62432dcc5001a3a49c16bf6249c5a6cd7396ac274b3e97</x:v>
      </x:c>
      <x:c r="AJ40" t="str">
        <x:v>b6aedb528c13fd641180bb42aa44cac60cfc21ad2ed4fb6c6f4c7b2e37cf2fdf</x:v>
      </x:c>
    </x:row>
    <x:row r="41">
      <x:c r="A41" s="17" t="str">
        <x:v>040</x:v>
      </x:c>
      <x:c r="B41" t="str">
        <x:v>ZH-GOOD-010</x:v>
      </x:c>
      <x:c r="C41" s="17" t="str">
        <x:v>010</x:v>
      </x:c>
      <x:c r="D41" t="str">
        <x:v>Good</x:v>
      </x:c>
      <x:c r="E41" t="n">
        <x:v>70</x:v>
      </x:c>
      <x:c r="F41" t="n">
        <x:v>84</x:v>
      </x:c>
      <x:c r="G41" t="n">
        <x:v>1</x:v>
      </x:c>
      <x:c r="H41" s="18" t="n">
        <x:v>59</x:v>
      </x:c>
      <x:c r="I41" s="18" t="n">
        <x:v>55</x:v>
      </x:c>
      <x:c r="J41" s="18" t="n">
        <x:v>95</x:v>
      </x:c>
      <x:c r="K41" s="18" t="n">
        <x:v>95</x:v>
      </x:c>
      <x:c r="L41" s="18" t="n">
        <x:v>98</x:v>
      </x:c>
      <x:c r="M41" s="18" t="n">
        <x:v>55</x:v>
      </x:c>
      <x:c r="N41" s="18" t="n">
        <x:v>45</x:v>
      </x:c>
      <x:c r="O41" s="18" t="n">
        <x:v>74</x:v>
      </x:c>
      <x:c r="P41" s="18" t="n">
        <x:v>59</x:v>
      </x:c>
      <x:c r="Q41" t="str">
        <x:v>No</x:v>
      </x:c>
      <x:c r="R41" s="18" t="n">
        <x:v>11</x:v>
      </x:c>
      <x:c r="S41" s="18" t="n">
        <x:v>11</x:v>
      </x:c>
      <x:c r="T41" s="18" t="n">
        <x:v>0</x:v>
      </x:c>
      <x:c r="U41" t="str">
        <x:v>Normal</x:v>
      </x:c>
      <x:c r="V41" t="str">
        <x:v>No</x:v>
      </x:c>
      <x:c r="W41" t="str">
        <x:v>WEAK</x:v>
      </x:c>
      <x:c r="X41" t="str">
        <x:v>REWRITE_REQUIRED</x:v>
      </x:c>
      <x:c r="Y41" t="n">
        <x:v>80</x:v>
      </x:c>
      <x:c r="Z41" t="str">
        <x:v>Success</x:v>
      </x:c>
      <x:c r="AA41"/>
      <x:c r="AB41"/>
      <x:c r="AC41" s="13"/>
      <x:c r="AD41" t="n">
        <x:v>0</x:v>
      </x:c>
      <x:c r="AE41" s="19" t="n">
        <x:v>60883</x:v>
      </x:c>
      <x:c r="AF41" t="str">
        <x:v>deepseek-v4-pro</x:v>
      </x:c>
      <x:c r="AG41" s="20" t="n">
        <x:v>46231.16832347222</x:v>
      </x:c>
      <x:c r="AH41" t="n">
        <x:v>200</x:v>
      </x:c>
      <x:c r="AI41" t="str">
        <x:v>d78e97aba2f7f906beece27249f5baff3d127ececba3d84c2f4bc5306152ecb1</x:v>
      </x:c>
      <x:c r="AJ41" t="str">
        <x:v>b6aedb528c13fd641180bb42aa44cac60cfc21ad2ed4fb6c6f4c7b2e37cf2fdf</x:v>
      </x:c>
    </x:row>
    <x:row r="42">
      <x:c r="A42" s="17" t="str">
        <x:v>041</x:v>
      </x:c>
      <x:c r="B42" t="str">
        <x:v>ZH-GOOD-011</x:v>
      </x:c>
      <x:c r="C42" s="17" t="str">
        <x:v>011</x:v>
      </x:c>
      <x:c r="D42" t="str">
        <x:v>Good</x:v>
      </x:c>
      <x:c r="E42" t="n">
        <x:v>70</x:v>
      </x:c>
      <x:c r="F42" t="n">
        <x:v>84</x:v>
      </x:c>
      <x:c r="G42" t="n">
        <x:v>1</x:v>
      </x:c>
      <x:c r="H42" s="18" t="n">
        <x:v>59</x:v>
      </x:c>
      <x:c r="I42" s="18" t="n">
        <x:v>50</x:v>
      </x:c>
      <x:c r="J42" s="18" t="n">
        <x:v>88</x:v>
      </x:c>
      <x:c r="K42" s="18" t="n">
        <x:v>92</x:v>
      </x:c>
      <x:c r="L42" s="18" t="n">
        <x:v>95</x:v>
      </x:c>
      <x:c r="M42" s="18" t="n">
        <x:v>55</x:v>
      </x:c>
      <x:c r="N42" s="18" t="n">
        <x:v>45</x:v>
      </x:c>
      <x:c r="O42" s="18" t="n">
        <x:v>71</x:v>
      </x:c>
      <x:c r="P42" s="18" t="n">
        <x:v>59</x:v>
      </x:c>
      <x:c r="Q42" t="str">
        <x:v>No</x:v>
      </x:c>
      <x:c r="R42" s="18" t="n">
        <x:v>11</x:v>
      </x:c>
      <x:c r="S42" s="18" t="n">
        <x:v>11</x:v>
      </x:c>
      <x:c r="T42" s="18" t="n">
        <x:v>0</x:v>
      </x:c>
      <x:c r="U42" t="str">
        <x:v>Normal</x:v>
      </x:c>
      <x:c r="V42" t="str">
        <x:v>No</x:v>
      </x:c>
      <x:c r="W42" t="str">
        <x:v>WEAK</x:v>
      </x:c>
      <x:c r="X42" t="str">
        <x:v>REWRITE_REQUIRED</x:v>
      </x:c>
      <x:c r="Y42" t="n">
        <x:v>80</x:v>
      </x:c>
      <x:c r="Z42" t="str">
        <x:v>Success</x:v>
      </x:c>
      <x:c r="AA42"/>
      <x:c r="AB42"/>
      <x:c r="AC42" s="13"/>
      <x:c r="AD42" t="n">
        <x:v>0</x:v>
      </x:c>
      <x:c r="AE42" s="19" t="n">
        <x:v>53154</x:v>
      </x:c>
      <x:c r="AF42" t="str">
        <x:v>deepseek-v4-pro</x:v>
      </x:c>
      <x:c r="AG42" s="20" t="n">
        <x:v>46231.16893871528</x:v>
      </x:c>
      <x:c r="AH42" t="n">
        <x:v>200</x:v>
      </x:c>
      <x:c r="AI42" t="str">
        <x:v>e92dc8ca72078cf4dbb609f45e9181bcdfbd979d55fb306bfb9a52c7bf1bc513</x:v>
      </x:c>
      <x:c r="AJ42" t="str">
        <x:v>b6aedb528c13fd641180bb42aa44cac60cfc21ad2ed4fb6c6f4c7b2e37cf2fdf</x:v>
      </x:c>
    </x:row>
    <x:row r="43">
      <x:c r="A43" s="17" t="str">
        <x:v>042</x:v>
      </x:c>
      <x:c r="B43" t="str">
        <x:v>ZH-GOOD-012</x:v>
      </x:c>
      <x:c r="C43" s="17" t="str">
        <x:v>012</x:v>
      </x:c>
      <x:c r="D43" t="str">
        <x:v>Good</x:v>
      </x:c>
      <x:c r="E43" t="n">
        <x:v>70</x:v>
      </x:c>
      <x:c r="F43" t="n">
        <x:v>84</x:v>
      </x:c>
      <x:c r="G43" t="n">
        <x:v>1</x:v>
      </x:c>
      <x:c r="H43" s="18" t="n">
        <x:v>89</x:v>
      </x:c>
      <x:c r="I43" s="18" t="n">
        <x:v>88</x:v>
      </x:c>
      <x:c r="J43" s="18" t="n">
        <x:v>92</x:v>
      </x:c>
      <x:c r="K43" s="18" t="n">
        <x:v>95</x:v>
      </x:c>
      <x:c r="L43" s="18" t="n">
        <x:v>98</x:v>
      </x:c>
      <x:c r="M43" s="18" t="n">
        <x:v>95</x:v>
      </x:c>
      <x:c r="N43" s="18" t="n">
        <x:v>95</x:v>
      </x:c>
      <x:c r="O43" s="18" t="n">
        <x:v>93</x:v>
      </x:c>
      <x:c r="P43" s="18" t="n">
        <x:v>89</x:v>
      </x:c>
      <x:c r="Q43" t="str">
        <x:v>No</x:v>
      </x:c>
      <x:c r="R43" s="18" t="n">
        <x:v>5</x:v>
      </x:c>
      <x:c r="S43" s="18" t="n">
        <x:v>0</x:v>
      </x:c>
      <x:c r="T43" s="18" t="n">
        <x:v>5</x:v>
      </x:c>
      <x:c r="U43" t="str">
        <x:v>Excellent</x:v>
      </x:c>
      <x:c r="V43" t="str">
        <x:v>No</x:v>
      </x:c>
      <x:c r="W43" t="str">
        <x:v>STRONG_LIMITED_EDITING</x:v>
      </x:c>
      <x:c r="X43" t="str">
        <x:v>PASS</x:v>
      </x:c>
      <x:c r="Y43" t="n">
        <x:v>80</x:v>
      </x:c>
      <x:c r="Z43" t="str">
        <x:v>Success</x:v>
      </x:c>
      <x:c r="AA43"/>
      <x:c r="AB43"/>
      <x:c r="AC43" s="13"/>
      <x:c r="AD43" t="n">
        <x:v>0</x:v>
      </x:c>
      <x:c r="AE43" s="19" t="n">
        <x:v>33163</x:v>
      </x:c>
      <x:c r="AF43" t="str">
        <x:v>deepseek-v4-pro</x:v>
      </x:c>
      <x:c r="AG43" s="20" t="n">
        <x:v>46231.16932255787</x:v>
      </x:c>
      <x:c r="AH43" t="n">
        <x:v>200</x:v>
      </x:c>
      <x:c r="AI43" t="str">
        <x:v>2c593ca12b9f779be84a0cfff8b48a35c40a34d454fedb40fbab856df89718e8</x:v>
      </x:c>
      <x:c r="AJ43" t="str">
        <x:v>b6aedb528c13fd641180bb42aa44cac60cfc21ad2ed4fb6c6f4c7b2e37cf2fdf</x:v>
      </x:c>
    </x:row>
    <x:row r="44">
      <x:c r="A44" s="17" t="str">
        <x:v>043</x:v>
      </x:c>
      <x:c r="B44" t="str">
        <x:v>ZH-GOOD-013</x:v>
      </x:c>
      <x:c r="C44" s="17" t="str">
        <x:v>013</x:v>
      </x:c>
      <x:c r="D44" t="str">
        <x:v>Good</x:v>
      </x:c>
      <x:c r="E44" t="n">
        <x:v>70</x:v>
      </x:c>
      <x:c r="F44" t="n">
        <x:v>84</x:v>
      </x:c>
      <x:c r="G44" t="n">
        <x:v>1</x:v>
      </x:c>
      <x:c r="H44" s="18" t="n">
        <x:v>89</x:v>
      </x:c>
      <x:c r="I44" s="18" t="n">
        <x:v>80</x:v>
      </x:c>
      <x:c r="J44" s="18" t="n">
        <x:v>92</x:v>
      </x:c>
      <x:c r="K44" s="18" t="n">
        <x:v>95</x:v>
      </x:c>
      <x:c r="L44" s="18" t="n">
        <x:v>95</x:v>
      </x:c>
      <x:c r="M44" s="18" t="n">
        <x:v>92</x:v>
      </x:c>
      <x:c r="N44" s="18" t="n">
        <x:v>80</x:v>
      </x:c>
      <x:c r="O44" s="18" t="n">
        <x:v>89</x:v>
      </x:c>
      <x:c r="P44" s="18" t="n">
        <x:v>89</x:v>
      </x:c>
      <x:c r="Q44" t="str">
        <x:v>No</x:v>
      </x:c>
      <x:c r="R44" s="18" t="n">
        <x:v>5</x:v>
      </x:c>
      <x:c r="S44" s="18" t="n">
        <x:v>0</x:v>
      </x:c>
      <x:c r="T44" s="18" t="n">
        <x:v>5</x:v>
      </x:c>
      <x:c r="U44" t="str">
        <x:v>Excellent</x:v>
      </x:c>
      <x:c r="V44" t="str">
        <x:v>No</x:v>
      </x:c>
      <x:c r="W44" t="str">
        <x:v>STRONG_LIMITED_EDITING</x:v>
      </x:c>
      <x:c r="X44" t="str">
        <x:v>PASS</x:v>
      </x:c>
      <x:c r="Y44" t="n">
        <x:v>80</x:v>
      </x:c>
      <x:c r="Z44" t="str">
        <x:v>Success</x:v>
      </x:c>
      <x:c r="AA44"/>
      <x:c r="AB44"/>
      <x:c r="AC44" s="13"/>
      <x:c r="AD44" t="n">
        <x:v>0</x:v>
      </x:c>
      <x:c r="AE44" s="19" t="n">
        <x:v>41900</x:v>
      </x:c>
      <x:c r="AF44" t="str">
        <x:v>deepseek-v4-pro</x:v>
      </x:c>
      <x:c r="AG44" s="20" t="n">
        <x:v>46231.1698075463</x:v>
      </x:c>
      <x:c r="AH44" t="n">
        <x:v>200</x:v>
      </x:c>
      <x:c r="AI44" t="str">
        <x:v>5136b9351ae68ff6add0305d632058a8daebc06d8c3bd37788a2e2ca8fc6c83c</x:v>
      </x:c>
      <x:c r="AJ44" t="str">
        <x:v>b6aedb528c13fd641180bb42aa44cac60cfc21ad2ed4fb6c6f4c7b2e37cf2fdf</x:v>
      </x:c>
    </x:row>
    <x:row r="45">
      <x:c r="A45" s="17" t="str">
        <x:v>044</x:v>
      </x:c>
      <x:c r="B45" t="str">
        <x:v>ZH-GOOD-014</x:v>
      </x:c>
      <x:c r="C45" s="17" t="str">
        <x:v>014</x:v>
      </x:c>
      <x:c r="D45" t="str">
        <x:v>Good</x:v>
      </x:c>
      <x:c r="E45" t="n">
        <x:v>70</x:v>
      </x:c>
      <x:c r="F45" t="n">
        <x:v>84</x:v>
      </x:c>
      <x:c r="G45" t="n">
        <x:v>1</x:v>
      </x:c>
      <x:c r="H45" s="18" t="n">
        <x:v>59</x:v>
      </x:c>
      <x:c r="I45" s="18" t="n">
        <x:v>42</x:v>
      </x:c>
      <x:c r="J45" s="18" t="n">
        <x:v>82</x:v>
      </x:c>
      <x:c r="K45" s="18" t="n">
        <x:v>85</x:v>
      </x:c>
      <x:c r="L45" s="18" t="n">
        <x:v>95</x:v>
      </x:c>
      <x:c r="M45" s="18" t="n">
        <x:v>58</x:v>
      </x:c>
      <x:c r="N45" s="18" t="n">
        <x:v>60</x:v>
      </x:c>
      <x:c r="O45" s="18" t="n">
        <x:v>69</x:v>
      </x:c>
      <x:c r="P45" s="18" t="n">
        <x:v>59</x:v>
      </x:c>
      <x:c r="Q45" t="str">
        <x:v>No</x:v>
      </x:c>
      <x:c r="R45" s="18" t="n">
        <x:v>11</x:v>
      </x:c>
      <x:c r="S45" s="18" t="n">
        <x:v>11</x:v>
      </x:c>
      <x:c r="T45" s="18" t="n">
        <x:v>0</x:v>
      </x:c>
      <x:c r="U45" t="str">
        <x:v>Normal</x:v>
      </x:c>
      <x:c r="V45" t="str">
        <x:v>No</x:v>
      </x:c>
      <x:c r="W45" t="str">
        <x:v>WEAK</x:v>
      </x:c>
      <x:c r="X45" t="str">
        <x:v>REWRITE_REQUIRED</x:v>
      </x:c>
      <x:c r="Y45" t="n">
        <x:v>80</x:v>
      </x:c>
      <x:c r="Z45" t="str">
        <x:v>Success</x:v>
      </x:c>
      <x:c r="AA45"/>
      <x:c r="AB45"/>
      <x:c r="AC45" s="13"/>
      <x:c r="AD45" t="n">
        <x:v>0</x:v>
      </x:c>
      <x:c r="AE45" s="19" t="n">
        <x:v>51271</x:v>
      </x:c>
      <x:c r="AF45" t="str">
        <x:v>deepseek-v4-pro</x:v>
      </x:c>
      <x:c r="AG45" s="20" t="n">
        <x:v>46231.17040099537</x:v>
      </x:c>
      <x:c r="AH45" t="n">
        <x:v>200</x:v>
      </x:c>
      <x:c r="AI45" t="str">
        <x:v>b1bf895170c2f4b05725d73a650310fea1b8fd0bd9e051d0019d2a14adb53f55</x:v>
      </x:c>
      <x:c r="AJ45" t="str">
        <x:v>b6aedb528c13fd641180bb42aa44cac60cfc21ad2ed4fb6c6f4c7b2e37cf2fdf</x:v>
      </x:c>
    </x:row>
    <x:row r="46">
      <x:c r="A46" s="17" t="str">
        <x:v>045</x:v>
      </x:c>
      <x:c r="B46" t="str">
        <x:v>ZH-GOOD-015</x:v>
      </x:c>
      <x:c r="C46" s="17" t="str">
        <x:v>015</x:v>
      </x:c>
      <x:c r="D46" t="str">
        <x:v>Good</x:v>
      </x:c>
      <x:c r="E46" t="n">
        <x:v>70</x:v>
      </x:c>
      <x:c r="F46" t="n">
        <x:v>84</x:v>
      </x:c>
      <x:c r="G46" t="n">
        <x:v>1</x:v>
      </x:c>
      <x:c r="H46" s="18" t="n">
        <x:v>89</x:v>
      </x:c>
      <x:c r="I46" s="18" t="n">
        <x:v>78</x:v>
      </x:c>
      <x:c r="J46" s="18" t="n">
        <x:v>95</x:v>
      </x:c>
      <x:c r="K46" s="18" t="n">
        <x:v>95</x:v>
      </x:c>
      <x:c r="L46" s="18" t="n">
        <x:v>95</x:v>
      </x:c>
      <x:c r="M46" s="18" t="n">
        <x:v>90</x:v>
      </x:c>
      <x:c r="N46" s="18" t="n">
        <x:v>80</x:v>
      </x:c>
      <x:c r="O46" s="18" t="n">
        <x:v>89</x:v>
      </x:c>
      <x:c r="P46" s="18" t="n">
        <x:v>89</x:v>
      </x:c>
      <x:c r="Q46" t="str">
        <x:v>No</x:v>
      </x:c>
      <x:c r="R46" s="18" t="n">
        <x:v>5</x:v>
      </x:c>
      <x:c r="S46" s="18" t="n">
        <x:v>0</x:v>
      </x:c>
      <x:c r="T46" s="18" t="n">
        <x:v>5</x:v>
      </x:c>
      <x:c r="U46" t="str">
        <x:v>Excellent</x:v>
      </x:c>
      <x:c r="V46" t="str">
        <x:v>No</x:v>
      </x:c>
      <x:c r="W46" t="str">
        <x:v>STRONG_LIMITED_EDITING</x:v>
      </x:c>
      <x:c r="X46" t="str">
        <x:v>PASS</x:v>
      </x:c>
      <x:c r="Y46" t="n">
        <x:v>80</x:v>
      </x:c>
      <x:c r="Z46" t="str">
        <x:v>Success</x:v>
      </x:c>
      <x:c r="AA46"/>
      <x:c r="AB46"/>
      <x:c r="AC46" s="13"/>
      <x:c r="AD46" t="n">
        <x:v>0</x:v>
      </x:c>
      <x:c r="AE46" s="19" t="n">
        <x:v>64295</x:v>
      </x:c>
      <x:c r="AF46" t="str">
        <x:v>deepseek-v4-pro</x:v>
      </x:c>
      <x:c r="AG46" s="20" t="n">
        <x:v>46231.171145162036</x:v>
      </x:c>
      <x:c r="AH46" t="n">
        <x:v>200</x:v>
      </x:c>
      <x:c r="AI46" t="str">
        <x:v>e107b1660b87213c1375e80f729df22af220bf9f3237a72ea60df9b97930aabe</x:v>
      </x:c>
      <x:c r="AJ46" t="str">
        <x:v>b6aedb528c13fd641180bb42aa44cac60cfc21ad2ed4fb6c6f4c7b2e37cf2fdf</x:v>
      </x:c>
    </x:row>
    <x:row r="47">
      <x:c r="A47" s="17" t="str">
        <x:v>046</x:v>
      </x:c>
      <x:c r="B47" t="str">
        <x:v>ZH-GOOD-016</x:v>
      </x:c>
      <x:c r="C47" s="17" t="str">
        <x:v>016</x:v>
      </x:c>
      <x:c r="D47" t="str">
        <x:v>Good</x:v>
      </x:c>
      <x:c r="E47" t="n">
        <x:v>70</x:v>
      </x:c>
      <x:c r="F47" t="n">
        <x:v>84</x:v>
      </x:c>
      <x:c r="G47" t="n">
        <x:v>1</x:v>
      </x:c>
      <x:c r="H47" s="18" t="n">
        <x:v>89</x:v>
      </x:c>
      <x:c r="I47" s="18" t="n">
        <x:v>85</x:v>
      </x:c>
      <x:c r="J47" s="18" t="n">
        <x:v>92</x:v>
      </x:c>
      <x:c r="K47" s="18" t="n">
        <x:v>95</x:v>
      </x:c>
      <x:c r="L47" s="18" t="n">
        <x:v>95</x:v>
      </x:c>
      <x:c r="M47" s="18" t="n">
        <x:v>95</x:v>
      </x:c>
      <x:c r="N47" s="18" t="n">
        <x:v>95</x:v>
      </x:c>
      <x:c r="O47" s="18" t="n">
        <x:v>92</x:v>
      </x:c>
      <x:c r="P47" s="18" t="n">
        <x:v>89</x:v>
      </x:c>
      <x:c r="Q47" t="str">
        <x:v>No</x:v>
      </x:c>
      <x:c r="R47" s="18" t="n">
        <x:v>5</x:v>
      </x:c>
      <x:c r="S47" s="18" t="n">
        <x:v>0</x:v>
      </x:c>
      <x:c r="T47" s="18" t="n">
        <x:v>5</x:v>
      </x:c>
      <x:c r="U47" t="str">
        <x:v>Excellent</x:v>
      </x:c>
      <x:c r="V47" t="str">
        <x:v>No</x:v>
      </x:c>
      <x:c r="W47" t="str">
        <x:v>STRONG_LIMITED_EDITING</x:v>
      </x:c>
      <x:c r="X47" t="str">
        <x:v>PASS</x:v>
      </x:c>
      <x:c r="Y47" t="n">
        <x:v>80</x:v>
      </x:c>
      <x:c r="Z47" t="str">
        <x:v>Success</x:v>
      </x:c>
      <x:c r="AA47"/>
      <x:c r="AB47"/>
      <x:c r="AC47" s="13"/>
      <x:c r="AD47" t="n">
        <x:v>0</x:v>
      </x:c>
      <x:c r="AE47" s="19" t="n">
        <x:v>49377</x:v>
      </x:c>
      <x:c r="AF47" t="str">
        <x:v>deepseek-v4-pro</x:v>
      </x:c>
      <x:c r="AG47" s="20" t="n">
        <x:v>46231.17171670139</x:v>
      </x:c>
      <x:c r="AH47" t="n">
        <x:v>200</x:v>
      </x:c>
      <x:c r="AI47" t="str">
        <x:v>379e74b0d0be680768ce984bfd08b927f6fa8889c8cd33cb4ebd2b3141002f0c</x:v>
      </x:c>
      <x:c r="AJ47" t="str">
        <x:v>b6aedb528c13fd641180bb42aa44cac60cfc21ad2ed4fb6c6f4c7b2e37cf2fdf</x:v>
      </x:c>
    </x:row>
    <x:row r="48">
      <x:c r="A48" s="17" t="str">
        <x:v>047</x:v>
      </x:c>
      <x:c r="B48" t="str">
        <x:v>ZH-GOOD-017</x:v>
      </x:c>
      <x:c r="C48" s="17" t="str">
        <x:v>017</x:v>
      </x:c>
      <x:c r="D48" t="str">
        <x:v>Good</x:v>
      </x:c>
      <x:c r="E48" t="n">
        <x:v>70</x:v>
      </x:c>
      <x:c r="F48" t="n">
        <x:v>84</x:v>
      </x:c>
      <x:c r="G48" t="n">
        <x:v>1</x:v>
      </x:c>
      <x:c r="H48" s="18" t="n">
        <x:v>96</x:v>
      </x:c>
      <x:c r="I48" s="18" t="n">
        <x:v>92</x:v>
      </x:c>
      <x:c r="J48" s="18" t="n">
        <x:v>95</x:v>
      </x:c>
      <x:c r="K48" s="18" t="n">
        <x:v>95</x:v>
      </x:c>
      <x:c r="L48" s="18" t="n">
        <x:v>100</x:v>
      </x:c>
      <x:c r="M48" s="18" t="n">
        <x:v>98</x:v>
      </x:c>
      <x:c r="N48" s="18" t="n">
        <x:v>98</x:v>
      </x:c>
      <x:c r="O48" s="18" t="n">
        <x:v>96</x:v>
      </x:c>
      <x:c r="P48" s="18"/>
      <x:c r="Q48" t="str">
        <x:v>No</x:v>
      </x:c>
      <x:c r="R48" s="18" t="n">
        <x:v>12</x:v>
      </x:c>
      <x:c r="S48" s="18" t="n">
        <x:v>0</x:v>
      </x:c>
      <x:c r="T48" s="18" t="n">
        <x:v>12</x:v>
      </x:c>
      <x:c r="U48" t="str">
        <x:v>Excellent</x:v>
      </x:c>
      <x:c r="V48" t="str">
        <x:v>No</x:v>
      </x:c>
      <x:c r="W48" t="str">
        <x:v>PUBLICATION_READY</x:v>
      </x:c>
      <x:c r="X48" t="str">
        <x:v>PASS</x:v>
      </x:c>
      <x:c r="Y48" t="n">
        <x:v>80</x:v>
      </x:c>
      <x:c r="Z48" t="str">
        <x:v>Success</x:v>
      </x:c>
      <x:c r="AA48"/>
      <x:c r="AB48"/>
      <x:c r="AC48" s="13"/>
      <x:c r="AD48" t="n">
        <x:v>0</x:v>
      </x:c>
      <x:c r="AE48" s="19" t="n">
        <x:v>32010</x:v>
      </x:c>
      <x:c r="AF48" t="str">
        <x:v>deepseek-v4-pro</x:v>
      </x:c>
      <x:c r="AG48" s="20" t="n">
        <x:v>46231.1720871875</x:v>
      </x:c>
      <x:c r="AH48" t="n">
        <x:v>200</x:v>
      </x:c>
      <x:c r="AI48" t="str">
        <x:v>37ad1e13d567396902d1c3ced1b718cdb47757ced8b461f4784d451dbff94846</x:v>
      </x:c>
      <x:c r="AJ48" t="str">
        <x:v>b6aedb528c13fd641180bb42aa44cac60cfc21ad2ed4fb6c6f4c7b2e37cf2fdf</x:v>
      </x:c>
    </x:row>
    <x:row r="49">
      <x:c r="A49" s="17" t="str">
        <x:v>048</x:v>
      </x:c>
      <x:c r="B49" t="str">
        <x:v>ZH-GOOD-018</x:v>
      </x:c>
      <x:c r="C49" s="17" t="str">
        <x:v>018</x:v>
      </x:c>
      <x:c r="D49" t="str">
        <x:v>Good</x:v>
      </x:c>
      <x:c r="E49" t="n">
        <x:v>70</x:v>
      </x:c>
      <x:c r="F49" t="n">
        <x:v>84</x:v>
      </x:c>
      <x:c r="G49" t="n">
        <x:v>1</x:v>
      </x:c>
      <x:c r="H49" s="18" t="n">
        <x:v>94</x:v>
      </x:c>
      <x:c r="I49" s="18" t="n">
        <x:v>92</x:v>
      </x:c>
      <x:c r="J49" s="18" t="n">
        <x:v>93</x:v>
      </x:c>
      <x:c r="K49" s="18" t="n">
        <x:v>95</x:v>
      </x:c>
      <x:c r="L49" s="18" t="n">
        <x:v>95</x:v>
      </x:c>
      <x:c r="M49" s="18" t="n">
        <x:v>95</x:v>
      </x:c>
      <x:c r="N49" s="18" t="n">
        <x:v>93</x:v>
      </x:c>
      <x:c r="O49" s="18" t="n">
        <x:v>94</x:v>
      </x:c>
      <x:c r="P49" s="18"/>
      <x:c r="Q49" t="str">
        <x:v>No</x:v>
      </x:c>
      <x:c r="R49" s="18" t="n">
        <x:v>10</x:v>
      </x:c>
      <x:c r="S49" s="18" t="n">
        <x:v>0</x:v>
      </x:c>
      <x:c r="T49" s="18" t="n">
        <x:v>10</x:v>
      </x:c>
      <x:c r="U49" t="str">
        <x:v>Excellent</x:v>
      </x:c>
      <x:c r="V49" t="str">
        <x:v>No</x:v>
      </x:c>
      <x:c r="W49" t="str">
        <x:v>PUBLICATION_READY</x:v>
      </x:c>
      <x:c r="X49" t="str">
        <x:v>PASS</x:v>
      </x:c>
      <x:c r="Y49" t="n">
        <x:v>80</x:v>
      </x:c>
      <x:c r="Z49" t="str">
        <x:v>Success</x:v>
      </x:c>
      <x:c r="AA49"/>
      <x:c r="AB49"/>
      <x:c r="AC49" s="13"/>
      <x:c r="AD49" t="n">
        <x:v>0</x:v>
      </x:c>
      <x:c r="AE49" s="19" t="n">
        <x:v>45266</x:v>
      </x:c>
      <x:c r="AF49" t="str">
        <x:v>deepseek-v4-pro</x:v>
      </x:c>
      <x:c r="AG49" s="20" t="n">
        <x:v>46231.17261112268</x:v>
      </x:c>
      <x:c r="AH49" t="n">
        <x:v>200</x:v>
      </x:c>
      <x:c r="AI49" t="str">
        <x:v>4a77036ea3e1b700731e2b5f43e0ba523b728a25ba526ad53fba953af63d9a83</x:v>
      </x:c>
      <x:c r="AJ49" t="str">
        <x:v>b6aedb528c13fd641180bb42aa44cac60cfc21ad2ed4fb6c6f4c7b2e37cf2fdf</x:v>
      </x:c>
    </x:row>
    <x:row r="50">
      <x:c r="A50" s="17" t="str">
        <x:v>049</x:v>
      </x:c>
      <x:c r="B50" t="str">
        <x:v>ZH-GOOD-019</x:v>
      </x:c>
      <x:c r="C50" s="17" t="str">
        <x:v>019</x:v>
      </x:c>
      <x:c r="D50" t="str">
        <x:v>Good</x:v>
      </x:c>
      <x:c r="E50" t="n">
        <x:v>70</x:v>
      </x:c>
      <x:c r="F50" t="n">
        <x:v>84</x:v>
      </x:c>
      <x:c r="G50" t="n">
        <x:v>1</x:v>
      </x:c>
      <x:c r="H50" s="18" t="n">
        <x:v>59</x:v>
      </x:c>
      <x:c r="I50" s="18" t="n">
        <x:v>55</x:v>
      </x:c>
      <x:c r="J50" s="18" t="n">
        <x:v>85</x:v>
      </x:c>
      <x:c r="K50" s="18" t="n">
        <x:v>90</x:v>
      </x:c>
      <x:c r="L50" s="18" t="n">
        <x:v>95</x:v>
      </x:c>
      <x:c r="M50" s="18" t="n">
        <x:v>55</x:v>
      </x:c>
      <x:c r="N50" s="18" t="n">
        <x:v>80</x:v>
      </x:c>
      <x:c r="O50" s="18" t="n">
        <x:v>75</x:v>
      </x:c>
      <x:c r="P50" s="18" t="n">
        <x:v>59</x:v>
      </x:c>
      <x:c r="Q50" t="str">
        <x:v>No</x:v>
      </x:c>
      <x:c r="R50" s="18" t="n">
        <x:v>11</x:v>
      </x:c>
      <x:c r="S50" s="18" t="n">
        <x:v>11</x:v>
      </x:c>
      <x:c r="T50" s="18" t="n">
        <x:v>0</x:v>
      </x:c>
      <x:c r="U50" t="str">
        <x:v>Normal</x:v>
      </x:c>
      <x:c r="V50" t="str">
        <x:v>No</x:v>
      </x:c>
      <x:c r="W50" t="str">
        <x:v>WEAK</x:v>
      </x:c>
      <x:c r="X50" t="str">
        <x:v>REWRITE_REQUIRED</x:v>
      </x:c>
      <x:c r="Y50" t="n">
        <x:v>80</x:v>
      </x:c>
      <x:c r="Z50" t="str">
        <x:v>Success</x:v>
      </x:c>
      <x:c r="AA50"/>
      <x:c r="AB50"/>
      <x:c r="AC50" s="13"/>
      <x:c r="AD50" t="n">
        <x:v>0</x:v>
      </x:c>
      <x:c r="AE50" s="19" t="n">
        <x:v>74014</x:v>
      </x:c>
      <x:c r="AF50" t="str">
        <x:v>deepseek-v4-pro</x:v>
      </x:c>
      <x:c r="AG50" s="20" t="n">
        <x:v>46231.17346780092</x:v>
      </x:c>
      <x:c r="AH50" t="n">
        <x:v>200</x:v>
      </x:c>
      <x:c r="AI50" t="str">
        <x:v>8d03362e75deec3a591180915f87e1a7115ca1a81701b5e89605361ce5ad5c69</x:v>
      </x:c>
      <x:c r="AJ50" t="str">
        <x:v>b6aedb528c13fd641180bb42aa44cac60cfc21ad2ed4fb6c6f4c7b2e37cf2fdf</x:v>
      </x:c>
    </x:row>
    <x:row r="51">
      <x:c r="A51" s="17" t="str">
        <x:v>050</x:v>
      </x:c>
      <x:c r="B51" t="str">
        <x:v>ZH-GOOD-020</x:v>
      </x:c>
      <x:c r="C51" s="17" t="str">
        <x:v>020</x:v>
      </x:c>
      <x:c r="D51" t="str">
        <x:v>Good</x:v>
      </x:c>
      <x:c r="E51" t="n">
        <x:v>70</x:v>
      </x:c>
      <x:c r="F51" t="n">
        <x:v>84</x:v>
      </x:c>
      <x:c r="G51" t="n">
        <x:v>1</x:v>
      </x:c>
      <x:c r="H51" s="18" t="n">
        <x:v>74</x:v>
      </x:c>
      <x:c r="I51" s="18" t="n">
        <x:v>72</x:v>
      </x:c>
      <x:c r="J51" s="18" t="n">
        <x:v>88</x:v>
      </x:c>
      <x:c r="K51" s="18" t="n">
        <x:v>92</x:v>
      </x:c>
      <x:c r="L51" s="18" t="n">
        <x:v>95</x:v>
      </x:c>
      <x:c r="M51" s="18" t="n">
        <x:v>90</x:v>
      </x:c>
      <x:c r="N51" s="18" t="n">
        <x:v>80</x:v>
      </x:c>
      <x:c r="O51" s="18" t="n">
        <x:v>85</x:v>
      </x:c>
      <x:c r="P51" s="18" t="n">
        <x:v>74</x:v>
      </x:c>
      <x:c r="Q51" t="str">
        <x:v>Yes</x:v>
      </x:c>
      <x:c r="R51" s="18" t="n">
        <x:v>0</x:v>
      </x:c>
      <x:c r="S51" s="18" t="n">
        <x:v>0</x:v>
      </x:c>
      <x:c r="T51" s="18" t="n">
        <x:v>0</x:v>
      </x:c>
      <x:c r="U51" t="str">
        <x:v>Good</x:v>
      </x:c>
      <x:c r="V51" t="str">
        <x:v>Yes</x:v>
      </x:c>
      <x:c r="W51" t="str">
        <x:v>SUBSTANTIAL_REWRITE</x:v>
      </x:c>
      <x:c r="X51" t="str">
        <x:v>REWRITE_REQUIRED</x:v>
      </x:c>
      <x:c r="Y51" t="n">
        <x:v>80</x:v>
      </x:c>
      <x:c r="Z51" t="str">
        <x:v>Success</x:v>
      </x:c>
      <x:c r="AA51"/>
      <x:c r="AB51"/>
      <x:c r="AC51" s="13"/>
      <x:c r="AD51" t="n">
        <x:v>0</x:v>
      </x:c>
      <x:c r="AE51" s="19" t="n">
        <x:v>43485</x:v>
      </x:c>
      <x:c r="AF51" t="str">
        <x:v>deepseek-v4-pro</x:v>
      </x:c>
      <x:c r="AG51" s="20" t="n">
        <x:v>46231.173971122684</x:v>
      </x:c>
      <x:c r="AH51" t="n">
        <x:v>200</x:v>
      </x:c>
      <x:c r="AI51" t="str">
        <x:v>7ec1731879ef8906719db0fdbf4c74044390c824f46a7be3372c55f1a3b609d0</x:v>
      </x:c>
      <x:c r="AJ51" t="str">
        <x:v>b6aedb528c13fd641180bb42aa44cac60cfc21ad2ed4fb6c6f4c7b2e37cf2fdf</x:v>
      </x:c>
    </x:row>
    <x:row r="52">
      <x:c r="A52" s="17" t="str">
        <x:v>051</x:v>
      </x:c>
      <x:c r="B52" t="str">
        <x:v>ZH-GOOD-021</x:v>
      </x:c>
      <x:c r="C52" s="17" t="str">
        <x:v>021</x:v>
      </x:c>
      <x:c r="D52" t="str">
        <x:v>Good</x:v>
      </x:c>
      <x:c r="E52" t="n">
        <x:v>70</x:v>
      </x:c>
      <x:c r="F52" t="n">
        <x:v>84</x:v>
      </x:c>
      <x:c r="G52" t="n">
        <x:v>1</x:v>
      </x:c>
      <x:c r="H52" s="18" t="n">
        <x:v>89</x:v>
      </x:c>
      <x:c r="I52" s="18" t="n">
        <x:v>88</x:v>
      </x:c>
      <x:c r="J52" s="18" t="n">
        <x:v>95</x:v>
      </x:c>
      <x:c r="K52" s="18" t="n">
        <x:v>95</x:v>
      </x:c>
      <x:c r="L52" s="18" t="n">
        <x:v>95</x:v>
      </x:c>
      <x:c r="M52" s="18" t="n">
        <x:v>85</x:v>
      </x:c>
      <x:c r="N52" s="18" t="n">
        <x:v>88</x:v>
      </x:c>
      <x:c r="O52" s="18" t="n">
        <x:v>91</x:v>
      </x:c>
      <x:c r="P52" s="18" t="n">
        <x:v>89</x:v>
      </x:c>
      <x:c r="Q52" t="str">
        <x:v>No</x:v>
      </x:c>
      <x:c r="R52" s="18" t="n">
        <x:v>5</x:v>
      </x:c>
      <x:c r="S52" s="18" t="n">
        <x:v>0</x:v>
      </x:c>
      <x:c r="T52" s="18" t="n">
        <x:v>5</x:v>
      </x:c>
      <x:c r="U52" t="str">
        <x:v>Excellent</x:v>
      </x:c>
      <x:c r="V52" t="str">
        <x:v>No</x:v>
      </x:c>
      <x:c r="W52" t="str">
        <x:v>STRONG_LIMITED_EDITING</x:v>
      </x:c>
      <x:c r="X52" t="str">
        <x:v>PASS</x:v>
      </x:c>
      <x:c r="Y52" t="n">
        <x:v>80</x:v>
      </x:c>
      <x:c r="Z52" t="str">
        <x:v>Success</x:v>
      </x:c>
      <x:c r="AA52"/>
      <x:c r="AB52"/>
      <x:c r="AC52" s="13"/>
      <x:c r="AD52" t="n">
        <x:v>0</x:v>
      </x:c>
      <x:c r="AE52" s="19" t="n">
        <x:v>71574</x:v>
      </x:c>
      <x:c r="AF52" t="str">
        <x:v>deepseek-v4-pro</x:v>
      </x:c>
      <x:c r="AG52" s="20" t="n">
        <x:v>46231.17479956018</x:v>
      </x:c>
      <x:c r="AH52" t="n">
        <x:v>200</x:v>
      </x:c>
      <x:c r="AI52" t="str">
        <x:v>6dbea72b435eb42bb4c03d1dee91fc7fc03653d22656a0a4fcf48434fce667df</x:v>
      </x:c>
      <x:c r="AJ52" t="str">
        <x:v>b6aedb528c13fd641180bb42aa44cac60cfc21ad2ed4fb6c6f4c7b2e37cf2fdf</x:v>
      </x:c>
    </x:row>
    <x:row r="53">
      <x:c r="A53" s="17" t="str">
        <x:v>052</x:v>
      </x:c>
      <x:c r="B53" t="str">
        <x:v>ZH-GOOD-022</x:v>
      </x:c>
      <x:c r="C53" s="17" t="str">
        <x:v>022</x:v>
      </x:c>
      <x:c r="D53" t="str">
        <x:v>Good</x:v>
      </x:c>
      <x:c r="E53" t="n">
        <x:v>70</x:v>
      </x:c>
      <x:c r="F53" t="n">
        <x:v>84</x:v>
      </x:c>
      <x:c r="G53" t="n">
        <x:v>1</x:v>
      </x:c>
      <x:c r="H53" s="18" t="n">
        <x:v>96</x:v>
      </x:c>
      <x:c r="I53" s="18" t="n">
        <x:v>95</x:v>
      </x:c>
      <x:c r="J53" s="18" t="n">
        <x:v>95</x:v>
      </x:c>
      <x:c r="K53" s="18" t="n">
        <x:v>95</x:v>
      </x:c>
      <x:c r="L53" s="18" t="n">
        <x:v>100</x:v>
      </x:c>
      <x:c r="M53" s="18" t="n">
        <x:v>95</x:v>
      </x:c>
      <x:c r="N53" s="18" t="n">
        <x:v>95</x:v>
      </x:c>
      <x:c r="O53" s="18" t="n">
        <x:v>96</x:v>
      </x:c>
      <x:c r="P53" s="18"/>
      <x:c r="Q53" t="str">
        <x:v>No</x:v>
      </x:c>
      <x:c r="R53" s="18" t="n">
        <x:v>12</x:v>
      </x:c>
      <x:c r="S53" s="18" t="n">
        <x:v>0</x:v>
      </x:c>
      <x:c r="T53" s="18" t="n">
        <x:v>12</x:v>
      </x:c>
      <x:c r="U53" t="str">
        <x:v>Excellent</x:v>
      </x:c>
      <x:c r="V53" t="str">
        <x:v>No</x:v>
      </x:c>
      <x:c r="W53" t="str">
        <x:v>PUBLICATION_READY</x:v>
      </x:c>
      <x:c r="X53" t="str">
        <x:v>PASS</x:v>
      </x:c>
      <x:c r="Y53" t="n">
        <x:v>80</x:v>
      </x:c>
      <x:c r="Z53" t="str">
        <x:v>Success</x:v>
      </x:c>
      <x:c r="AA53"/>
      <x:c r="AB53"/>
      <x:c r="AC53" s="13"/>
      <x:c r="AD53" t="n">
        <x:v>0</x:v>
      </x:c>
      <x:c r="AE53" s="19" t="n">
        <x:v>38649</x:v>
      </x:c>
      <x:c r="AF53" t="str">
        <x:v>deepseek-v4-pro</x:v>
      </x:c>
      <x:c r="AG53" s="20" t="n">
        <x:v>46231.17524694445</x:v>
      </x:c>
      <x:c r="AH53" t="n">
        <x:v>200</x:v>
      </x:c>
      <x:c r="AI53" t="str">
        <x:v>4c497625a33e72137dd444cafc1f45edcb1c644abcf2a4702ec6ffe5e36c5e4b</x:v>
      </x:c>
      <x:c r="AJ53" t="str">
        <x:v>b6aedb528c13fd641180bb42aa44cac60cfc21ad2ed4fb6c6f4c7b2e37cf2fdf</x:v>
      </x:c>
    </x:row>
    <x:row r="54">
      <x:c r="A54" s="17" t="str">
        <x:v>053</x:v>
      </x:c>
      <x:c r="B54" t="str">
        <x:v>ZH-GOOD-023</x:v>
      </x:c>
      <x:c r="C54" s="17" t="str">
        <x:v>023</x:v>
      </x:c>
      <x:c r="D54" t="str">
        <x:v>Good</x:v>
      </x:c>
      <x:c r="E54" t="n">
        <x:v>70</x:v>
      </x:c>
      <x:c r="F54" t="n">
        <x:v>84</x:v>
      </x:c>
      <x:c r="G54" t="n">
        <x:v>1</x:v>
      </x:c>
      <x:c r="H54" s="18" t="n">
        <x:v>95</x:v>
      </x:c>
      <x:c r="I54" s="18" t="n">
        <x:v>95</x:v>
      </x:c>
      <x:c r="J54" s="18" t="n">
        <x:v>95</x:v>
      </x:c>
      <x:c r="K54" s="18" t="n">
        <x:v>95</x:v>
      </x:c>
      <x:c r="L54" s="18" t="n">
        <x:v>95</x:v>
      </x:c>
      <x:c r="M54" s="18" t="n">
        <x:v>95</x:v>
      </x:c>
      <x:c r="N54" s="18" t="n">
        <x:v>95</x:v>
      </x:c>
      <x:c r="O54" s="18" t="n">
        <x:v>95</x:v>
      </x:c>
      <x:c r="P54" s="18"/>
      <x:c r="Q54" t="str">
        <x:v>No</x:v>
      </x:c>
      <x:c r="R54" s="18" t="n">
        <x:v>11</x:v>
      </x:c>
      <x:c r="S54" s="18" t="n">
        <x:v>0</x:v>
      </x:c>
      <x:c r="T54" s="18" t="n">
        <x:v>11</x:v>
      </x:c>
      <x:c r="U54" t="str">
        <x:v>Excellent</x:v>
      </x:c>
      <x:c r="V54" t="str">
        <x:v>No</x:v>
      </x:c>
      <x:c r="W54" t="str">
        <x:v>PUBLICATION_READY</x:v>
      </x:c>
      <x:c r="X54" t="str">
        <x:v>PASS</x:v>
      </x:c>
      <x:c r="Y54" t="n">
        <x:v>80</x:v>
      </x:c>
      <x:c r="Z54" t="str">
        <x:v>Success</x:v>
      </x:c>
      <x:c r="AA54"/>
      <x:c r="AB54"/>
      <x:c r="AC54" s="13"/>
      <x:c r="AD54" t="n">
        <x:v>0</x:v>
      </x:c>
      <x:c r="AE54" s="19" t="n">
        <x:v>26845</x:v>
      </x:c>
      <x:c r="AF54" t="str">
        <x:v>deepseek-v4-pro</x:v>
      </x:c>
      <x:c r="AG54" s="20" t="n">
        <x:v>46231.17555768519</x:v>
      </x:c>
      <x:c r="AH54" t="n">
        <x:v>200</x:v>
      </x:c>
      <x:c r="AI54" t="str">
        <x:v>f76c7729e48b6d9cc12505c2f9c0b45ad6d9acf7bef95f553e2ef731a7ca8ff1</x:v>
      </x:c>
      <x:c r="AJ54" t="str">
        <x:v>b6aedb528c13fd641180bb42aa44cac60cfc21ad2ed4fb6c6f4c7b2e37cf2fdf</x:v>
      </x:c>
    </x:row>
    <x:row r="55">
      <x:c r="A55" s="17" t="str">
        <x:v>054</x:v>
      </x:c>
      <x:c r="B55" t="str">
        <x:v>ZH-GOOD-024</x:v>
      </x:c>
      <x:c r="C55" s="17" t="str">
        <x:v>024</x:v>
      </x:c>
      <x:c r="D55" t="str">
        <x:v>Good</x:v>
      </x:c>
      <x:c r="E55" t="n">
        <x:v>70</x:v>
      </x:c>
      <x:c r="F55" t="n">
        <x:v>84</x:v>
      </x:c>
      <x:c r="G55" t="n">
        <x:v>1</x:v>
      </x:c>
      <x:c r="H55" s="18" t="n">
        <x:v>88</x:v>
      </x:c>
      <x:c r="I55" s="18" t="n">
        <x:v>80</x:v>
      </x:c>
      <x:c r="J55" s="18" t="n">
        <x:v>90</x:v>
      </x:c>
      <x:c r="K55" s="18" t="n">
        <x:v>95</x:v>
      </x:c>
      <x:c r="L55" s="18" t="n">
        <x:v>95</x:v>
      </x:c>
      <x:c r="M55" s="18" t="n">
        <x:v>90</x:v>
      </x:c>
      <x:c r="N55" s="18" t="n">
        <x:v>80</x:v>
      </x:c>
      <x:c r="O55" s="18" t="n">
        <x:v>88</x:v>
      </x:c>
      <x:c r="P55" s="18" t="n">
        <x:v>89</x:v>
      </x:c>
      <x:c r="Q55" t="str">
        <x:v>No</x:v>
      </x:c>
      <x:c r="R55" s="18" t="n">
        <x:v>4</x:v>
      </x:c>
      <x:c r="S55" s="18" t="n">
        <x:v>0</x:v>
      </x:c>
      <x:c r="T55" s="18" t="n">
        <x:v>4</x:v>
      </x:c>
      <x:c r="U55" t="str">
        <x:v>Excellent</x:v>
      </x:c>
      <x:c r="V55" t="str">
        <x:v>No</x:v>
      </x:c>
      <x:c r="W55" t="str">
        <x:v>STRONG_LIMITED_EDITING</x:v>
      </x:c>
      <x:c r="X55" t="str">
        <x:v>PASS</x:v>
      </x:c>
      <x:c r="Y55" t="n">
        <x:v>80</x:v>
      </x:c>
      <x:c r="Z55" t="str">
        <x:v>Success</x:v>
      </x:c>
      <x:c r="AA55"/>
      <x:c r="AB55"/>
      <x:c r="AC55" s="13"/>
      <x:c r="AD55" t="n">
        <x:v>0</x:v>
      </x:c>
      <x:c r="AE55" s="19" t="n">
        <x:v>79512</x:v>
      </x:c>
      <x:c r="AF55" t="str">
        <x:v>deepseek-v4-pro</x:v>
      </x:c>
      <x:c r="AG55" s="20" t="n">
        <x:v>46231.17647802083</x:v>
      </x:c>
      <x:c r="AH55" t="n">
        <x:v>200</x:v>
      </x:c>
      <x:c r="AI55" t="str">
        <x:v>9736bd1329e8aec2a5bd5ffc22d22a5f8db601e0fbd34382dfde91188a1d2abe</x:v>
      </x:c>
      <x:c r="AJ55" t="str">
        <x:v>b6aedb528c13fd641180bb42aa44cac60cfc21ad2ed4fb6c6f4c7b2e37cf2fdf</x:v>
      </x:c>
    </x:row>
    <x:row r="56">
      <x:c r="A56" s="17" t="str">
        <x:v>055</x:v>
      </x:c>
      <x:c r="B56" t="str">
        <x:v>ZH-GOOD-025</x:v>
      </x:c>
      <x:c r="C56" s="17" t="str">
        <x:v>025</x:v>
      </x:c>
      <x:c r="D56" t="str">
        <x:v>Good</x:v>
      </x:c>
      <x:c r="E56" t="n">
        <x:v>70</x:v>
      </x:c>
      <x:c r="F56" t="n">
        <x:v>84</x:v>
      </x:c>
      <x:c r="G56" t="n">
        <x:v>1</x:v>
      </x:c>
      <x:c r="H56" s="18" t="n">
        <x:v>95</x:v>
      </x:c>
      <x:c r="I56" s="18" t="n">
        <x:v>92</x:v>
      </x:c>
      <x:c r="J56" s="18" t="n">
        <x:v>95</x:v>
      </x:c>
      <x:c r="K56" s="18" t="n">
        <x:v>95</x:v>
      </x:c>
      <x:c r="L56" s="18" t="n">
        <x:v>98</x:v>
      </x:c>
      <x:c r="M56" s="18" t="n">
        <x:v>95</x:v>
      </x:c>
      <x:c r="N56" s="18" t="n">
        <x:v>95</x:v>
      </x:c>
      <x:c r="O56" s="18" t="n">
        <x:v>95</x:v>
      </x:c>
      <x:c r="P56" s="18"/>
      <x:c r="Q56" t="str">
        <x:v>No</x:v>
      </x:c>
      <x:c r="R56" s="18" t="n">
        <x:v>11</x:v>
      </x:c>
      <x:c r="S56" s="18" t="n">
        <x:v>0</x:v>
      </x:c>
      <x:c r="T56" s="18" t="n">
        <x:v>11</x:v>
      </x:c>
      <x:c r="U56" t="str">
        <x:v>Excellent</x:v>
      </x:c>
      <x:c r="V56" t="str">
        <x:v>No</x:v>
      </x:c>
      <x:c r="W56" t="str">
        <x:v>PUBLICATION_READY</x:v>
      </x:c>
      <x:c r="X56" t="str">
        <x:v>PASS</x:v>
      </x:c>
      <x:c r="Y56" t="n">
        <x:v>80</x:v>
      </x:c>
      <x:c r="Z56" t="str">
        <x:v>Success</x:v>
      </x:c>
      <x:c r="AA56"/>
      <x:c r="AB56"/>
      <x:c r="AC56" s="13"/>
      <x:c r="AD56" t="n">
        <x:v>0</x:v>
      </x:c>
      <x:c r="AE56" s="19" t="n">
        <x:v>36522</x:v>
      </x:c>
      <x:c r="AF56" t="str">
        <x:v>deepseek-v4-pro</x:v>
      </x:c>
      <x:c r="AG56" s="20" t="n">
        <x:v>46231.17690075232</x:v>
      </x:c>
      <x:c r="AH56" t="n">
        <x:v>200</x:v>
      </x:c>
      <x:c r="AI56" t="str">
        <x:v>46e4549da6604a1abf670924d284035fd73b5954ad60b89325117b49b27ef5d6</x:v>
      </x:c>
      <x:c r="AJ56" t="str">
        <x:v>b6aedb528c13fd641180bb42aa44cac60cfc21ad2ed4fb6c6f4c7b2e37cf2fdf</x:v>
      </x:c>
    </x:row>
    <x:row r="57">
      <x:c r="A57" s="17" t="str">
        <x:v>056</x:v>
      </x:c>
      <x:c r="B57" t="str">
        <x:v>ZH-GOOD-026</x:v>
      </x:c>
      <x:c r="C57" s="17" t="str">
        <x:v>026</x:v>
      </x:c>
      <x:c r="D57" t="str">
        <x:v>Good</x:v>
      </x:c>
      <x:c r="E57" t="n">
        <x:v>70</x:v>
      </x:c>
      <x:c r="F57" t="n">
        <x:v>84</x:v>
      </x:c>
      <x:c r="G57" t="n">
        <x:v>1</x:v>
      </x:c>
      <x:c r="H57" s="18" t="n">
        <x:v>59</x:v>
      </x:c>
      <x:c r="I57" s="18" t="n">
        <x:v>55</x:v>
      </x:c>
      <x:c r="J57" s="18" t="n">
        <x:v>82</x:v>
      </x:c>
      <x:c r="K57" s="18" t="n">
        <x:v>88</x:v>
      </x:c>
      <x:c r="L57" s="18" t="n">
        <x:v>95</x:v>
      </x:c>
      <x:c r="M57" s="18" t="n">
        <x:v>70</x:v>
      </x:c>
      <x:c r="N57" s="18" t="n">
        <x:v>82</x:v>
      </x:c>
      <x:c r="O57" s="18" t="n">
        <x:v>76</x:v>
      </x:c>
      <x:c r="P57" s="18" t="n">
        <x:v>59</x:v>
      </x:c>
      <x:c r="Q57" t="str">
        <x:v>No</x:v>
      </x:c>
      <x:c r="R57" s="18" t="n">
        <x:v>11</x:v>
      </x:c>
      <x:c r="S57" s="18" t="n">
        <x:v>11</x:v>
      </x:c>
      <x:c r="T57" s="18" t="n">
        <x:v>0</x:v>
      </x:c>
      <x:c r="U57" t="str">
        <x:v>Normal</x:v>
      </x:c>
      <x:c r="V57" t="str">
        <x:v>No</x:v>
      </x:c>
      <x:c r="W57" t="str">
        <x:v>WEAK</x:v>
      </x:c>
      <x:c r="X57" t="str">
        <x:v>REWRITE_REQUIRED</x:v>
      </x:c>
      <x:c r="Y57" t="n">
        <x:v>80</x:v>
      </x:c>
      <x:c r="Z57" t="str">
        <x:v>Success</x:v>
      </x:c>
      <x:c r="AA57"/>
      <x:c r="AB57"/>
      <x:c r="AC57" s="13"/>
      <x:c r="AD57" t="n">
        <x:v>0</x:v>
      </x:c>
      <x:c r="AE57" s="19" t="n">
        <x:v>91540</x:v>
      </x:c>
      <x:c r="AF57" t="str">
        <x:v>deepseek-v4-pro</x:v>
      </x:c>
      <x:c r="AG57" s="20" t="n">
        <x:v>46231.17796028935</x:v>
      </x:c>
      <x:c r="AH57" t="n">
        <x:v>200</x:v>
      </x:c>
      <x:c r="AI57" t="str">
        <x:v>e9d6b4001fc61ef1db90eea7b833e19fc04f76be90450e7170f26b53c5f13d93</x:v>
      </x:c>
      <x:c r="AJ57" t="str">
        <x:v>b6aedb528c13fd641180bb42aa44cac60cfc21ad2ed4fb6c6f4c7b2e37cf2fdf</x:v>
      </x:c>
    </x:row>
    <x:row r="58">
      <x:c r="A58" s="17" t="str">
        <x:v>057</x:v>
      </x:c>
      <x:c r="B58" t="str">
        <x:v>ZH-GOOD-027</x:v>
      </x:c>
      <x:c r="C58" s="17" t="str">
        <x:v>027</x:v>
      </x:c>
      <x:c r="D58" t="str">
        <x:v>Good</x:v>
      </x:c>
      <x:c r="E58" t="n">
        <x:v>70</x:v>
      </x:c>
      <x:c r="F58" t="n">
        <x:v>84</x:v>
      </x:c>
      <x:c r="G58" t="n">
        <x:v>1</x:v>
      </x:c>
      <x:c r="H58" s="18" t="n">
        <x:v>94</x:v>
      </x:c>
      <x:c r="I58" s="18" t="n">
        <x:v>90</x:v>
      </x:c>
      <x:c r="J58" s="18" t="n">
        <x:v>95</x:v>
      </x:c>
      <x:c r="K58" s="18" t="n">
        <x:v>95</x:v>
      </x:c>
      <x:c r="L58" s="18" t="n">
        <x:v>95</x:v>
      </x:c>
      <x:c r="M58" s="18" t="n">
        <x:v>95</x:v>
      </x:c>
      <x:c r="N58" s="18" t="n">
        <x:v>95</x:v>
      </x:c>
      <x:c r="O58" s="18" t="n">
        <x:v>94</x:v>
      </x:c>
      <x:c r="P58" s="18"/>
      <x:c r="Q58" t="str">
        <x:v>No</x:v>
      </x:c>
      <x:c r="R58" s="18" t="n">
        <x:v>10</x:v>
      </x:c>
      <x:c r="S58" s="18" t="n">
        <x:v>0</x:v>
      </x:c>
      <x:c r="T58" s="18" t="n">
        <x:v>10</x:v>
      </x:c>
      <x:c r="U58" t="str">
        <x:v>Excellent</x:v>
      </x:c>
      <x:c r="V58" t="str">
        <x:v>No</x:v>
      </x:c>
      <x:c r="W58" t="str">
        <x:v>PUBLICATION_READY</x:v>
      </x:c>
      <x:c r="X58" t="str">
        <x:v>PASS</x:v>
      </x:c>
      <x:c r="Y58" t="n">
        <x:v>80</x:v>
      </x:c>
      <x:c r="Z58" t="str">
        <x:v>Success</x:v>
      </x:c>
      <x:c r="AA58"/>
      <x:c r="AB58"/>
      <x:c r="AC58" s="13"/>
      <x:c r="AD58" t="n">
        <x:v>0</x:v>
      </x:c>
      <x:c r="AE58" s="19" t="n">
        <x:v>53283</x:v>
      </x:c>
      <x:c r="AF58" t="str">
        <x:v>deepseek-v4-pro</x:v>
      </x:c>
      <x:c r="AG58" s="20" t="n">
        <x:v>46231.17857700231</x:v>
      </x:c>
      <x:c r="AH58" t="n">
        <x:v>200</x:v>
      </x:c>
      <x:c r="AI58" t="str">
        <x:v>fffa0752f719ec3ba13b7023837cac6074dd62a070abc10324e7c868598a69aa</x:v>
      </x:c>
      <x:c r="AJ58" t="str">
        <x:v>b6aedb528c13fd641180bb42aa44cac60cfc21ad2ed4fb6c6f4c7b2e37cf2fdf</x:v>
      </x:c>
    </x:row>
    <x:row r="59">
      <x:c r="A59" s="17" t="str">
        <x:v>058</x:v>
      </x:c>
      <x:c r="B59" t="str">
        <x:v>ZH-GOOD-028</x:v>
      </x:c>
      <x:c r="C59" s="17" t="str">
        <x:v>028</x:v>
      </x:c>
      <x:c r="D59" t="str">
        <x:v>Good</x:v>
      </x:c>
      <x:c r="E59" t="n">
        <x:v>70</x:v>
      </x:c>
      <x:c r="F59" t="n">
        <x:v>84</x:v>
      </x:c>
      <x:c r="G59" t="n">
        <x:v>1</x:v>
      </x:c>
      <x:c r="H59" s="18" t="n">
        <x:v>59</x:v>
      </x:c>
      <x:c r="I59" s="18" t="n">
        <x:v>55</x:v>
      </x:c>
      <x:c r="J59" s="18" t="n">
        <x:v>85</x:v>
      </x:c>
      <x:c r="K59" s="18" t="n">
        <x:v>95</x:v>
      </x:c>
      <x:c r="L59" s="18" t="n">
        <x:v>95</x:v>
      </x:c>
      <x:c r="M59" s="18" t="n">
        <x:v>55</x:v>
      </x:c>
      <x:c r="N59" s="18" t="n">
        <x:v>50</x:v>
      </x:c>
      <x:c r="O59" s="18" t="n">
        <x:v>73</x:v>
      </x:c>
      <x:c r="P59" s="18" t="n">
        <x:v>59</x:v>
      </x:c>
      <x:c r="Q59" t="str">
        <x:v>No</x:v>
      </x:c>
      <x:c r="R59" s="18" t="n">
        <x:v>11</x:v>
      </x:c>
      <x:c r="S59" s="18" t="n">
        <x:v>11</x:v>
      </x:c>
      <x:c r="T59" s="18" t="n">
        <x:v>0</x:v>
      </x:c>
      <x:c r="U59" t="str">
        <x:v>Normal</x:v>
      </x:c>
      <x:c r="V59" t="str">
        <x:v>No</x:v>
      </x:c>
      <x:c r="W59" t="str">
        <x:v>WEAK</x:v>
      </x:c>
      <x:c r="X59" t="str">
        <x:v>REWRITE_REQUIRED</x:v>
      </x:c>
      <x:c r="Y59" t="n">
        <x:v>80</x:v>
      </x:c>
      <x:c r="Z59" t="str">
        <x:v>Success</x:v>
      </x:c>
      <x:c r="AA59"/>
      <x:c r="AB59"/>
      <x:c r="AC59" s="13"/>
      <x:c r="AD59" t="n">
        <x:v>0</x:v>
      </x:c>
      <x:c r="AE59" s="19" t="n">
        <x:v>67373</x:v>
      </x:c>
      <x:c r="AF59" t="str">
        <x:v>deepseek-v4-pro</x:v>
      </x:c>
      <x:c r="AG59" s="20" t="n">
        <x:v>46231.179356898145</x:v>
      </x:c>
      <x:c r="AH59" t="n">
        <x:v>200</x:v>
      </x:c>
      <x:c r="AI59" t="str">
        <x:v>03ec6d9ad8048afd52e2b7e9a8449b8697dcec55af08f33ef2e8d08225eee0cf</x:v>
      </x:c>
      <x:c r="AJ59" t="str">
        <x:v>b6aedb528c13fd641180bb42aa44cac60cfc21ad2ed4fb6c6f4c7b2e37cf2fdf</x:v>
      </x:c>
    </x:row>
    <x:row r="60">
      <x:c r="A60" s="17" t="str">
        <x:v>059</x:v>
      </x:c>
      <x:c r="B60" t="str">
        <x:v>ZH-GOOD-029</x:v>
      </x:c>
      <x:c r="C60" s="17" t="str">
        <x:v>029</x:v>
      </x:c>
      <x:c r="D60" t="str">
        <x:v>Good</x:v>
      </x:c>
      <x:c r="E60" t="n">
        <x:v>70</x:v>
      </x:c>
      <x:c r="F60" t="n">
        <x:v>84</x:v>
      </x:c>
      <x:c r="G60" t="n">
        <x:v>1</x:v>
      </x:c>
      <x:c r="H60" s="18" t="n">
        <x:v>59</x:v>
      </x:c>
      <x:c r="I60" s="18" t="n">
        <x:v>45</x:v>
      </x:c>
      <x:c r="J60" s="18" t="n">
        <x:v>90</x:v>
      </x:c>
      <x:c r="K60" s="18" t="n">
        <x:v>92</x:v>
      </x:c>
      <x:c r="L60" s="18" t="n">
        <x:v>95</x:v>
      </x:c>
      <x:c r="M60" s="18" t="n">
        <x:v>90</x:v>
      </x:c>
      <x:c r="N60" s="18" t="n">
        <x:v>95</x:v>
      </x:c>
      <x:c r="O60" s="18" t="n">
        <x:v>80</x:v>
      </x:c>
      <x:c r="P60" s="18" t="n">
        <x:v>59</x:v>
      </x:c>
      <x:c r="Q60" t="str">
        <x:v>No</x:v>
      </x:c>
      <x:c r="R60" s="18" t="n">
        <x:v>11</x:v>
      </x:c>
      <x:c r="S60" s="18" t="n">
        <x:v>11</x:v>
      </x:c>
      <x:c r="T60" s="18" t="n">
        <x:v>0</x:v>
      </x:c>
      <x:c r="U60" t="str">
        <x:v>Normal</x:v>
      </x:c>
      <x:c r="V60" t="str">
        <x:v>No</x:v>
      </x:c>
      <x:c r="W60" t="str">
        <x:v>WEAK</x:v>
      </x:c>
      <x:c r="X60" t="str">
        <x:v>REWRITE_REQUIRED</x:v>
      </x:c>
      <x:c r="Y60" t="n">
        <x:v>80</x:v>
      </x:c>
      <x:c r="Z60" t="str">
        <x:v>Success</x:v>
      </x:c>
      <x:c r="AA60"/>
      <x:c r="AB60"/>
      <x:c r="AC60" s="13"/>
      <x:c r="AD60" t="n">
        <x:v>0</x:v>
      </x:c>
      <x:c r="AE60" s="19" t="n">
        <x:v>66414</x:v>
      </x:c>
      <x:c r="AF60" t="str">
        <x:v>deepseek-v4-pro</x:v>
      </x:c>
      <x:c r="AG60" s="20" t="n">
        <x:v>46231.18012561343</x:v>
      </x:c>
      <x:c r="AH60" t="n">
        <x:v>200</x:v>
      </x:c>
      <x:c r="AI60" t="str">
        <x:v>49541eae0df1c99fea5f87a2f439855d643e7cd61cf6781b8088456fccb059d7</x:v>
      </x:c>
      <x:c r="AJ60" t="str">
        <x:v>b6aedb528c13fd641180bb42aa44cac60cfc21ad2ed4fb6c6f4c7b2e37cf2fdf</x:v>
      </x:c>
    </x:row>
    <x:row r="61">
      <x:c r="A61" s="17" t="str">
        <x:v>060</x:v>
      </x:c>
      <x:c r="B61" t="str">
        <x:v>ZH-GOOD-030</x:v>
      </x:c>
      <x:c r="C61" s="17" t="str">
        <x:v>030</x:v>
      </x:c>
      <x:c r="D61" t="str">
        <x:v>Good</x:v>
      </x:c>
      <x:c r="E61" t="n">
        <x:v>70</x:v>
      </x:c>
      <x:c r="F61" t="n">
        <x:v>84</x:v>
      </x:c>
      <x:c r="G61" t="n">
        <x:v>1</x:v>
      </x:c>
      <x:c r="H61" s="18" t="n">
        <x:v>89</x:v>
      </x:c>
      <x:c r="I61" s="18" t="n">
        <x:v>88</x:v>
      </x:c>
      <x:c r="J61" s="18" t="n">
        <x:v>90</x:v>
      </x:c>
      <x:c r="K61" s="18" t="n">
        <x:v>92</x:v>
      </x:c>
      <x:c r="L61" s="18" t="n">
        <x:v>88</x:v>
      </x:c>
      <x:c r="M61" s="18" t="n">
        <x:v>95</x:v>
      </x:c>
      <x:c r="N61" s="18" t="n">
        <x:v>85</x:v>
      </x:c>
      <x:c r="O61" s="18" t="n">
        <x:v>90</x:v>
      </x:c>
      <x:c r="P61" s="18" t="n">
        <x:v>89</x:v>
      </x:c>
      <x:c r="Q61" t="str">
        <x:v>No</x:v>
      </x:c>
      <x:c r="R61" s="18" t="n">
        <x:v>5</x:v>
      </x:c>
      <x:c r="S61" s="18" t="n">
        <x:v>0</x:v>
      </x:c>
      <x:c r="T61" s="18" t="n">
        <x:v>5</x:v>
      </x:c>
      <x:c r="U61" t="str">
        <x:v>Excellent</x:v>
      </x:c>
      <x:c r="V61" t="str">
        <x:v>No</x:v>
      </x:c>
      <x:c r="W61" t="str">
        <x:v>STRONG_LIMITED_EDITING</x:v>
      </x:c>
      <x:c r="X61" t="str">
        <x:v>PASS</x:v>
      </x:c>
      <x:c r="Y61" t="n">
        <x:v>80</x:v>
      </x:c>
      <x:c r="Z61" t="str">
        <x:v>Success</x:v>
      </x:c>
      <x:c r="AA61"/>
      <x:c r="AB61"/>
      <x:c r="AC61" s="13"/>
      <x:c r="AD61" t="n">
        <x:v>0</x:v>
      </x:c>
      <x:c r="AE61" s="19" t="n">
        <x:v>71785</x:v>
      </x:c>
      <x:c r="AF61" t="str">
        <x:v>deepseek-v4-pro</x:v>
      </x:c>
      <x:c r="AG61" s="20" t="n">
        <x:v>46231.18095648148</x:v>
      </x:c>
      <x:c r="AH61" t="n">
        <x:v>200</x:v>
      </x:c>
      <x:c r="AI61" t="str">
        <x:v>85789349af401e04c314ee815205abaf5c599955ef29b1bb2467f27f50cc558d</x:v>
      </x:c>
      <x:c r="AJ61" t="str">
        <x:v>b6aedb528c13fd641180bb42aa44cac60cfc21ad2ed4fb6c6f4c7b2e37cf2fdf</x:v>
      </x:c>
    </x:row>
    <x:row r="62">
      <x:c r="A62" s="17" t="str">
        <x:v>061</x:v>
      </x:c>
      <x:c r="B62" t="str">
        <x:v>ZH-NORMAL-001</x:v>
      </x:c>
      <x:c r="C62" s="17" t="str">
        <x:v>001</x:v>
      </x:c>
      <x:c r="D62" t="str">
        <x:v>Normal</x:v>
      </x:c>
      <x:c r="E62" t="n">
        <x:v>50</x:v>
      </x:c>
      <x:c r="F62" t="n">
        <x:v>69</x:v>
      </x:c>
      <x:c r="G62" t="n">
        <x:v>1</x:v>
      </x:c>
      <x:c r="H62" s="18" t="n">
        <x:v>59</x:v>
      </x:c>
      <x:c r="I62" s="18" t="n">
        <x:v>59</x:v>
      </x:c>
      <x:c r="J62" s="18" t="n">
        <x:v>82</x:v>
      </x:c>
      <x:c r="K62" s="18" t="n">
        <x:v>85</x:v>
      </x:c>
      <x:c r="L62" s="18" t="n">
        <x:v>90</x:v>
      </x:c>
      <x:c r="M62" s="18" t="n">
        <x:v>59</x:v>
      </x:c>
      <x:c r="N62" s="18" t="n">
        <x:v>65</x:v>
      </x:c>
      <x:c r="O62" s="18" t="n">
        <x:v>73</x:v>
      </x:c>
      <x:c r="P62" s="18" t="n">
        <x:v>59</x:v>
      </x:c>
      <x:c r="Q62" t="str">
        <x:v>Yes</x:v>
      </x:c>
      <x:c r="R62" s="18" t="n">
        <x:v>0</x:v>
      </x:c>
      <x:c r="S62" s="18" t="n">
        <x:v>0</x:v>
      </x:c>
      <x:c r="T62" s="18" t="n">
        <x:v>0</x:v>
      </x:c>
      <x:c r="U62" t="str">
        <x:v>Normal</x:v>
      </x:c>
      <x:c r="V62" t="str">
        <x:v>Yes</x:v>
      </x:c>
      <x:c r="W62" t="str">
        <x:v>WEAK</x:v>
      </x:c>
      <x:c r="X62" t="str">
        <x:v>REWRITE_REQUIRED</x:v>
      </x:c>
      <x:c r="Y62" t="n">
        <x:v>80</x:v>
      </x:c>
      <x:c r="Z62" t="str">
        <x:v>Success</x:v>
      </x:c>
      <x:c r="AA62"/>
      <x:c r="AB62"/>
      <x:c r="AC62" s="13"/>
      <x:c r="AD62" t="n">
        <x:v>0</x:v>
      </x:c>
      <x:c r="AE62" s="19" t="n">
        <x:v>52441</x:v>
      </x:c>
      <x:c r="AF62" t="str">
        <x:v>deepseek-v4-pro</x:v>
      </x:c>
      <x:c r="AG62" s="20" t="n">
        <x:v>46231.16269427083</x:v>
      </x:c>
      <x:c r="AH62" t="n">
        <x:v>200</x:v>
      </x:c>
      <x:c r="AI62" t="str">
        <x:v>27d227b66b4d8bfe839d37761a3f836f1fe7feed2a36c0b6933e1c2277032018</x:v>
      </x:c>
      <x:c r="AJ62" t="str">
        <x:v>b6aedb528c13fd641180bb42aa44cac60cfc21ad2ed4fb6c6f4c7b2e37cf2fdf</x:v>
      </x:c>
    </x:row>
    <x:row r="63">
      <x:c r="A63" s="17" t="str">
        <x:v>062</x:v>
      </x:c>
      <x:c r="B63" t="str">
        <x:v>ZH-NORMAL-002</x:v>
      </x:c>
      <x:c r="C63" s="17" t="str">
        <x:v>002</x:v>
      </x:c>
      <x:c r="D63" t="str">
        <x:v>Normal</x:v>
      </x:c>
      <x:c r="E63" t="n">
        <x:v>50</x:v>
      </x:c>
      <x:c r="F63" t="n">
        <x:v>69</x:v>
      </x:c>
      <x:c r="G63" t="n">
        <x:v>1</x:v>
      </x:c>
      <x:c r="H63" s="18" t="n">
        <x:v>59</x:v>
      </x:c>
      <x:c r="I63" s="18" t="n">
        <x:v>82</x:v>
      </x:c>
      <x:c r="J63" s="18" t="n">
        <x:v>45</x:v>
      </x:c>
      <x:c r="K63" s="18" t="n">
        <x:v>65</x:v>
      </x:c>
      <x:c r="L63" s="18" t="n">
        <x:v>85</x:v>
      </x:c>
      <x:c r="M63" s="18" t="n">
        <x:v>90</x:v>
      </x:c>
      <x:c r="N63" s="18" t="n">
        <x:v>82</x:v>
      </x:c>
      <x:c r="O63" s="18" t="n">
        <x:v>74</x:v>
      </x:c>
      <x:c r="P63" s="18" t="n">
        <x:v>59</x:v>
      </x:c>
      <x:c r="Q63" t="str">
        <x:v>Yes</x:v>
      </x:c>
      <x:c r="R63" s="18" t="n">
        <x:v>0</x:v>
      </x:c>
      <x:c r="S63" s="18" t="n">
        <x:v>0</x:v>
      </x:c>
      <x:c r="T63" s="18" t="n">
        <x:v>0</x:v>
      </x:c>
      <x:c r="U63" t="str">
        <x:v>Normal</x:v>
      </x:c>
      <x:c r="V63" t="str">
        <x:v>Yes</x:v>
      </x:c>
      <x:c r="W63" t="str">
        <x:v>WEAK</x:v>
      </x:c>
      <x:c r="X63" t="str">
        <x:v>REWRITE_REQUIRED</x:v>
      </x:c>
      <x:c r="Y63" t="n">
        <x:v>80</x:v>
      </x:c>
      <x:c r="Z63" t="str">
        <x:v>Success</x:v>
      </x:c>
      <x:c r="AA63"/>
      <x:c r="AB63"/>
      <x:c r="AC63" s="13"/>
      <x:c r="AD63" t="n">
        <x:v>0</x:v>
      </x:c>
      <x:c r="AE63" s="19" t="n">
        <x:v>75270</x:v>
      </x:c>
      <x:c r="AF63" t="str">
        <x:v>deepseek-v4-pro</x:v>
      </x:c>
      <x:c r="AG63" s="20" t="n">
        <x:v>46231.163565462964</x:v>
      </x:c>
      <x:c r="AH63" t="n">
        <x:v>200</x:v>
      </x:c>
      <x:c r="AI63" t="str">
        <x:v>930ff9cfd60e62708f2d1ac143fbdeb13eb2b4da9cad59a50cd346defcb81d0e</x:v>
      </x:c>
      <x:c r="AJ63" t="str">
        <x:v>b6aedb528c13fd641180bb42aa44cac60cfc21ad2ed4fb6c6f4c7b2e37cf2fdf</x:v>
      </x:c>
    </x:row>
    <x:row r="64">
      <x:c r="A64" s="17" t="str">
        <x:v>063</x:v>
      </x:c>
      <x:c r="B64" t="str">
        <x:v>ZH-NORMAL-003</x:v>
      </x:c>
      <x:c r="C64" s="17" t="str">
        <x:v>003</x:v>
      </x:c>
      <x:c r="D64" t="str">
        <x:v>Normal</x:v>
      </x:c>
      <x:c r="E64" t="n">
        <x:v>50</x:v>
      </x:c>
      <x:c r="F64" t="n">
        <x:v>69</x:v>
      </x:c>
      <x:c r="G64" t="n">
        <x:v>1</x:v>
      </x:c>
      <x:c r="H64" s="18" t="n">
        <x:v>59</x:v>
      </x:c>
      <x:c r="I64" s="18" t="n">
        <x:v>80</x:v>
      </x:c>
      <x:c r="J64" s="18" t="n">
        <x:v>40</x:v>
      </x:c>
      <x:c r="K64" s="18" t="n">
        <x:v>55</x:v>
      </x:c>
      <x:c r="L64" s="18" t="n">
        <x:v>80</x:v>
      </x:c>
      <x:c r="M64" s="18" t="n">
        <x:v>65</x:v>
      </x:c>
      <x:c r="N64" s="18" t="n">
        <x:v>65</x:v>
      </x:c>
      <x:c r="O64" s="18" t="n">
        <x:v>65</x:v>
      </x:c>
      <x:c r="P64" s="18" t="n">
        <x:v>59</x:v>
      </x:c>
      <x:c r="Q64" t="str">
        <x:v>Yes</x:v>
      </x:c>
      <x:c r="R64" s="18" t="n">
        <x:v>0</x:v>
      </x:c>
      <x:c r="S64" s="18" t="n">
        <x:v>0</x:v>
      </x:c>
      <x:c r="T64" s="18" t="n">
        <x:v>0</x:v>
      </x:c>
      <x:c r="U64" t="str">
        <x:v>Normal</x:v>
      </x:c>
      <x:c r="V64" t="str">
        <x:v>Yes</x:v>
      </x:c>
      <x:c r="W64" t="str">
        <x:v>WEAK</x:v>
      </x:c>
      <x:c r="X64" t="str">
        <x:v>REWRITE_REQUIRED</x:v>
      </x:c>
      <x:c r="Y64" t="n">
        <x:v>80</x:v>
      </x:c>
      <x:c r="Z64" t="str">
        <x:v>Success</x:v>
      </x:c>
      <x:c r="AA64"/>
      <x:c r="AB64"/>
      <x:c r="AC64" s="13"/>
      <x:c r="AD64" t="n">
        <x:v>0</x:v>
      </x:c>
      <x:c r="AE64" s="19" t="n">
        <x:v>70962</x:v>
      </x:c>
      <x:c r="AF64" t="str">
        <x:v>deepseek-v4-pro</x:v>
      </x:c>
      <x:c r="AG64" s="20" t="n">
        <x:v>46231.164386805554</x:v>
      </x:c>
      <x:c r="AH64" t="n">
        <x:v>200</x:v>
      </x:c>
      <x:c r="AI64" t="str">
        <x:v>304606d7535754e41ad2a945dcee5054d6012c0d0eeeed97b19f080c1e247cb8</x:v>
      </x:c>
      <x:c r="AJ64" t="str">
        <x:v>b6aedb528c13fd641180bb42aa44cac60cfc21ad2ed4fb6c6f4c7b2e37cf2fdf</x:v>
      </x:c>
    </x:row>
    <x:row r="65">
      <x:c r="A65" s="17" t="str">
        <x:v>064</x:v>
      </x:c>
      <x:c r="B65" t="str">
        <x:v>ZH-NORMAL-004</x:v>
      </x:c>
      <x:c r="C65" s="17" t="str">
        <x:v>004</x:v>
      </x:c>
      <x:c r="D65" t="str">
        <x:v>Normal</x:v>
      </x:c>
      <x:c r="E65" t="n">
        <x:v>50</x:v>
      </x:c>
      <x:c r="F65" t="n">
        <x:v>69</x:v>
      </x:c>
      <x:c r="G65" t="n">
        <x:v>1</x:v>
      </x:c>
      <x:c r="H65" s="18" t="n">
        <x:v>56</x:v>
      </x:c>
      <x:c r="I65" s="18" t="n">
        <x:v>55</x:v>
      </x:c>
      <x:c r="J65" s="18" t="n">
        <x:v>40</x:v>
      </x:c>
      <x:c r="K65" s="18" t="n">
        <x:v>50</x:v>
      </x:c>
      <x:c r="L65" s="18" t="n">
        <x:v>62</x:v>
      </x:c>
      <x:c r="M65" s="18" t="n">
        <x:v>70</x:v>
      </x:c>
      <x:c r="N65" s="18" t="n">
        <x:v>65</x:v>
      </x:c>
      <x:c r="O65" s="18" t="n">
        <x:v>56</x:v>
      </x:c>
      <x:c r="P65" s="18" t="n">
        <x:v>59</x:v>
      </x:c>
      <x:c r="Q65" t="str">
        <x:v>Yes</x:v>
      </x:c>
      <x:c r="R65" s="18" t="n">
        <x:v>0</x:v>
      </x:c>
      <x:c r="S65" s="18" t="n">
        <x:v>0</x:v>
      </x:c>
      <x:c r="T65" s="18" t="n">
        <x:v>0</x:v>
      </x:c>
      <x:c r="U65" t="str">
        <x:v>Normal</x:v>
      </x:c>
      <x:c r="V65" t="str">
        <x:v>Yes</x:v>
      </x:c>
      <x:c r="W65" t="str">
        <x:v>WEAK</x:v>
      </x:c>
      <x:c r="X65" t="str">
        <x:v>REWRITE_REQUIRED</x:v>
      </x:c>
      <x:c r="Y65" t="n">
        <x:v>80</x:v>
      </x:c>
      <x:c r="Z65" t="str">
        <x:v>Success</x:v>
      </x:c>
      <x:c r="AA65"/>
      <x:c r="AB65"/>
      <x:c r="AC65" s="13"/>
      <x:c r="AD65" t="n">
        <x:v>0</x:v>
      </x:c>
      <x:c r="AE65" s="19" t="n">
        <x:v>60558</x:v>
      </x:c>
      <x:c r="AF65" t="str">
        <x:v>deepseek-v4-pro</x:v>
      </x:c>
      <x:c r="AG65" s="20" t="n">
        <x:v>46231.16508770833</x:v>
      </x:c>
      <x:c r="AH65" t="n">
        <x:v>200</x:v>
      </x:c>
      <x:c r="AI65" t="str">
        <x:v>4ae9d43d136fcf8b96df144735231be77af75baa7b295d598751243363804215</x:v>
      </x:c>
      <x:c r="AJ65" t="str">
        <x:v>b6aedb528c13fd641180bb42aa44cac60cfc21ad2ed4fb6c6f4c7b2e37cf2fdf</x:v>
      </x:c>
    </x:row>
    <x:row r="66">
      <x:c r="A66" s="17" t="str">
        <x:v>065</x:v>
      </x:c>
      <x:c r="B66" t="str">
        <x:v>ZH-NORMAL-005</x:v>
      </x:c>
      <x:c r="C66" s="17" t="str">
        <x:v>005</x:v>
      </x:c>
      <x:c r="D66" t="str">
        <x:v>Normal</x:v>
      </x:c>
      <x:c r="E66" t="n">
        <x:v>50</x:v>
      </x:c>
      <x:c r="F66" t="n">
        <x:v>69</x:v>
      </x:c>
      <x:c r="G66" t="n">
        <x:v>1</x:v>
      </x:c>
      <x:c r="H66" s="18" t="n">
        <x:v>57</x:v>
      </x:c>
      <x:c r="I66" s="18" t="n">
        <x:v>75</x:v>
      </x:c>
      <x:c r="J66" s="18" t="n">
        <x:v>35</x:v>
      </x:c>
      <x:c r="K66" s="18" t="n">
        <x:v>45</x:v>
      </x:c>
      <x:c r="L66" s="18" t="n">
        <x:v>55</x:v>
      </x:c>
      <x:c r="M66" s="18" t="n">
        <x:v>60</x:v>
      </x:c>
      <x:c r="N66" s="18" t="n">
        <x:v>70</x:v>
      </x:c>
      <x:c r="O66" s="18" t="n">
        <x:v>57</x:v>
      </x:c>
      <x:c r="P66" s="18" t="n">
        <x:v>59</x:v>
      </x:c>
      <x:c r="Q66" t="str">
        <x:v>Yes</x:v>
      </x:c>
      <x:c r="R66" s="18" t="n">
        <x:v>0</x:v>
      </x:c>
      <x:c r="S66" s="18" t="n">
        <x:v>0</x:v>
      </x:c>
      <x:c r="T66" s="18" t="n">
        <x:v>0</x:v>
      </x:c>
      <x:c r="U66" t="str">
        <x:v>Normal</x:v>
      </x:c>
      <x:c r="V66" t="str">
        <x:v>Yes</x:v>
      </x:c>
      <x:c r="W66" t="str">
        <x:v>WEAK</x:v>
      </x:c>
      <x:c r="X66" t="str">
        <x:v>REWRITE_REQUIRED</x:v>
      </x:c>
      <x:c r="Y66" t="n">
        <x:v>80</x:v>
      </x:c>
      <x:c r="Z66" t="str">
        <x:v>Success</x:v>
      </x:c>
      <x:c r="AA66"/>
      <x:c r="AB66"/>
      <x:c r="AC66" s="13"/>
      <x:c r="AD66" t="n">
        <x:v>0</x:v>
      </x:c>
      <x:c r="AE66" s="19" t="n">
        <x:v>78786</x:v>
      </x:c>
      <x:c r="AF66" t="str">
        <x:v>deepseek-v4-pro</x:v>
      </x:c>
      <x:c r="AG66" s="20" t="n">
        <x:v>46231.16599962963</x:v>
      </x:c>
      <x:c r="AH66" t="n">
        <x:v>200</x:v>
      </x:c>
      <x:c r="AI66" t="str">
        <x:v>366a4fc0b892a28a8d9b270d4932ffa35174a2b4a4e50dd7df3ab63392e9ff73</x:v>
      </x:c>
      <x:c r="AJ66" t="str">
        <x:v>b6aedb528c13fd641180bb42aa44cac60cfc21ad2ed4fb6c6f4c7b2e37cf2fdf</x:v>
      </x:c>
    </x:row>
    <x:row r="67">
      <x:c r="A67" s="17" t="str">
        <x:v>066</x:v>
      </x:c>
      <x:c r="B67" t="str">
        <x:v>ZH-NORMAL-006</x:v>
      </x:c>
      <x:c r="C67" s="17" t="str">
        <x:v>006</x:v>
      </x:c>
      <x:c r="D67" t="str">
        <x:v>Normal</x:v>
      </x:c>
      <x:c r="E67" t="n">
        <x:v>50</x:v>
      </x:c>
      <x:c r="F67" t="n">
        <x:v>69</x:v>
      </x:c>
      <x:c r="G67" t="n">
        <x:v>1</x:v>
      </x:c>
      <x:c r="H67" s="18" t="n">
        <x:v>40</x:v>
      </x:c>
      <x:c r="I67" s="18" t="n">
        <x:v>45</x:v>
      </x:c>
      <x:c r="J67" s="18" t="n">
        <x:v>25</x:v>
      </x:c>
      <x:c r="K67" s="18" t="n">
        <x:v>50</x:v>
      </x:c>
      <x:c r="L67" s="18" t="n">
        <x:v>40</x:v>
      </x:c>
      <x:c r="M67" s="18" t="n">
        <x:v>45</x:v>
      </x:c>
      <x:c r="N67" s="18" t="n">
        <x:v>35</x:v>
      </x:c>
      <x:c r="O67" s="18" t="n">
        <x:v>40</x:v>
      </x:c>
      <x:c r="P67" s="18" t="n">
        <x:v>59</x:v>
      </x:c>
      <x:c r="Q67" t="str">
        <x:v>No</x:v>
      </x:c>
      <x:c r="R67" s="18" t="n">
        <x:v>10</x:v>
      </x:c>
      <x:c r="S67" s="18" t="n">
        <x:v>10</x:v>
      </x:c>
      <x:c r="T67" s="18" t="n">
        <x:v>0</x:v>
      </x:c>
      <x:c r="U67" t="str">
        <x:v>Bad</x:v>
      </x:c>
      <x:c r="V67" t="str">
        <x:v>No</x:v>
      </x:c>
      <x:c r="W67" t="str">
        <x:v>WEAK</x:v>
      </x:c>
      <x:c r="X67" t="str">
        <x:v>REWRITE_REQUIRED</x:v>
      </x:c>
      <x:c r="Y67" t="n">
        <x:v>80</x:v>
      </x:c>
      <x:c r="Z67" t="str">
        <x:v>Success</x:v>
      </x:c>
      <x:c r="AA67"/>
      <x:c r="AB67"/>
      <x:c r="AC67" s="13"/>
      <x:c r="AD67" t="n">
        <x:v>0</x:v>
      </x:c>
      <x:c r="AE67" s="19" t="n">
        <x:v>60346</x:v>
      </x:c>
      <x:c r="AF67" t="str">
        <x:v>deepseek-v4-pro</x:v>
      </x:c>
      <x:c r="AG67" s="20" t="n">
        <x:v>46231.16669810185</x:v>
      </x:c>
      <x:c r="AH67" t="n">
        <x:v>200</x:v>
      </x:c>
      <x:c r="AI67" t="str">
        <x:v>ee9860987bf375140553de4f6fd147456c6455a9539a97ddae6b2b475b071590</x:v>
      </x:c>
      <x:c r="AJ67" t="str">
        <x:v>b6aedb528c13fd641180bb42aa44cac60cfc21ad2ed4fb6c6f4c7b2e37cf2fdf</x:v>
      </x:c>
    </x:row>
    <x:row r="68">
      <x:c r="A68" s="17" t="str">
        <x:v>067</x:v>
      </x:c>
      <x:c r="B68" t="str">
        <x:v>ZH-NORMAL-007</x:v>
      </x:c>
      <x:c r="C68" s="17" t="str">
        <x:v>007</x:v>
      </x:c>
      <x:c r="D68" t="str">
        <x:v>Normal</x:v>
      </x:c>
      <x:c r="E68" t="n">
        <x:v>50</x:v>
      </x:c>
      <x:c r="F68" t="n">
        <x:v>69</x:v>
      </x:c>
      <x:c r="G68" t="n">
        <x:v>1</x:v>
      </x:c>
      <x:c r="H68" s="18" t="n">
        <x:v>53</x:v>
      </x:c>
      <x:c r="I68" s="18" t="n">
        <x:v>55</x:v>
      </x:c>
      <x:c r="J68" s="18" t="n">
        <x:v>45</x:v>
      </x:c>
      <x:c r="K68" s="18" t="n">
        <x:v>55</x:v>
      </x:c>
      <x:c r="L68" s="18" t="n">
        <x:v>50</x:v>
      </x:c>
      <x:c r="M68" s="18" t="n">
        <x:v>50</x:v>
      </x:c>
      <x:c r="N68" s="18" t="n">
        <x:v>65</x:v>
      </x:c>
      <x:c r="O68" s="18" t="n">
        <x:v>53</x:v>
      </x:c>
      <x:c r="P68" s="18" t="n">
        <x:v>59</x:v>
      </x:c>
      <x:c r="Q68" t="str">
        <x:v>Yes</x:v>
      </x:c>
      <x:c r="R68" s="18" t="n">
        <x:v>0</x:v>
      </x:c>
      <x:c r="S68" s="18" t="n">
        <x:v>0</x:v>
      </x:c>
      <x:c r="T68" s="18" t="n">
        <x:v>0</x:v>
      </x:c>
      <x:c r="U68" t="str">
        <x:v>Normal</x:v>
      </x:c>
      <x:c r="V68" t="str">
        <x:v>Yes</x:v>
      </x:c>
      <x:c r="W68" t="str">
        <x:v>WEAK</x:v>
      </x:c>
      <x:c r="X68" t="str">
        <x:v>REWRITE_REQUIRED</x:v>
      </x:c>
      <x:c r="Y68" t="n">
        <x:v>80</x:v>
      </x:c>
      <x:c r="Z68" t="str">
        <x:v>Success</x:v>
      </x:c>
      <x:c r="AA68"/>
      <x:c r="AB68"/>
      <x:c r="AC68" s="13"/>
      <x:c r="AD68" t="n">
        <x:v>0</x:v>
      </x:c>
      <x:c r="AE68" s="19" t="n">
        <x:v>69059</x:v>
      </x:c>
      <x:c r="AF68" t="str">
        <x:v>deepseek-v4-pro</x:v>
      </x:c>
      <x:c r="AG68" s="20" t="n">
        <x:v>46231.167497407405</x:v>
      </x:c>
      <x:c r="AH68" t="n">
        <x:v>200</x:v>
      </x:c>
      <x:c r="AI68" t="str">
        <x:v>a71d552f5f6ec288256a68a67df2cc9232fcd806f756a46256b340001cdfa85e</x:v>
      </x:c>
      <x:c r="AJ68" t="str">
        <x:v>b6aedb528c13fd641180bb42aa44cac60cfc21ad2ed4fb6c6f4c7b2e37cf2fdf</x:v>
      </x:c>
    </x:row>
    <x:row r="69">
      <x:c r="A69" s="17" t="str">
        <x:v>068</x:v>
      </x:c>
      <x:c r="B69" t="str">
        <x:v>ZH-NORMAL-008</x:v>
      </x:c>
      <x:c r="C69" s="17" t="str">
        <x:v>008</x:v>
      </x:c>
      <x:c r="D69" t="str">
        <x:v>Normal</x:v>
      </x:c>
      <x:c r="E69" t="n">
        <x:v>50</x:v>
      </x:c>
      <x:c r="F69" t="n">
        <x:v>69</x:v>
      </x:c>
      <x:c r="G69" t="n">
        <x:v>1</x:v>
      </x:c>
      <x:c r="H69" s="18" t="n">
        <x:v>50</x:v>
      </x:c>
      <x:c r="I69" s="18" t="n">
        <x:v>45</x:v>
      </x:c>
      <x:c r="J69" s="18" t="n">
        <x:v>35</x:v>
      </x:c>
      <x:c r="K69" s="18" t="n">
        <x:v>45</x:v>
      </x:c>
      <x:c r="L69" s="18" t="n">
        <x:v>68</x:v>
      </x:c>
      <x:c r="M69" s="18" t="n">
        <x:v>59</x:v>
      </x:c>
      <x:c r="N69" s="18" t="n">
        <x:v>55</x:v>
      </x:c>
      <x:c r="O69" s="18" t="n">
        <x:v>50</x:v>
      </x:c>
      <x:c r="P69" s="18" t="n">
        <x:v>59</x:v>
      </x:c>
      <x:c r="Q69" t="str">
        <x:v>Yes</x:v>
      </x:c>
      <x:c r="R69" s="18" t="n">
        <x:v>0</x:v>
      </x:c>
      <x:c r="S69" s="18" t="n">
        <x:v>0</x:v>
      </x:c>
      <x:c r="T69" s="18" t="n">
        <x:v>0</x:v>
      </x:c>
      <x:c r="U69" t="str">
        <x:v>Normal</x:v>
      </x:c>
      <x:c r="V69" t="str">
        <x:v>Yes</x:v>
      </x:c>
      <x:c r="W69" t="str">
        <x:v>WEAK</x:v>
      </x:c>
      <x:c r="X69" t="str">
        <x:v>REWRITE_REQUIRED</x:v>
      </x:c>
      <x:c r="Y69" t="n">
        <x:v>80</x:v>
      </x:c>
      <x:c r="Z69" t="str">
        <x:v>Success</x:v>
      </x:c>
      <x:c r="AA69"/>
      <x:c r="AB69"/>
      <x:c r="AC69" s="13"/>
      <x:c r="AD69" t="n">
        <x:v>0</x:v>
      </x:c>
      <x:c r="AE69" s="19" t="n">
        <x:v>81243</x:v>
      </x:c>
      <x:c r="AF69" t="str">
        <x:v>deepseek-v4-pro</x:v>
      </x:c>
      <x:c r="AG69" s="20" t="n">
        <x:v>46231.16843773148</x:v>
      </x:c>
      <x:c r="AH69" t="n">
        <x:v>200</x:v>
      </x:c>
      <x:c r="AI69" t="str">
        <x:v>d69c8c504f094eb15a108c55d1f793527ae0ba0c912fe781d8839716d9d0a6ad</x:v>
      </x:c>
      <x:c r="AJ69" t="str">
        <x:v>b6aedb528c13fd641180bb42aa44cac60cfc21ad2ed4fb6c6f4c7b2e37cf2fdf</x:v>
      </x:c>
    </x:row>
    <x:row r="70">
      <x:c r="A70" s="17" t="str">
        <x:v>069</x:v>
      </x:c>
      <x:c r="B70" t="str">
        <x:v>ZH-NORMAL-009</x:v>
      </x:c>
      <x:c r="C70" s="17" t="str">
        <x:v>009</x:v>
      </x:c>
      <x:c r="D70" t="str">
        <x:v>Normal</x:v>
      </x:c>
      <x:c r="E70" t="n">
        <x:v>50</x:v>
      </x:c>
      <x:c r="F70" t="n">
        <x:v>69</x:v>
      </x:c>
      <x:c r="G70" t="n">
        <x:v>1</x:v>
      </x:c>
      <x:c r="H70" s="18" t="n">
        <x:v>44</x:v>
      </x:c>
      <x:c r="I70" s="18" t="n">
        <x:v>55</x:v>
      </x:c>
      <x:c r="J70" s="18" t="n">
        <x:v>30</x:v>
      </x:c>
      <x:c r="K70" s="18" t="n">
        <x:v>40</x:v>
      </x:c>
      <x:c r="L70" s="18" t="n">
        <x:v>50</x:v>
      </x:c>
      <x:c r="M70" s="18" t="n">
        <x:v>40</x:v>
      </x:c>
      <x:c r="N70" s="18" t="n">
        <x:v>50</x:v>
      </x:c>
      <x:c r="O70" s="18" t="n">
        <x:v>44</x:v>
      </x:c>
      <x:c r="P70" s="18" t="n">
        <x:v>59</x:v>
      </x:c>
      <x:c r="Q70" t="str">
        <x:v>No</x:v>
      </x:c>
      <x:c r="R70" s="18" t="n">
        <x:v>6</x:v>
      </x:c>
      <x:c r="S70" s="18" t="n">
        <x:v>6</x:v>
      </x:c>
      <x:c r="T70" s="18" t="n">
        <x:v>0</x:v>
      </x:c>
      <x:c r="U70" t="str">
        <x:v>Bad</x:v>
      </x:c>
      <x:c r="V70" t="str">
        <x:v>No</x:v>
      </x:c>
      <x:c r="W70" t="str">
        <x:v>WEAK</x:v>
      </x:c>
      <x:c r="X70" t="str">
        <x:v>REWRITE_REQUIRED</x:v>
      </x:c>
      <x:c r="Y70" t="n">
        <x:v>80</x:v>
      </x:c>
      <x:c r="Z70" t="str">
        <x:v>Success</x:v>
      </x:c>
      <x:c r="AA70"/>
      <x:c r="AB70"/>
      <x:c r="AC70" s="13"/>
      <x:c r="AD70" t="n">
        <x:v>0</x:v>
      </x:c>
      <x:c r="AE70" s="19" t="n">
        <x:v>69349</x:v>
      </x:c>
      <x:c r="AF70" t="str">
        <x:v>deepseek-v4-pro</x:v>
      </x:c>
      <x:c r="AG70" s="20" t="n">
        <x:v>46231.16924045139</x:v>
      </x:c>
      <x:c r="AH70" t="n">
        <x:v>200</x:v>
      </x:c>
      <x:c r="AI70" t="str">
        <x:v>f687d50f40ecaabbca6b609b84d2ce731b7855ec0bd65c0eb69e451b54a11a28</x:v>
      </x:c>
      <x:c r="AJ70" t="str">
        <x:v>b6aedb528c13fd641180bb42aa44cac60cfc21ad2ed4fb6c6f4c7b2e37cf2fdf</x:v>
      </x:c>
    </x:row>
    <x:row r="71">
      <x:c r="A71" s="17" t="str">
        <x:v>070</x:v>
      </x:c>
      <x:c r="B71" t="str">
        <x:v>ZH-NORMAL-010</x:v>
      </x:c>
      <x:c r="C71" s="17" t="str">
        <x:v>010</x:v>
      </x:c>
      <x:c r="D71" t="str">
        <x:v>Normal</x:v>
      </x:c>
      <x:c r="E71" t="n">
        <x:v>50</x:v>
      </x:c>
      <x:c r="F71" t="n">
        <x:v>69</x:v>
      </x:c>
      <x:c r="G71" t="n">
        <x:v>1</x:v>
      </x:c>
      <x:c r="H71" s="18" t="n">
        <x:v>46</x:v>
      </x:c>
      <x:c r="I71" s="18" t="n">
        <x:v>50</x:v>
      </x:c>
      <x:c r="J71" s="18" t="n">
        <x:v>40</x:v>
      </x:c>
      <x:c r="K71" s="18" t="n">
        <x:v>45</x:v>
      </x:c>
      <x:c r="L71" s="18" t="n">
        <x:v>50</x:v>
      </x:c>
      <x:c r="M71" s="18" t="n">
        <x:v>50</x:v>
      </x:c>
      <x:c r="N71" s="18" t="n">
        <x:v>40</x:v>
      </x:c>
      <x:c r="O71" s="18" t="n">
        <x:v>46</x:v>
      </x:c>
      <x:c r="P71" s="18" t="n">
        <x:v>59</x:v>
      </x:c>
      <x:c r="Q71" t="str">
        <x:v>No</x:v>
      </x:c>
      <x:c r="R71" s="18" t="n">
        <x:v>4</x:v>
      </x:c>
      <x:c r="S71" s="18" t="n">
        <x:v>4</x:v>
      </x:c>
      <x:c r="T71" s="18" t="n">
        <x:v>0</x:v>
      </x:c>
      <x:c r="U71" t="str">
        <x:v>Bad</x:v>
      </x:c>
      <x:c r="V71" t="str">
        <x:v>No</x:v>
      </x:c>
      <x:c r="W71" t="str">
        <x:v>WEAK</x:v>
      </x:c>
      <x:c r="X71" t="str">
        <x:v>REWRITE_REQUIRED</x:v>
      </x:c>
      <x:c r="Y71" t="n">
        <x:v>80</x:v>
      </x:c>
      <x:c r="Z71" t="str">
        <x:v>Success</x:v>
      </x:c>
      <x:c r="AA71"/>
      <x:c r="AB71"/>
      <x:c r="AC71" s="13"/>
      <x:c r="AD71" t="n">
        <x:v>0</x:v>
      </x:c>
      <x:c r="AE71" s="19" t="n">
        <x:v>43122</x:v>
      </x:c>
      <x:c r="AF71" t="str">
        <x:v>deepseek-v4-pro</x:v>
      </x:c>
      <x:c r="AG71" s="20" t="n">
        <x:v>46231.16973958333</x:v>
      </x:c>
      <x:c r="AH71" t="n">
        <x:v>200</x:v>
      </x:c>
      <x:c r="AI71" t="str">
        <x:v>da7209bc1f83660bf5937eb148d0bf4cb05c2eac1945f491a78ba394d1331018</x:v>
      </x:c>
      <x:c r="AJ71" t="str">
        <x:v>b6aedb528c13fd641180bb42aa44cac60cfc21ad2ed4fb6c6f4c7b2e37cf2fdf</x:v>
      </x:c>
    </x:row>
    <x:row r="72">
      <x:c r="A72" s="17" t="str">
        <x:v>071</x:v>
      </x:c>
      <x:c r="B72" t="str">
        <x:v>ZH-NORMAL-011</x:v>
      </x:c>
      <x:c r="C72" s="17" t="str">
        <x:v>011</x:v>
      </x:c>
      <x:c r="D72" t="str">
        <x:v>Normal</x:v>
      </x:c>
      <x:c r="E72" t="n">
        <x:v>50</x:v>
      </x:c>
      <x:c r="F72" t="n">
        <x:v>69</x:v>
      </x:c>
      <x:c r="G72" t="n">
        <x:v>1</x:v>
      </x:c>
      <x:c r="H72" s="18" t="n">
        <x:v>42</x:v>
      </x:c>
      <x:c r="I72" s="18" t="n">
        <x:v>40</x:v>
      </x:c>
      <x:c r="J72" s="18" t="n">
        <x:v>30</x:v>
      </x:c>
      <x:c r="K72" s="18" t="n">
        <x:v>45</x:v>
      </x:c>
      <x:c r="L72" s="18" t="n">
        <x:v>55</x:v>
      </x:c>
      <x:c r="M72" s="18" t="n">
        <x:v>45</x:v>
      </x:c>
      <x:c r="N72" s="18" t="n">
        <x:v>40</x:v>
      </x:c>
      <x:c r="O72" s="18" t="n">
        <x:v>42</x:v>
      </x:c>
      <x:c r="P72" s="18" t="n">
        <x:v>59</x:v>
      </x:c>
      <x:c r="Q72" t="str">
        <x:v>No</x:v>
      </x:c>
      <x:c r="R72" s="18" t="n">
        <x:v>8</x:v>
      </x:c>
      <x:c r="S72" s="18" t="n">
        <x:v>8</x:v>
      </x:c>
      <x:c r="T72" s="18" t="n">
        <x:v>0</x:v>
      </x:c>
      <x:c r="U72" t="str">
        <x:v>Bad</x:v>
      </x:c>
      <x:c r="V72" t="str">
        <x:v>No</x:v>
      </x:c>
      <x:c r="W72" t="str">
        <x:v>WEAK</x:v>
      </x:c>
      <x:c r="X72" t="str">
        <x:v>REWRITE_REQUIRED</x:v>
      </x:c>
      <x:c r="Y72" t="n">
        <x:v>80</x:v>
      </x:c>
      <x:c r="Z72" t="str">
        <x:v>Success</x:v>
      </x:c>
      <x:c r="AA72"/>
      <x:c r="AB72"/>
      <x:c r="AC72" s="13"/>
      <x:c r="AD72" t="n">
        <x:v>0</x:v>
      </x:c>
      <x:c r="AE72" s="19" t="n">
        <x:v>44102</x:v>
      </x:c>
      <x:c r="AF72" t="str">
        <x:v>deepseek-v4-pro</x:v>
      </x:c>
      <x:c r="AG72" s="20" t="n">
        <x:v>46231.170250069445</x:v>
      </x:c>
      <x:c r="AH72" t="n">
        <x:v>200</x:v>
      </x:c>
      <x:c r="AI72" t="str">
        <x:v>32e042dec1b7de4eaa4795b79b0e75b1722ede68d060e174f2e8cd3fbc5d1cd0</x:v>
      </x:c>
      <x:c r="AJ72" t="str">
        <x:v>b6aedb528c13fd641180bb42aa44cac60cfc21ad2ed4fb6c6f4c7b2e37cf2fdf</x:v>
      </x:c>
    </x:row>
    <x:row r="73">
      <x:c r="A73" s="17" t="str">
        <x:v>072</x:v>
      </x:c>
      <x:c r="B73" t="str">
        <x:v>ZH-NORMAL-012</x:v>
      </x:c>
      <x:c r="C73" s="17" t="str">
        <x:v>012</x:v>
      </x:c>
      <x:c r="D73" t="str">
        <x:v>Normal</x:v>
      </x:c>
      <x:c r="E73" t="n">
        <x:v>50</x:v>
      </x:c>
      <x:c r="F73" t="n">
        <x:v>69</x:v>
      </x:c>
      <x:c r="G73" t="n">
        <x:v>1</x:v>
      </x:c>
      <x:c r="H73" s="18" t="n">
        <x:v>44</x:v>
      </x:c>
      <x:c r="I73" s="18" t="n">
        <x:v>45</x:v>
      </x:c>
      <x:c r="J73" s="18" t="n">
        <x:v>35</x:v>
      </x:c>
      <x:c r="K73" s="18" t="n">
        <x:v>45</x:v>
      </x:c>
      <x:c r="L73" s="18" t="n">
        <x:v>55</x:v>
      </x:c>
      <x:c r="M73" s="18" t="n">
        <x:v>45</x:v>
      </x:c>
      <x:c r="N73" s="18" t="n">
        <x:v>35</x:v>
      </x:c>
      <x:c r="O73" s="18" t="n">
        <x:v>44</x:v>
      </x:c>
      <x:c r="P73" s="18" t="n">
        <x:v>59</x:v>
      </x:c>
      <x:c r="Q73" t="str">
        <x:v>No</x:v>
      </x:c>
      <x:c r="R73" s="18" t="n">
        <x:v>6</x:v>
      </x:c>
      <x:c r="S73" s="18" t="n">
        <x:v>6</x:v>
      </x:c>
      <x:c r="T73" s="18" t="n">
        <x:v>0</x:v>
      </x:c>
      <x:c r="U73" t="str">
        <x:v>Bad</x:v>
      </x:c>
      <x:c r="V73" t="str">
        <x:v>No</x:v>
      </x:c>
      <x:c r="W73" t="str">
        <x:v>WEAK</x:v>
      </x:c>
      <x:c r="X73" t="str">
        <x:v>REWRITE_REQUIRED</x:v>
      </x:c>
      <x:c r="Y73" t="n">
        <x:v>80</x:v>
      </x:c>
      <x:c r="Z73" t="str">
        <x:v>Success</x:v>
      </x:c>
      <x:c r="AA73"/>
      <x:c r="AB73"/>
      <x:c r="AC73" s="13"/>
      <x:c r="AD73" t="n">
        <x:v>0</x:v>
      </x:c>
      <x:c r="AE73" s="19" t="n">
        <x:v>73705</x:v>
      </x:c>
      <x:c r="AF73" t="str">
        <x:v>deepseek-v4-pro</x:v>
      </x:c>
      <x:c r="AG73" s="20" t="n">
        <x:v>46231.17110315972</x:v>
      </x:c>
      <x:c r="AH73" t="n">
        <x:v>200</x:v>
      </x:c>
      <x:c r="AI73" t="str">
        <x:v>1f910f94681d72fb9163a659a9713bf8c62796d9db0f96a460080ebae0fc86d4</x:v>
      </x:c>
      <x:c r="AJ73" t="str">
        <x:v>b6aedb528c13fd641180bb42aa44cac60cfc21ad2ed4fb6c6f4c7b2e37cf2fdf</x:v>
      </x:c>
    </x:row>
    <x:row r="74">
      <x:c r="A74" s="17" t="str">
        <x:v>073</x:v>
      </x:c>
      <x:c r="B74" t="str">
        <x:v>ZH-NORMAL-013</x:v>
      </x:c>
      <x:c r="C74" s="17" t="str">
        <x:v>013</x:v>
      </x:c>
      <x:c r="D74" t="str">
        <x:v>Normal</x:v>
      </x:c>
      <x:c r="E74" t="n">
        <x:v>50</x:v>
      </x:c>
      <x:c r="F74" t="n">
        <x:v>69</x:v>
      </x:c>
      <x:c r="G74" t="n">
        <x:v>1</x:v>
      </x:c>
      <x:c r="H74" s="18" t="n">
        <x:v>45</x:v>
      </x:c>
      <x:c r="I74" s="18" t="n">
        <x:v>52</x:v>
      </x:c>
      <x:c r="J74" s="18" t="n">
        <x:v>38</x:v>
      </x:c>
      <x:c r="K74" s="18" t="n">
        <x:v>48</x:v>
      </x:c>
      <x:c r="L74" s="18" t="n">
        <x:v>45</x:v>
      </x:c>
      <x:c r="M74" s="18" t="n">
        <x:v>40</x:v>
      </x:c>
      <x:c r="N74" s="18" t="n">
        <x:v>42</x:v>
      </x:c>
      <x:c r="O74" s="18" t="n">
        <x:v>45</x:v>
      </x:c>
      <x:c r="P74" s="18" t="n">
        <x:v>59</x:v>
      </x:c>
      <x:c r="Q74" t="str">
        <x:v>No</x:v>
      </x:c>
      <x:c r="R74" s="18" t="n">
        <x:v>5</x:v>
      </x:c>
      <x:c r="S74" s="18" t="n">
        <x:v>5</x:v>
      </x:c>
      <x:c r="T74" s="18" t="n">
        <x:v>0</x:v>
      </x:c>
      <x:c r="U74" t="str">
        <x:v>Bad</x:v>
      </x:c>
      <x:c r="V74" t="str">
        <x:v>No</x:v>
      </x:c>
      <x:c r="W74" t="str">
        <x:v>WEAK</x:v>
      </x:c>
      <x:c r="X74" t="str">
        <x:v>REWRITE_REQUIRED</x:v>
      </x:c>
      <x:c r="Y74" t="n">
        <x:v>80</x:v>
      </x:c>
      <x:c r="Z74" t="str">
        <x:v>Success</x:v>
      </x:c>
      <x:c r="AA74"/>
      <x:c r="AB74"/>
      <x:c r="AC74" s="13"/>
      <x:c r="AD74" t="n">
        <x:v>0</x:v>
      </x:c>
      <x:c r="AE74" s="19" t="n">
        <x:v>57757</x:v>
      </x:c>
      <x:c r="AF74" t="str">
        <x:v>deepseek-v4-pro</x:v>
      </x:c>
      <x:c r="AG74" s="20" t="n">
        <x:v>46231.17177166667</x:v>
      </x:c>
      <x:c r="AH74" t="n">
        <x:v>200</x:v>
      </x:c>
      <x:c r="AI74" t="str">
        <x:v>04e97220d1bf689e20a8bdba6cf93a7b5a4880df40fb969d55c4f3331b1df92d</x:v>
      </x:c>
      <x:c r="AJ74" t="str">
        <x:v>b6aedb528c13fd641180bb42aa44cac60cfc21ad2ed4fb6c6f4c7b2e37cf2fdf</x:v>
      </x:c>
    </x:row>
    <x:row r="75">
      <x:c r="A75" s="17" t="str">
        <x:v>074</x:v>
      </x:c>
      <x:c r="B75" t="str">
        <x:v>ZH-NORMAL-014</x:v>
      </x:c>
      <x:c r="C75" s="17" t="str">
        <x:v>014</x:v>
      </x:c>
      <x:c r="D75" t="str">
        <x:v>Normal</x:v>
      </x:c>
      <x:c r="E75" t="n">
        <x:v>50</x:v>
      </x:c>
      <x:c r="F75" t="n">
        <x:v>69</x:v>
      </x:c>
      <x:c r="G75" t="n">
        <x:v>1</x:v>
      </x:c>
      <x:c r="H75" s="18" t="n">
        <x:v>43</x:v>
      </x:c>
      <x:c r="I75" s="18" t="n">
        <x:v>45</x:v>
      </x:c>
      <x:c r="J75" s="18" t="n">
        <x:v>30</x:v>
      </x:c>
      <x:c r="K75" s="18" t="n">
        <x:v>45</x:v>
      </x:c>
      <x:c r="L75" s="18" t="n">
        <x:v>55</x:v>
      </x:c>
      <x:c r="M75" s="18" t="n">
        <x:v>40</x:v>
      </x:c>
      <x:c r="N75" s="18" t="n">
        <x:v>45</x:v>
      </x:c>
      <x:c r="O75" s="18" t="n">
        <x:v>43</x:v>
      </x:c>
      <x:c r="P75" s="18" t="n">
        <x:v>59</x:v>
      </x:c>
      <x:c r="Q75" t="str">
        <x:v>No</x:v>
      </x:c>
      <x:c r="R75" s="18" t="n">
        <x:v>7</x:v>
      </x:c>
      <x:c r="S75" s="18" t="n">
        <x:v>7</x:v>
      </x:c>
      <x:c r="T75" s="18" t="n">
        <x:v>0</x:v>
      </x:c>
      <x:c r="U75" t="str">
        <x:v>Bad</x:v>
      </x:c>
      <x:c r="V75" t="str">
        <x:v>No</x:v>
      </x:c>
      <x:c r="W75" t="str">
        <x:v>WEAK</x:v>
      </x:c>
      <x:c r="X75" t="str">
        <x:v>REWRITE_REQUIRED</x:v>
      </x:c>
      <x:c r="Y75" t="n">
        <x:v>80</x:v>
      </x:c>
      <x:c r="Z75" t="str">
        <x:v>Success</x:v>
      </x:c>
      <x:c r="AA75"/>
      <x:c r="AB75"/>
      <x:c r="AC75" s="13"/>
      <x:c r="AD75" t="n">
        <x:v>0</x:v>
      </x:c>
      <x:c r="AE75" s="19" t="n">
        <x:v>54536</x:v>
      </x:c>
      <x:c r="AF75" t="str">
        <x:v>deepseek-v4-pro</x:v>
      </x:c>
      <x:c r="AG75" s="20" t="n">
        <x:v>46231.172402881944</x:v>
      </x:c>
      <x:c r="AH75" t="n">
        <x:v>200</x:v>
      </x:c>
      <x:c r="AI75" t="str">
        <x:v>5c8f4f2db2b18022f3fdf89591dfc9f46b42fe17e8abb10b474f181d5ee44ffd</x:v>
      </x:c>
      <x:c r="AJ75" t="str">
        <x:v>b6aedb528c13fd641180bb42aa44cac60cfc21ad2ed4fb6c6f4c7b2e37cf2fdf</x:v>
      </x:c>
    </x:row>
    <x:row r="76">
      <x:c r="A76" s="17" t="str">
        <x:v>075</x:v>
      </x:c>
      <x:c r="B76" t="str">
        <x:v>ZH-NORMAL-015</x:v>
      </x:c>
      <x:c r="C76" s="17" t="str">
        <x:v>015</x:v>
      </x:c>
      <x:c r="D76" t="str">
        <x:v>Normal</x:v>
      </x:c>
      <x:c r="E76" t="n">
        <x:v>50</x:v>
      </x:c>
      <x:c r="F76" t="n">
        <x:v>69</x:v>
      </x:c>
      <x:c r="G76" t="n">
        <x:v>1</x:v>
      </x:c>
      <x:c r="H76" s="18" t="n">
        <x:v>54</x:v>
      </x:c>
      <x:c r="I76" s="18" t="n">
        <x:v>58</x:v>
      </x:c>
      <x:c r="J76" s="18" t="n">
        <x:v>40</x:v>
      </x:c>
      <x:c r="K76" s="18" t="n">
        <x:v>55</x:v>
      </x:c>
      <x:c r="L76" s="18" t="n">
        <x:v>60</x:v>
      </x:c>
      <x:c r="M76" s="18" t="n">
        <x:v>58</x:v>
      </x:c>
      <x:c r="N76" s="18" t="n">
        <x:v>55</x:v>
      </x:c>
      <x:c r="O76" s="18" t="n">
        <x:v>54</x:v>
      </x:c>
      <x:c r="P76" s="18" t="n">
        <x:v>59</x:v>
      </x:c>
      <x:c r="Q76" t="str">
        <x:v>Yes</x:v>
      </x:c>
      <x:c r="R76" s="18" t="n">
        <x:v>0</x:v>
      </x:c>
      <x:c r="S76" s="18" t="n">
        <x:v>0</x:v>
      </x:c>
      <x:c r="T76" s="18" t="n">
        <x:v>0</x:v>
      </x:c>
      <x:c r="U76" t="str">
        <x:v>Normal</x:v>
      </x:c>
      <x:c r="V76" t="str">
        <x:v>Yes</x:v>
      </x:c>
      <x:c r="W76" t="str">
        <x:v>WEAK</x:v>
      </x:c>
      <x:c r="X76" t="str">
        <x:v>REWRITE_REQUIRED</x:v>
      </x:c>
      <x:c r="Y76" t="n">
        <x:v>80</x:v>
      </x:c>
      <x:c r="Z76" t="str">
        <x:v>Success</x:v>
      </x:c>
      <x:c r="AA76"/>
      <x:c r="AB76"/>
      <x:c r="AC76" s="13"/>
      <x:c r="AD76" t="n">
        <x:v>0</x:v>
      </x:c>
      <x:c r="AE76" s="19" t="n">
        <x:v>64482</x:v>
      </x:c>
      <x:c r="AF76" t="str">
        <x:v>deepseek-v4-pro</x:v>
      </x:c>
      <x:c r="AG76" s="20" t="n">
        <x:v>46231.17314921296</x:v>
      </x:c>
      <x:c r="AH76" t="n">
        <x:v>200</x:v>
      </x:c>
      <x:c r="AI76" t="str">
        <x:v>92186082066c162132281a7699df6a358bed23e2ead0d35006765a231ea3772c</x:v>
      </x:c>
      <x:c r="AJ76" t="str">
        <x:v>b6aedb528c13fd641180bb42aa44cac60cfc21ad2ed4fb6c6f4c7b2e37cf2fdf</x:v>
      </x:c>
    </x:row>
    <x:row r="77">
      <x:c r="A77" s="17" t="str">
        <x:v>076</x:v>
      </x:c>
      <x:c r="B77" t="str">
        <x:v>ZH-NORMAL-016</x:v>
      </x:c>
      <x:c r="C77" s="17" t="str">
        <x:v>016</x:v>
      </x:c>
      <x:c r="D77" t="str">
        <x:v>Normal</x:v>
      </x:c>
      <x:c r="E77" t="n">
        <x:v>50</x:v>
      </x:c>
      <x:c r="F77" t="n">
        <x:v>69</x:v>
      </x:c>
      <x:c r="G77" t="n">
        <x:v>1</x:v>
      </x:c>
      <x:c r="H77" s="18" t="n">
        <x:v>43</x:v>
      </x:c>
      <x:c r="I77" s="18" t="n">
        <x:v>45</x:v>
      </x:c>
      <x:c r="J77" s="18" t="n">
        <x:v>30</x:v>
      </x:c>
      <x:c r="K77" s="18" t="n">
        <x:v>40</x:v>
      </x:c>
      <x:c r="L77" s="18" t="n">
        <x:v>50</x:v>
      </x:c>
      <x:c r="M77" s="18" t="n">
        <x:v>45</x:v>
      </x:c>
      <x:c r="N77" s="18" t="n">
        <x:v>50</x:v>
      </x:c>
      <x:c r="O77" s="18" t="n">
        <x:v>43</x:v>
      </x:c>
      <x:c r="P77" s="18" t="n">
        <x:v>59</x:v>
      </x:c>
      <x:c r="Q77" t="str">
        <x:v>No</x:v>
      </x:c>
      <x:c r="R77" s="18" t="n">
        <x:v>7</x:v>
      </x:c>
      <x:c r="S77" s="18" t="n">
        <x:v>7</x:v>
      </x:c>
      <x:c r="T77" s="18" t="n">
        <x:v>0</x:v>
      </x:c>
      <x:c r="U77" t="str">
        <x:v>Bad</x:v>
      </x:c>
      <x:c r="V77" t="str">
        <x:v>No</x:v>
      </x:c>
      <x:c r="W77" t="str">
        <x:v>WEAK</x:v>
      </x:c>
      <x:c r="X77" t="str">
        <x:v>REWRITE_REQUIRED</x:v>
      </x:c>
      <x:c r="Y77" t="n">
        <x:v>80</x:v>
      </x:c>
      <x:c r="Z77" t="str">
        <x:v>Success</x:v>
      </x:c>
      <x:c r="AA77"/>
      <x:c r="AB77"/>
      <x:c r="AC77" s="13"/>
      <x:c r="AD77" t="n">
        <x:v>0</x:v>
      </x:c>
      <x:c r="AE77" s="19" t="n">
        <x:v>51472</x:v>
      </x:c>
      <x:c r="AF77" t="str">
        <x:v>deepseek-v4-pro</x:v>
      </x:c>
      <x:c r="AG77" s="20" t="n">
        <x:v>46231.173745011576</x:v>
      </x:c>
      <x:c r="AH77" t="n">
        <x:v>200</x:v>
      </x:c>
      <x:c r="AI77" t="str">
        <x:v>d234d01a05bb985ff1e9ec73baf50ab27feb6bc6340d65d17c27be1b0744f7f3</x:v>
      </x:c>
      <x:c r="AJ77" t="str">
        <x:v>b6aedb528c13fd641180bb42aa44cac60cfc21ad2ed4fb6c6f4c7b2e37cf2fdf</x:v>
      </x:c>
    </x:row>
    <x:row r="78">
      <x:c r="A78" s="17" t="str">
        <x:v>077</x:v>
      </x:c>
      <x:c r="B78" t="str">
        <x:v>ZH-NORMAL-017</x:v>
      </x:c>
      <x:c r="C78" s="17" t="str">
        <x:v>017</x:v>
      </x:c>
      <x:c r="D78" t="str">
        <x:v>Normal</x:v>
      </x:c>
      <x:c r="E78" t="n">
        <x:v>50</x:v>
      </x:c>
      <x:c r="F78" t="n">
        <x:v>69</x:v>
      </x:c>
      <x:c r="G78" t="n">
        <x:v>1</x:v>
      </x:c>
      <x:c r="H78" s="18" t="n">
        <x:v>47</x:v>
      </x:c>
      <x:c r="I78" s="18" t="n">
        <x:v>55</x:v>
      </x:c>
      <x:c r="J78" s="18" t="n">
        <x:v>35</x:v>
      </x:c>
      <x:c r="K78" s="18" t="n">
        <x:v>50</x:v>
      </x:c>
      <x:c r="L78" s="18" t="n">
        <x:v>40</x:v>
      </x:c>
      <x:c r="M78" s="18" t="n">
        <x:v>45</x:v>
      </x:c>
      <x:c r="N78" s="18" t="n">
        <x:v>60</x:v>
      </x:c>
      <x:c r="O78" s="18" t="n">
        <x:v>47</x:v>
      </x:c>
      <x:c r="P78" s="18" t="n">
        <x:v>59</x:v>
      </x:c>
      <x:c r="Q78" t="str">
        <x:v>No</x:v>
      </x:c>
      <x:c r="R78" s="18" t="n">
        <x:v>3</x:v>
      </x:c>
      <x:c r="S78" s="18" t="n">
        <x:v>3</x:v>
      </x:c>
      <x:c r="T78" s="18" t="n">
        <x:v>0</x:v>
      </x:c>
      <x:c r="U78" t="str">
        <x:v>Bad</x:v>
      </x:c>
      <x:c r="V78" t="str">
        <x:v>No</x:v>
      </x:c>
      <x:c r="W78" t="str">
        <x:v>WEAK</x:v>
      </x:c>
      <x:c r="X78" t="str">
        <x:v>REWRITE_REQUIRED</x:v>
      </x:c>
      <x:c r="Y78" t="n">
        <x:v>80</x:v>
      </x:c>
      <x:c r="Z78" t="str">
        <x:v>Success</x:v>
      </x:c>
      <x:c r="AA78"/>
      <x:c r="AB78"/>
      <x:c r="AC78" s="13"/>
      <x:c r="AD78" t="n">
        <x:v>0</x:v>
      </x:c>
      <x:c r="AE78" s="19" t="n">
        <x:v>39837</x:v>
      </x:c>
      <x:c r="AF78" t="str">
        <x:v>deepseek-v4-pro</x:v>
      </x:c>
      <x:c r="AG78" s="20" t="n">
        <x:v>46231.17420612268</x:v>
      </x:c>
      <x:c r="AH78" t="n">
        <x:v>200</x:v>
      </x:c>
      <x:c r="AI78" t="str">
        <x:v>124b6db6579611e22ee8b4b16f49409b3b6d9151f9bc960d8345a28dbdc4db53</x:v>
      </x:c>
      <x:c r="AJ78" t="str">
        <x:v>b6aedb528c13fd641180bb42aa44cac60cfc21ad2ed4fb6c6f4c7b2e37cf2fdf</x:v>
      </x:c>
    </x:row>
    <x:row r="79">
      <x:c r="A79" s="17" t="str">
        <x:v>078</x:v>
      </x:c>
      <x:c r="B79" t="str">
        <x:v>ZH-NORMAL-018</x:v>
      </x:c>
      <x:c r="C79" s="17" t="str">
        <x:v>018</x:v>
      </x:c>
      <x:c r="D79" t="str">
        <x:v>Normal</x:v>
      </x:c>
      <x:c r="E79" t="n">
        <x:v>50</x:v>
      </x:c>
      <x:c r="F79" t="n">
        <x:v>69</x:v>
      </x:c>
      <x:c r="G79" t="n">
        <x:v>1</x:v>
      </x:c>
      <x:c r="H79" s="18" t="n">
        <x:v>56</x:v>
      </x:c>
      <x:c r="I79" s="18" t="n">
        <x:v>70</x:v>
      </x:c>
      <x:c r="J79" s="18" t="n">
        <x:v>45</x:v>
      </x:c>
      <x:c r="K79" s="18" t="n">
        <x:v>50</x:v>
      </x:c>
      <x:c r="L79" s="18" t="n">
        <x:v>45</x:v>
      </x:c>
      <x:c r="M79" s="18" t="n">
        <x:v>60</x:v>
      </x:c>
      <x:c r="N79" s="18" t="n">
        <x:v>65</x:v>
      </x:c>
      <x:c r="O79" s="18" t="n">
        <x:v>56</x:v>
      </x:c>
      <x:c r="P79" s="18" t="n">
        <x:v>59</x:v>
      </x:c>
      <x:c r="Q79" t="str">
        <x:v>Yes</x:v>
      </x:c>
      <x:c r="R79" s="18" t="n">
        <x:v>0</x:v>
      </x:c>
      <x:c r="S79" s="18" t="n">
        <x:v>0</x:v>
      </x:c>
      <x:c r="T79" s="18" t="n">
        <x:v>0</x:v>
      </x:c>
      <x:c r="U79" t="str">
        <x:v>Normal</x:v>
      </x:c>
      <x:c r="V79" t="str">
        <x:v>Yes</x:v>
      </x:c>
      <x:c r="W79" t="str">
        <x:v>WEAK</x:v>
      </x:c>
      <x:c r="X79" t="str">
        <x:v>REWRITE_REQUIRED</x:v>
      </x:c>
      <x:c r="Y79" t="n">
        <x:v>80</x:v>
      </x:c>
      <x:c r="Z79" t="str">
        <x:v>Success</x:v>
      </x:c>
      <x:c r="AA79"/>
      <x:c r="AB79"/>
      <x:c r="AC79" s="13"/>
      <x:c r="AD79" t="n">
        <x:v>0</x:v>
      </x:c>
      <x:c r="AE79" s="19" t="n">
        <x:v>64759</x:v>
      </x:c>
      <x:c r="AF79" t="str">
        <x:v>deepseek-v4-pro</x:v>
      </x:c>
      <x:c r="AG79" s="20" t="n">
        <x:v>46231.1749556713</x:v>
      </x:c>
      <x:c r="AH79" t="n">
        <x:v>200</x:v>
      </x:c>
      <x:c r="AI79" t="str">
        <x:v>04721eb7fa5ee90a61310fe923558cbe09861c6702cf844c4b2a91321ffc7aea</x:v>
      </x:c>
      <x:c r="AJ79" t="str">
        <x:v>b6aedb528c13fd641180bb42aa44cac60cfc21ad2ed4fb6c6f4c7b2e37cf2fdf</x:v>
      </x:c>
    </x:row>
    <x:row r="80">
      <x:c r="A80" s="17" t="str">
        <x:v>079</x:v>
      </x:c>
      <x:c r="B80" t="str">
        <x:v>ZH-NORMAL-019</x:v>
      </x:c>
      <x:c r="C80" s="17" t="str">
        <x:v>019</x:v>
      </x:c>
      <x:c r="D80" t="str">
        <x:v>Normal</x:v>
      </x:c>
      <x:c r="E80" t="n">
        <x:v>50</x:v>
      </x:c>
      <x:c r="F80" t="n">
        <x:v>69</x:v>
      </x:c>
      <x:c r="G80" t="n">
        <x:v>1</x:v>
      </x:c>
      <x:c r="H80" s="18" t="n">
        <x:v>31</x:v>
      </x:c>
      <x:c r="I80" s="18" t="n">
        <x:v>40</x:v>
      </x:c>
      <x:c r="J80" s="18" t="n">
        <x:v>20</x:v>
      </x:c>
      <x:c r="K80" s="18" t="n">
        <x:v>30</x:v>
      </x:c>
      <x:c r="L80" s="18" t="n">
        <x:v>25</x:v>
      </x:c>
      <x:c r="M80" s="18" t="n">
        <x:v>30</x:v>
      </x:c>
      <x:c r="N80" s="18" t="n">
        <x:v>40</x:v>
      </x:c>
      <x:c r="O80" s="18" t="n">
        <x:v>31</x:v>
      </x:c>
      <x:c r="P80" s="18" t="n">
        <x:v>59</x:v>
      </x:c>
      <x:c r="Q80" t="str">
        <x:v>No</x:v>
      </x:c>
      <x:c r="R80" s="18" t="n">
        <x:v>19</x:v>
      </x:c>
      <x:c r="S80" s="18" t="n">
        <x:v>19</x:v>
      </x:c>
      <x:c r="T80" s="18" t="n">
        <x:v>0</x:v>
      </x:c>
      <x:c r="U80" t="str">
        <x:v>Bad</x:v>
      </x:c>
      <x:c r="V80" t="str">
        <x:v>No</x:v>
      </x:c>
      <x:c r="W80" t="str">
        <x:v>SEVERELY_DEFICIENT</x:v>
      </x:c>
      <x:c r="X80" t="str">
        <x:v>REWRITE_REQUIRED</x:v>
      </x:c>
      <x:c r="Y80" t="n">
        <x:v>80</x:v>
      </x:c>
      <x:c r="Z80" t="str">
        <x:v>Success</x:v>
      </x:c>
      <x:c r="AA80"/>
      <x:c r="AB80"/>
      <x:c r="AC80" s="13"/>
      <x:c r="AD80" t="n">
        <x:v>0</x:v>
      </x:c>
      <x:c r="AE80" s="19" t="n">
        <x:v>58709</x:v>
      </x:c>
      <x:c r="AF80" t="str">
        <x:v>deepseek-v4-pro</x:v>
      </x:c>
      <x:c r="AG80" s="20" t="n">
        <x:v>46231.17563520833</x:v>
      </x:c>
      <x:c r="AH80" t="n">
        <x:v>200</x:v>
      </x:c>
      <x:c r="AI80" t="str">
        <x:v>c378310661f8ffbced5d684d06c1407238ef6e307e4836784cce3cab793141cb</x:v>
      </x:c>
      <x:c r="AJ80" t="str">
        <x:v>b6aedb528c13fd641180bb42aa44cac60cfc21ad2ed4fb6c6f4c7b2e37cf2fdf</x:v>
      </x:c>
    </x:row>
    <x:row r="81">
      <x:c r="A81" s="17" t="str">
        <x:v>080</x:v>
      </x:c>
      <x:c r="B81" t="str">
        <x:v>ZH-NORMAL-020</x:v>
      </x:c>
      <x:c r="C81" s="17" t="str">
        <x:v>020</x:v>
      </x:c>
      <x:c r="D81" t="str">
        <x:v>Normal</x:v>
      </x:c>
      <x:c r="E81" t="n">
        <x:v>50</x:v>
      </x:c>
      <x:c r="F81" t="n">
        <x:v>69</x:v>
      </x:c>
      <x:c r="G81" t="n">
        <x:v>1</x:v>
      </x:c>
      <x:c r="H81" s="18" t="n">
        <x:v>46</x:v>
      </x:c>
      <x:c r="I81" s="18" t="n">
        <x:v>70</x:v>
      </x:c>
      <x:c r="J81" s="18" t="n">
        <x:v>35</x:v>
      </x:c>
      <x:c r="K81" s="18" t="n">
        <x:v>35</x:v>
      </x:c>
      <x:c r="L81" s="18" t="n">
        <x:v>35</x:v>
      </x:c>
      <x:c r="M81" s="18" t="n">
        <x:v>40</x:v>
      </x:c>
      <x:c r="N81" s="18" t="n">
        <x:v>45</x:v>
      </x:c>
      <x:c r="O81" s="18" t="n">
        <x:v>46</x:v>
      </x:c>
      <x:c r="P81" s="18" t="n">
        <x:v>59</x:v>
      </x:c>
      <x:c r="Q81" t="str">
        <x:v>No</x:v>
      </x:c>
      <x:c r="R81" s="18" t="n">
        <x:v>4</x:v>
      </x:c>
      <x:c r="S81" s="18" t="n">
        <x:v>4</x:v>
      </x:c>
      <x:c r="T81" s="18" t="n">
        <x:v>0</x:v>
      </x:c>
      <x:c r="U81" t="str">
        <x:v>Bad</x:v>
      </x:c>
      <x:c r="V81" t="str">
        <x:v>No</x:v>
      </x:c>
      <x:c r="W81" t="str">
        <x:v>WEAK</x:v>
      </x:c>
      <x:c r="X81" t="str">
        <x:v>REWRITE_REQUIRED</x:v>
      </x:c>
      <x:c r="Y81" t="n">
        <x:v>80</x:v>
      </x:c>
      <x:c r="Z81" t="str">
        <x:v>Success</x:v>
      </x:c>
      <x:c r="AA81"/>
      <x:c r="AB81"/>
      <x:c r="AC81" s="13"/>
      <x:c r="AD81" t="n">
        <x:v>0</x:v>
      </x:c>
      <x:c r="AE81" s="19" t="n">
        <x:v>75443</x:v>
      </x:c>
      <x:c r="AF81" t="str">
        <x:v>deepseek-v4-pro</x:v>
      </x:c>
      <x:c r="AG81" s="20" t="n">
        <x:v>46231.17650840278</x:v>
      </x:c>
      <x:c r="AH81" t="n">
        <x:v>200</x:v>
      </x:c>
      <x:c r="AI81" t="str">
        <x:v>4adcc1834e9dc4b340f68b55429d4d3112b4ce37772bd44a5ebd1a740f95c30f</x:v>
      </x:c>
      <x:c r="AJ81" t="str">
        <x:v>b6aedb528c13fd641180bb42aa44cac60cfc21ad2ed4fb6c6f4c7b2e37cf2fdf</x:v>
      </x:c>
    </x:row>
    <x:row r="82">
      <x:c r="A82" s="17" t="str">
        <x:v>081</x:v>
      </x:c>
      <x:c r="B82" t="str">
        <x:v>ZH-NORMAL-021</x:v>
      </x:c>
      <x:c r="C82" s="17" t="str">
        <x:v>021</x:v>
      </x:c>
      <x:c r="D82" t="str">
        <x:v>Normal</x:v>
      </x:c>
      <x:c r="E82" t="n">
        <x:v>50</x:v>
      </x:c>
      <x:c r="F82" t="n">
        <x:v>69</x:v>
      </x:c>
      <x:c r="G82" t="n">
        <x:v>1</x:v>
      </x:c>
      <x:c r="H82" s="18" t="n">
        <x:v>37</x:v>
      </x:c>
      <x:c r="I82" s="18" t="n">
        <x:v>48</x:v>
      </x:c>
      <x:c r="J82" s="18" t="n">
        <x:v>25</x:v>
      </x:c>
      <x:c r="K82" s="18" t="n">
        <x:v>40</x:v>
      </x:c>
      <x:c r="L82" s="18" t="n">
        <x:v>35</x:v>
      </x:c>
      <x:c r="M82" s="18" t="n">
        <x:v>30</x:v>
      </x:c>
      <x:c r="N82" s="18" t="n">
        <x:v>40</x:v>
      </x:c>
      <x:c r="O82" s="18" t="n">
        <x:v>37</x:v>
      </x:c>
      <x:c r="P82" s="18" t="n">
        <x:v>59</x:v>
      </x:c>
      <x:c r="Q82" t="str">
        <x:v>No</x:v>
      </x:c>
      <x:c r="R82" s="18" t="n">
        <x:v>13</x:v>
      </x:c>
      <x:c r="S82" s="18" t="n">
        <x:v>13</x:v>
      </x:c>
      <x:c r="T82" s="18" t="n">
        <x:v>0</x:v>
      </x:c>
      <x:c r="U82" t="str">
        <x:v>Bad</x:v>
      </x:c>
      <x:c r="V82" t="str">
        <x:v>No</x:v>
      </x:c>
      <x:c r="W82" t="str">
        <x:v>SEVERELY_DEFICIENT</x:v>
      </x:c>
      <x:c r="X82" t="str">
        <x:v>REWRITE_REQUIRED</x:v>
      </x:c>
      <x:c r="Y82" t="n">
        <x:v>80</x:v>
      </x:c>
      <x:c r="Z82" t="str">
        <x:v>Success</x:v>
      </x:c>
      <x:c r="AA82"/>
      <x:c r="AB82"/>
      <x:c r="AC82" s="13"/>
      <x:c r="AD82" t="n">
        <x:v>0</x:v>
      </x:c>
      <x:c r="AE82" s="19" t="n">
        <x:v>51204</x:v>
      </x:c>
      <x:c r="AF82" t="str">
        <x:v>deepseek-v4-pro</x:v>
      </x:c>
      <x:c r="AG82" s="20" t="n">
        <x:v>46231.17710113426</x:v>
      </x:c>
      <x:c r="AH82" t="n">
        <x:v>200</x:v>
      </x:c>
      <x:c r="AI82" t="str">
        <x:v>1f1002c53a86cc371844da689c0198c3037885c1beda92a22d652ed734a8ee89</x:v>
      </x:c>
      <x:c r="AJ82" t="str">
        <x:v>b6aedb528c13fd641180bb42aa44cac60cfc21ad2ed4fb6c6f4c7b2e37cf2fdf</x:v>
      </x:c>
    </x:row>
    <x:row r="83">
      <x:c r="A83" s="17" t="str">
        <x:v>082</x:v>
      </x:c>
      <x:c r="B83" t="str">
        <x:v>ZH-NORMAL-022</x:v>
      </x:c>
      <x:c r="C83" s="17" t="str">
        <x:v>022</x:v>
      </x:c>
      <x:c r="D83" t="str">
        <x:v>Normal</x:v>
      </x:c>
      <x:c r="E83" t="n">
        <x:v>50</x:v>
      </x:c>
      <x:c r="F83" t="n">
        <x:v>69</x:v>
      </x:c>
      <x:c r="G83" t="n">
        <x:v>1</x:v>
      </x:c>
      <x:c r="H83" s="18" t="n">
        <x:v>44</x:v>
      </x:c>
      <x:c r="I83" s="18" t="n">
        <x:v>45</x:v>
      </x:c>
      <x:c r="J83" s="18" t="n">
        <x:v>30</x:v>
      </x:c>
      <x:c r="K83" s="18" t="n">
        <x:v>45</x:v>
      </x:c>
      <x:c r="L83" s="18" t="n">
        <x:v>60</x:v>
      </x:c>
      <x:c r="M83" s="18" t="n">
        <x:v>45</x:v>
      </x:c>
      <x:c r="N83" s="18" t="n">
        <x:v>45</x:v>
      </x:c>
      <x:c r="O83" s="18" t="n">
        <x:v>44</x:v>
      </x:c>
      <x:c r="P83" s="18" t="n">
        <x:v>59</x:v>
      </x:c>
      <x:c r="Q83" t="str">
        <x:v>No</x:v>
      </x:c>
      <x:c r="R83" s="18" t="n">
        <x:v>6</x:v>
      </x:c>
      <x:c r="S83" s="18" t="n">
        <x:v>6</x:v>
      </x:c>
      <x:c r="T83" s="18" t="n">
        <x:v>0</x:v>
      </x:c>
      <x:c r="U83" t="str">
        <x:v>Bad</x:v>
      </x:c>
      <x:c r="V83" t="str">
        <x:v>No</x:v>
      </x:c>
      <x:c r="W83" t="str">
        <x:v>WEAK</x:v>
      </x:c>
      <x:c r="X83" t="str">
        <x:v>REWRITE_REQUIRED</x:v>
      </x:c>
      <x:c r="Y83" t="n">
        <x:v>80</x:v>
      </x:c>
      <x:c r="Z83" t="str">
        <x:v>Success</x:v>
      </x:c>
      <x:c r="AA83"/>
      <x:c r="AB83"/>
      <x:c r="AC83" s="13"/>
      <x:c r="AD83" t="n">
        <x:v>0</x:v>
      </x:c>
      <x:c r="AE83" s="19" t="n">
        <x:v>54592</x:v>
      </x:c>
      <x:c r="AF83" t="str">
        <x:v>deepseek-v4-pro</x:v>
      </x:c>
      <x:c r="AG83" s="20" t="n">
        <x:v>46231.17773300926</x:v>
      </x:c>
      <x:c r="AH83" t="n">
        <x:v>200</x:v>
      </x:c>
      <x:c r="AI83" t="str">
        <x:v>8301a4d5f8562d8232f3162e9b896fb5b6fe2e5badf9f3a05f8bc44ffb199779</x:v>
      </x:c>
      <x:c r="AJ83" t="str">
        <x:v>b6aedb528c13fd641180bb42aa44cac60cfc21ad2ed4fb6c6f4c7b2e37cf2fdf</x:v>
      </x:c>
    </x:row>
    <x:row r="84">
      <x:c r="A84" s="17" t="str">
        <x:v>083</x:v>
      </x:c>
      <x:c r="B84" t="str">
        <x:v>ZH-NORMAL-023</x:v>
      </x:c>
      <x:c r="C84" s="17" t="str">
        <x:v>023</x:v>
      </x:c>
      <x:c r="D84" t="str">
        <x:v>Normal</x:v>
      </x:c>
      <x:c r="E84" t="n">
        <x:v>50</x:v>
      </x:c>
      <x:c r="F84" t="n">
        <x:v>69</x:v>
      </x:c>
      <x:c r="G84" t="n">
        <x:v>1</x:v>
      </x:c>
      <x:c r="H84" s="18" t="n">
        <x:v>39</x:v>
      </x:c>
      <x:c r="I84" s="18" t="n">
        <x:v>45</x:v>
      </x:c>
      <x:c r="J84" s="18" t="n">
        <x:v>30</x:v>
      </x:c>
      <x:c r="K84" s="18" t="n">
        <x:v>35</x:v>
      </x:c>
      <x:c r="L84" s="18" t="n">
        <x:v>40</x:v>
      </x:c>
      <x:c r="M84" s="18" t="n">
        <x:v>35</x:v>
      </x:c>
      <x:c r="N84" s="18" t="n">
        <x:v>55</x:v>
      </x:c>
      <x:c r="O84" s="18" t="n">
        <x:v>39</x:v>
      </x:c>
      <x:c r="P84" s="18" t="n">
        <x:v>59</x:v>
      </x:c>
      <x:c r="Q84" t="str">
        <x:v>No</x:v>
      </x:c>
      <x:c r="R84" s="18" t="n">
        <x:v>11</x:v>
      </x:c>
      <x:c r="S84" s="18" t="n">
        <x:v>11</x:v>
      </x:c>
      <x:c r="T84" s="18" t="n">
        <x:v>0</x:v>
      </x:c>
      <x:c r="U84" t="str">
        <x:v>Bad</x:v>
      </x:c>
      <x:c r="V84" t="str">
        <x:v>No</x:v>
      </x:c>
      <x:c r="W84" t="str">
        <x:v>SEVERELY_DEFICIENT</x:v>
      </x:c>
      <x:c r="X84" t="str">
        <x:v>REWRITE_REQUIRED</x:v>
      </x:c>
      <x:c r="Y84" t="n">
        <x:v>80</x:v>
      </x:c>
      <x:c r="Z84" t="str">
        <x:v>Success</x:v>
      </x:c>
      <x:c r="AA84"/>
      <x:c r="AB84"/>
      <x:c r="AC84" s="13"/>
      <x:c r="AD84" t="n">
        <x:v>0</x:v>
      </x:c>
      <x:c r="AE84" s="19" t="n">
        <x:v>69147</x:v>
      </x:c>
      <x:c r="AF84" t="str">
        <x:v>deepseek-v4-pro</x:v>
      </x:c>
      <x:c r="AG84" s="20" t="n">
        <x:v>46231.17853337963</x:v>
      </x:c>
      <x:c r="AH84" t="n">
        <x:v>200</x:v>
      </x:c>
      <x:c r="AI84" t="str">
        <x:v>fba64822664f4dcac1cb1d4cbd7d00d2bbf1cf52e8951258d7df8170961cf070</x:v>
      </x:c>
      <x:c r="AJ84" t="str">
        <x:v>b6aedb528c13fd641180bb42aa44cac60cfc21ad2ed4fb6c6f4c7b2e37cf2fdf</x:v>
      </x:c>
    </x:row>
    <x:row r="85">
      <x:c r="A85" s="17" t="str">
        <x:v>084</x:v>
      </x:c>
      <x:c r="B85" t="str">
        <x:v>ZH-NORMAL-024</x:v>
      </x:c>
      <x:c r="C85" s="17" t="str">
        <x:v>024</x:v>
      </x:c>
      <x:c r="D85" t="str">
        <x:v>Normal</x:v>
      </x:c>
      <x:c r="E85" t="n">
        <x:v>50</x:v>
      </x:c>
      <x:c r="F85" t="n">
        <x:v>69</x:v>
      </x:c>
      <x:c r="G85" t="n">
        <x:v>1</x:v>
      </x:c>
      <x:c r="H85" s="18" t="n">
        <x:v>48</x:v>
      </x:c>
      <x:c r="I85" s="18" t="n">
        <x:v>55</x:v>
      </x:c>
      <x:c r="J85" s="18" t="n">
        <x:v>35</x:v>
      </x:c>
      <x:c r="K85" s="18" t="n">
        <x:v>45</x:v>
      </x:c>
      <x:c r="L85" s="18" t="n">
        <x:v>55</x:v>
      </x:c>
      <x:c r="M85" s="18" t="n">
        <x:v>45</x:v>
      </x:c>
      <x:c r="N85" s="18" t="n">
        <x:v>50</x:v>
      </x:c>
      <x:c r="O85" s="18" t="n">
        <x:v>48</x:v>
      </x:c>
      <x:c r="P85" s="18" t="n">
        <x:v>59</x:v>
      </x:c>
      <x:c r="Q85" t="str">
        <x:v>No</x:v>
      </x:c>
      <x:c r="R85" s="18" t="n">
        <x:v>2</x:v>
      </x:c>
      <x:c r="S85" s="18" t="n">
        <x:v>2</x:v>
      </x:c>
      <x:c r="T85" s="18" t="n">
        <x:v>0</x:v>
      </x:c>
      <x:c r="U85" t="str">
        <x:v>Bad</x:v>
      </x:c>
      <x:c r="V85" t="str">
        <x:v>No</x:v>
      </x:c>
      <x:c r="W85" t="str">
        <x:v>WEAK</x:v>
      </x:c>
      <x:c r="X85" t="str">
        <x:v>REWRITE_REQUIRED</x:v>
      </x:c>
      <x:c r="Y85" t="n">
        <x:v>80</x:v>
      </x:c>
      <x:c r="Z85" t="str">
        <x:v>Success</x:v>
      </x:c>
      <x:c r="AA85"/>
      <x:c r="AB85"/>
      <x:c r="AC85" s="13"/>
      <x:c r="AD85" t="n">
        <x:v>0</x:v>
      </x:c>
      <x:c r="AE85" s="19" t="n">
        <x:v>68396</x:v>
      </x:c>
      <x:c r="AF85" t="str">
        <x:v>deepseek-v4-pro</x:v>
      </x:c>
      <x:c r="AG85" s="20" t="n">
        <x:v>46231.179325034725</x:v>
      </x:c>
      <x:c r="AH85" t="n">
        <x:v>200</x:v>
      </x:c>
      <x:c r="AI85" t="str">
        <x:v>b9db2144d49f6f31d68f38af14cf9744aea849ada92e2d7f4422bb26c8ea2295</x:v>
      </x:c>
      <x:c r="AJ85" t="str">
        <x:v>b6aedb528c13fd641180bb42aa44cac60cfc21ad2ed4fb6c6f4c7b2e37cf2fdf</x:v>
      </x:c>
    </x:row>
    <x:row r="86">
      <x:c r="A86" s="17" t="str">
        <x:v>085</x:v>
      </x:c>
      <x:c r="B86" t="str">
        <x:v>ZH-NORMAL-025</x:v>
      </x:c>
      <x:c r="C86" s="17" t="str">
        <x:v>025</x:v>
      </x:c>
      <x:c r="D86" t="str">
        <x:v>Normal</x:v>
      </x:c>
      <x:c r="E86" t="n">
        <x:v>50</x:v>
      </x:c>
      <x:c r="F86" t="n">
        <x:v>69</x:v>
      </x:c>
      <x:c r="G86" t="n">
        <x:v>1</x:v>
      </x:c>
      <x:c r="H86" s="18" t="n">
        <x:v>45</x:v>
      </x:c>
      <x:c r="I86" s="18" t="n">
        <x:v>50</x:v>
      </x:c>
      <x:c r="J86" s="18" t="n">
        <x:v>35</x:v>
      </x:c>
      <x:c r="K86" s="18" t="n">
        <x:v>45</x:v>
      </x:c>
      <x:c r="L86" s="18" t="n">
        <x:v>55</x:v>
      </x:c>
      <x:c r="M86" s="18" t="n">
        <x:v>40</x:v>
      </x:c>
      <x:c r="N86" s="18" t="n">
        <x:v>40</x:v>
      </x:c>
      <x:c r="O86" s="18" t="n">
        <x:v>45</x:v>
      </x:c>
      <x:c r="P86" s="18" t="n">
        <x:v>59</x:v>
      </x:c>
      <x:c r="Q86" t="str">
        <x:v>No</x:v>
      </x:c>
      <x:c r="R86" s="18" t="n">
        <x:v>5</x:v>
      </x:c>
      <x:c r="S86" s="18" t="n">
        <x:v>5</x:v>
      </x:c>
      <x:c r="T86" s="18" t="n">
        <x:v>0</x:v>
      </x:c>
      <x:c r="U86" t="str">
        <x:v>Bad</x:v>
      </x:c>
      <x:c r="V86" t="str">
        <x:v>No</x:v>
      </x:c>
      <x:c r="W86" t="str">
        <x:v>WEAK</x:v>
      </x:c>
      <x:c r="X86" t="str">
        <x:v>REWRITE_REQUIRED</x:v>
      </x:c>
      <x:c r="Y86" t="n">
        <x:v>80</x:v>
      </x:c>
      <x:c r="Z86" t="str">
        <x:v>Success</x:v>
      </x:c>
      <x:c r="AA86"/>
      <x:c r="AB86"/>
      <x:c r="AC86" s="13"/>
      <x:c r="AD86" t="n">
        <x:v>0</x:v>
      </x:c>
      <x:c r="AE86" s="19" t="n">
        <x:v>61010</x:v>
      </x:c>
      <x:c r="AF86" t="str">
        <x:v>deepseek-v4-pro</x:v>
      </x:c>
      <x:c r="AG86" s="20" t="n">
        <x:v>46231.18003118056</x:v>
      </x:c>
      <x:c r="AH86" t="n">
        <x:v>200</x:v>
      </x:c>
      <x:c r="AI86" t="str">
        <x:v>9552652a18c9342a1011ef85fe6055e9d2ea18751ac34ff1af1323ffe32143e4</x:v>
      </x:c>
      <x:c r="AJ86" t="str">
        <x:v>b6aedb528c13fd641180bb42aa44cac60cfc21ad2ed4fb6c6f4c7b2e37cf2fdf</x:v>
      </x:c>
    </x:row>
    <x:row r="87">
      <x:c r="A87" s="17" t="str">
        <x:v>086</x:v>
      </x:c>
      <x:c r="B87" t="str">
        <x:v>ZH-NORMAL-026</x:v>
      </x:c>
      <x:c r="C87" s="17" t="str">
        <x:v>026</x:v>
      </x:c>
      <x:c r="D87" t="str">
        <x:v>Normal</x:v>
      </x:c>
      <x:c r="E87" t="n">
        <x:v>50</x:v>
      </x:c>
      <x:c r="F87" t="n">
        <x:v>69</x:v>
      </x:c>
      <x:c r="G87" t="n">
        <x:v>1</x:v>
      </x:c>
      <x:c r="H87" s="18" t="n">
        <x:v>45</x:v>
      </x:c>
      <x:c r="I87" s="18" t="n">
        <x:v>45</x:v>
      </x:c>
      <x:c r="J87" s="18" t="n">
        <x:v>35</x:v>
      </x:c>
      <x:c r="K87" s="18" t="n">
        <x:v>50</x:v>
      </x:c>
      <x:c r="L87" s="18" t="n">
        <x:v>40</x:v>
      </x:c>
      <x:c r="M87" s="18" t="n">
        <x:v>50</x:v>
      </x:c>
      <x:c r="N87" s="18" t="n">
        <x:v>60</x:v>
      </x:c>
      <x:c r="O87" s="18" t="n">
        <x:v>45</x:v>
      </x:c>
      <x:c r="P87" s="18" t="n">
        <x:v>59</x:v>
      </x:c>
      <x:c r="Q87" t="str">
        <x:v>No</x:v>
      </x:c>
      <x:c r="R87" s="18" t="n">
        <x:v>5</x:v>
      </x:c>
      <x:c r="S87" s="18" t="n">
        <x:v>5</x:v>
      </x:c>
      <x:c r="T87" s="18" t="n">
        <x:v>0</x:v>
      </x:c>
      <x:c r="U87" t="str">
        <x:v>Bad</x:v>
      </x:c>
      <x:c r="V87" t="str">
        <x:v>No</x:v>
      </x:c>
      <x:c r="W87" t="str">
        <x:v>WEAK</x:v>
      </x:c>
      <x:c r="X87" t="str">
        <x:v>REWRITE_REQUIRED</x:v>
      </x:c>
      <x:c r="Y87" t="n">
        <x:v>80</x:v>
      </x:c>
      <x:c r="Z87" t="str">
        <x:v>Success</x:v>
      </x:c>
      <x:c r="AA87"/>
      <x:c r="AB87"/>
      <x:c r="AC87" s="13"/>
      <x:c r="AD87" t="n">
        <x:v>0</x:v>
      </x:c>
      <x:c r="AE87" s="19" t="n">
        <x:v>43943</x:v>
      </x:c>
      <x:c r="AF87" t="str">
        <x:v>deepseek-v4-pro</x:v>
      </x:c>
      <x:c r="AG87" s="20" t="n">
        <x:v>46231.18053982639</x:v>
      </x:c>
      <x:c r="AH87" t="n">
        <x:v>200</x:v>
      </x:c>
      <x:c r="AI87" t="str">
        <x:v>842d2d02a1128b36eb04944dcbb368661f59d08e35806e7dd5ffbe1db02765f9</x:v>
      </x:c>
      <x:c r="AJ87" t="str">
        <x:v>b6aedb528c13fd641180bb42aa44cac60cfc21ad2ed4fb6c6f4c7b2e37cf2fdf</x:v>
      </x:c>
    </x:row>
    <x:row r="88">
      <x:c r="A88" s="17" t="str">
        <x:v>087</x:v>
      </x:c>
      <x:c r="B88" t="str">
        <x:v>ZH-NORMAL-027</x:v>
      </x:c>
      <x:c r="C88" s="17" t="str">
        <x:v>027</x:v>
      </x:c>
      <x:c r="D88" t="str">
        <x:v>Normal</x:v>
      </x:c>
      <x:c r="E88" t="n">
        <x:v>50</x:v>
      </x:c>
      <x:c r="F88" t="n">
        <x:v>69</x:v>
      </x:c>
      <x:c r="G88" t="n">
        <x:v>1</x:v>
      </x:c>
      <x:c r="H88" s="18" t="n">
        <x:v>52</x:v>
      </x:c>
      <x:c r="I88" s="18" t="n">
        <x:v>55</x:v>
      </x:c>
      <x:c r="J88" s="18" t="n">
        <x:v>45</x:v>
      </x:c>
      <x:c r="K88" s="18" t="n">
        <x:v>55</x:v>
      </x:c>
      <x:c r="L88" s="18" t="n">
        <x:v>50</x:v>
      </x:c>
      <x:c r="M88" s="18" t="n">
        <x:v>50</x:v>
      </x:c>
      <x:c r="N88" s="18" t="n">
        <x:v>55</x:v>
      </x:c>
      <x:c r="O88" s="18" t="n">
        <x:v>52</x:v>
      </x:c>
      <x:c r="P88" s="18" t="n">
        <x:v>59</x:v>
      </x:c>
      <x:c r="Q88" t="str">
        <x:v>Yes</x:v>
      </x:c>
      <x:c r="R88" s="18" t="n">
        <x:v>0</x:v>
      </x:c>
      <x:c r="S88" s="18" t="n">
        <x:v>0</x:v>
      </x:c>
      <x:c r="T88" s="18" t="n">
        <x:v>0</x:v>
      </x:c>
      <x:c r="U88" t="str">
        <x:v>Normal</x:v>
      </x:c>
      <x:c r="V88" t="str">
        <x:v>Yes</x:v>
      </x:c>
      <x:c r="W88" t="str">
        <x:v>WEAK</x:v>
      </x:c>
      <x:c r="X88" t="str">
        <x:v>REWRITE_REQUIRED</x:v>
      </x:c>
      <x:c r="Y88" t="n">
        <x:v>80</x:v>
      </x:c>
      <x:c r="Z88" t="str">
        <x:v>Success</x:v>
      </x:c>
      <x:c r="AA88"/>
      <x:c r="AB88"/>
      <x:c r="AC88" s="13"/>
      <x:c r="AD88" t="n">
        <x:v>0</x:v>
      </x:c>
      <x:c r="AE88" s="19" t="n">
        <x:v>62095</x:v>
      </x:c>
      <x:c r="AF88" t="str">
        <x:v>deepseek-v4-pro</x:v>
      </x:c>
      <x:c r="AG88" s="20" t="n">
        <x:v>46231.18125862269</x:v>
      </x:c>
      <x:c r="AH88" t="n">
        <x:v>200</x:v>
      </x:c>
      <x:c r="AI88" t="str">
        <x:v>e5e32cd1f393e3995c5d4cfe4bf93660acfe88c1c5777d8f355014b99f288a38</x:v>
      </x:c>
      <x:c r="AJ88" t="str">
        <x:v>b6aedb528c13fd641180bb42aa44cac60cfc21ad2ed4fb6c6f4c7b2e37cf2fdf</x:v>
      </x:c>
    </x:row>
    <x:row r="89">
      <x:c r="A89" s="17" t="str">
        <x:v>088</x:v>
      </x:c>
      <x:c r="B89" t="str">
        <x:v>ZH-NORMAL-028</x:v>
      </x:c>
      <x:c r="C89" s="17" t="str">
        <x:v>028</x:v>
      </x:c>
      <x:c r="D89" t="str">
        <x:v>Normal</x:v>
      </x:c>
      <x:c r="E89" t="n">
        <x:v>50</x:v>
      </x:c>
      <x:c r="F89" t="n">
        <x:v>69</x:v>
      </x:c>
      <x:c r="G89" t="n">
        <x:v>1</x:v>
      </x:c>
      <x:c r="H89" s="18" t="n">
        <x:v>41</x:v>
      </x:c>
      <x:c r="I89" s="18" t="n">
        <x:v>45</x:v>
      </x:c>
      <x:c r="J89" s="18" t="n">
        <x:v>35</x:v>
      </x:c>
      <x:c r="K89" s="18" t="n">
        <x:v>50</x:v>
      </x:c>
      <x:c r="L89" s="18" t="n">
        <x:v>40</x:v>
      </x:c>
      <x:c r="M89" s="18" t="n">
        <x:v>40</x:v>
      </x:c>
      <x:c r="N89" s="18" t="n">
        <x:v>30</x:v>
      </x:c>
      <x:c r="O89" s="18" t="n">
        <x:v>41</x:v>
      </x:c>
      <x:c r="P89" s="18" t="n">
        <x:v>59</x:v>
      </x:c>
      <x:c r="Q89" t="str">
        <x:v>No</x:v>
      </x:c>
      <x:c r="R89" s="18" t="n">
        <x:v>9</x:v>
      </x:c>
      <x:c r="S89" s="18" t="n">
        <x:v>9</x:v>
      </x:c>
      <x:c r="T89" s="18" t="n">
        <x:v>0</x:v>
      </x:c>
      <x:c r="U89" t="str">
        <x:v>Bad</x:v>
      </x:c>
      <x:c r="V89" t="str">
        <x:v>No</x:v>
      </x:c>
      <x:c r="W89" t="str">
        <x:v>WEAK</x:v>
      </x:c>
      <x:c r="X89" t="str">
        <x:v>REWRITE_REQUIRED</x:v>
      </x:c>
      <x:c r="Y89" t="n">
        <x:v>80</x:v>
      </x:c>
      <x:c r="Z89" t="str">
        <x:v>Success</x:v>
      </x:c>
      <x:c r="AA89"/>
      <x:c r="AB89"/>
      <x:c r="AC89" s="13"/>
      <x:c r="AD89" t="n">
        <x:v>0</x:v>
      </x:c>
      <x:c r="AE89" s="19" t="n">
        <x:v>71851</x:v>
      </x:c>
      <x:c r="AF89" t="str">
        <x:v>deepseek-v4-pro</x:v>
      </x:c>
      <x:c r="AG89" s="20" t="n">
        <x:v>46231.1820902662</x:v>
      </x:c>
      <x:c r="AH89" t="n">
        <x:v>200</x:v>
      </x:c>
      <x:c r="AI89" t="str">
        <x:v>3dbb6b73b3b09f352eef0d0c0579a30be9f9d4de127d085eb04b4be07c05f0fa</x:v>
      </x:c>
      <x:c r="AJ89" t="str">
        <x:v>b6aedb528c13fd641180bb42aa44cac60cfc21ad2ed4fb6c6f4c7b2e37cf2fdf</x:v>
      </x:c>
    </x:row>
    <x:row r="90">
      <x:c r="A90" s="17" t="str">
        <x:v>089</x:v>
      </x:c>
      <x:c r="B90" t="str">
        <x:v>ZH-NORMAL-029</x:v>
      </x:c>
      <x:c r="C90" s="17" t="str">
        <x:v>029</x:v>
      </x:c>
      <x:c r="D90" t="str">
        <x:v>Normal</x:v>
      </x:c>
      <x:c r="E90" t="n">
        <x:v>50</x:v>
      </x:c>
      <x:c r="F90" t="n">
        <x:v>69</x:v>
      </x:c>
      <x:c r="G90" t="n">
        <x:v>1</x:v>
      </x:c>
      <x:c r="H90" s="18" t="n">
        <x:v>45</x:v>
      </x:c>
      <x:c r="I90" s="18" t="n">
        <x:v>55</x:v>
      </x:c>
      <x:c r="J90" s="18" t="n">
        <x:v>30</x:v>
      </x:c>
      <x:c r="K90" s="18" t="n">
        <x:v>40</x:v>
      </x:c>
      <x:c r="L90" s="18" t="n">
        <x:v>40</x:v>
      </x:c>
      <x:c r="M90" s="18" t="n">
        <x:v>40</x:v>
      </x:c>
      <x:c r="N90" s="18" t="n">
        <x:v>70</x:v>
      </x:c>
      <x:c r="O90" s="18" t="n">
        <x:v>45</x:v>
      </x:c>
      <x:c r="P90" s="18" t="n">
        <x:v>59</x:v>
      </x:c>
      <x:c r="Q90" t="str">
        <x:v>No</x:v>
      </x:c>
      <x:c r="R90" s="18" t="n">
        <x:v>5</x:v>
      </x:c>
      <x:c r="S90" s="18" t="n">
        <x:v>5</x:v>
      </x:c>
      <x:c r="T90" s="18" t="n">
        <x:v>0</x:v>
      </x:c>
      <x:c r="U90" t="str">
        <x:v>Bad</x:v>
      </x:c>
      <x:c r="V90" t="str">
        <x:v>No</x:v>
      </x:c>
      <x:c r="W90" t="str">
        <x:v>WEAK</x:v>
      </x:c>
      <x:c r="X90" t="str">
        <x:v>REWRITE_REQUIRED</x:v>
      </x:c>
      <x:c r="Y90" t="n">
        <x:v>80</x:v>
      </x:c>
      <x:c r="Z90" t="str">
        <x:v>Success</x:v>
      </x:c>
      <x:c r="AA90"/>
      <x:c r="AB90"/>
      <x:c r="AC90" s="13"/>
      <x:c r="AD90" t="n">
        <x:v>0</x:v>
      </x:c>
      <x:c r="AE90" s="19" t="n">
        <x:v>51712</x:v>
      </x:c>
      <x:c r="AF90" t="str">
        <x:v>deepseek-v4-pro</x:v>
      </x:c>
      <x:c r="AG90" s="20" t="n">
        <x:v>46231.182688796296</x:v>
      </x:c>
      <x:c r="AH90" t="n">
        <x:v>200</x:v>
      </x:c>
      <x:c r="AI90" t="str">
        <x:v>411ffbdb9821670faf770b29c2973c84d8a8caadaa036602de2fd34c1ecf8fd0</x:v>
      </x:c>
      <x:c r="AJ90" t="str">
        <x:v>b6aedb528c13fd641180bb42aa44cac60cfc21ad2ed4fb6c6f4c7b2e37cf2fdf</x:v>
      </x:c>
    </x:row>
    <x:row r="91">
      <x:c r="A91" s="17" t="str">
        <x:v>090</x:v>
      </x:c>
      <x:c r="B91" t="str">
        <x:v>ZH-NORMAL-030</x:v>
      </x:c>
      <x:c r="C91" s="17" t="str">
        <x:v>030</x:v>
      </x:c>
      <x:c r="D91" t="str">
        <x:v>Normal</x:v>
      </x:c>
      <x:c r="E91" t="n">
        <x:v>50</x:v>
      </x:c>
      <x:c r="F91" t="n">
        <x:v>69</x:v>
      </x:c>
      <x:c r="G91" t="n">
        <x:v>1</x:v>
      </x:c>
      <x:c r="H91" s="18" t="n">
        <x:v>36</x:v>
      </x:c>
      <x:c r="I91" s="18" t="n">
        <x:v>45</x:v>
      </x:c>
      <x:c r="J91" s="18" t="n">
        <x:v>30</x:v>
      </x:c>
      <x:c r="K91" s="18" t="n">
        <x:v>35</x:v>
      </x:c>
      <x:c r="L91" s="18" t="n">
        <x:v>40</x:v>
      </x:c>
      <x:c r="M91" s="18" t="n">
        <x:v>35</x:v>
      </x:c>
      <x:c r="N91" s="18" t="n">
        <x:v>25</x:v>
      </x:c>
      <x:c r="O91" s="18" t="n">
        <x:v>36</x:v>
      </x:c>
      <x:c r="P91" s="18" t="n">
        <x:v>59</x:v>
      </x:c>
      <x:c r="Q91" t="str">
        <x:v>No</x:v>
      </x:c>
      <x:c r="R91" s="18" t="n">
        <x:v>14</x:v>
      </x:c>
      <x:c r="S91" s="18" t="n">
        <x:v>14</x:v>
      </x:c>
      <x:c r="T91" s="18" t="n">
        <x:v>0</x:v>
      </x:c>
      <x:c r="U91" t="str">
        <x:v>Bad</x:v>
      </x:c>
      <x:c r="V91" t="str">
        <x:v>No</x:v>
      </x:c>
      <x:c r="W91" t="str">
        <x:v>SEVERELY_DEFICIENT</x:v>
      </x:c>
      <x:c r="X91" t="str">
        <x:v>REWRITE_REQUIRED</x:v>
      </x:c>
      <x:c r="Y91" t="n">
        <x:v>80</x:v>
      </x:c>
      <x:c r="Z91" t="str">
        <x:v>Success</x:v>
      </x:c>
      <x:c r="AA91"/>
      <x:c r="AB91"/>
      <x:c r="AC91" s="13"/>
      <x:c r="AD91" t="n">
        <x:v>0</x:v>
      </x:c>
      <x:c r="AE91" s="19" t="n">
        <x:v>70627</x:v>
      </x:c>
      <x:c r="AF91" t="str">
        <x:v>deepseek-v4-pro</x:v>
      </x:c>
      <x:c r="AG91" s="20" t="n">
        <x:v>46231.183506284724</x:v>
      </x:c>
      <x:c r="AH91" t="n">
        <x:v>200</x:v>
      </x:c>
      <x:c r="AI91" t="str">
        <x:v>cfcd4e59492a8ca81e25cf563c4a5f1d06416af5057a6810a3ebc97f54c90de1</x:v>
      </x:c>
      <x:c r="AJ91" t="str">
        <x:v>b6aedb528c13fd641180bb42aa44cac60cfc21ad2ed4fb6c6f4c7b2e37cf2fdf</x:v>
      </x:c>
    </x:row>
    <x:row r="92">
      <x:c r="A92" s="17" t="str">
        <x:v>091</x:v>
      </x:c>
      <x:c r="B92" t="str">
        <x:v>ZH-BAD-001</x:v>
      </x:c>
      <x:c r="C92" s="17" t="str">
        <x:v>001</x:v>
      </x:c>
      <x:c r="D92" t="str">
        <x:v>Bad</x:v>
      </x:c>
      <x:c r="E92" t="n">
        <x:v>30</x:v>
      </x:c>
      <x:c r="F92" t="n">
        <x:v>49</x:v>
      </x:c>
      <x:c r="G92" t="n">
        <x:v>1</x:v>
      </x:c>
      <x:c r="H92" s="18" t="n">
        <x:v>59</x:v>
      </x:c>
      <x:c r="I92" s="18" t="n">
        <x:v>55</x:v>
      </x:c>
      <x:c r="J92" s="18" t="n">
        <x:v>65</x:v>
      </x:c>
      <x:c r="K92" s="18" t="n">
        <x:v>65</x:v>
      </x:c>
      <x:c r="L92" s="18" t="n">
        <x:v>70</x:v>
      </x:c>
      <x:c r="M92" s="18" t="n">
        <x:v>55</x:v>
      </x:c>
      <x:c r="N92" s="18" t="n">
        <x:v>60</x:v>
      </x:c>
      <x:c r="O92" s="18" t="n">
        <x:v>61</x:v>
      </x:c>
      <x:c r="P92" s="18" t="n">
        <x:v>59</x:v>
      </x:c>
      <x:c r="Q92" t="str">
        <x:v>No</x:v>
      </x:c>
      <x:c r="R92" s="18" t="n">
        <x:v>10</x:v>
      </x:c>
      <x:c r="S92" s="18" t="n">
        <x:v>0</x:v>
      </x:c>
      <x:c r="T92" s="18" t="n">
        <x:v>10</x:v>
      </x:c>
      <x:c r="U92" t="str">
        <x:v>Normal</x:v>
      </x:c>
      <x:c r="V92" t="str">
        <x:v>No</x:v>
      </x:c>
      <x:c r="W92" t="str">
        <x:v>WEAK</x:v>
      </x:c>
      <x:c r="X92" t="str">
        <x:v>REWRITE_REQUIRED</x:v>
      </x:c>
      <x:c r="Y92" t="n">
        <x:v>80</x:v>
      </x:c>
      <x:c r="Z92" t="str">
        <x:v>Success</x:v>
      </x:c>
      <x:c r="AA92"/>
      <x:c r="AB92"/>
      <x:c r="AC92" s="13"/>
      <x:c r="AD92" t="n">
        <x:v>0</x:v>
      </x:c>
      <x:c r="AE92" s="19" t="n">
        <x:v>65617</x:v>
      </x:c>
      <x:c r="AF92" t="str">
        <x:v>deepseek-v4-pro</x:v>
      </x:c>
      <x:c r="AG92" s="20" t="n">
        <x:v>46231.16284675926</x:v>
      </x:c>
      <x:c r="AH92" t="n">
        <x:v>200</x:v>
      </x:c>
      <x:c r="AI92" t="str">
        <x:v>12caffe124660944b5c98c005a2e5e79dfd729b430f1adfe993ef9475a332623</x:v>
      </x:c>
      <x:c r="AJ92" t="str">
        <x:v>b6aedb528c13fd641180bb42aa44cac60cfc21ad2ed4fb6c6f4c7b2e37cf2fdf</x:v>
      </x:c>
    </x:row>
    <x:row r="93">
      <x:c r="A93" s="17" t="str">
        <x:v>092</x:v>
      </x:c>
      <x:c r="B93" t="str">
        <x:v>ZH-BAD-002</x:v>
      </x:c>
      <x:c r="C93" s="17" t="str">
        <x:v>002</x:v>
      </x:c>
      <x:c r="D93" t="str">
        <x:v>Bad</x:v>
      </x:c>
      <x:c r="E93" t="n">
        <x:v>30</x:v>
      </x:c>
      <x:c r="F93" t="n">
        <x:v>49</x:v>
      </x:c>
      <x:c r="G93" t="n">
        <x:v>1</x:v>
      </x:c>
      <x:c r="H93" s="18" t="n">
        <x:v>50</x:v>
      </x:c>
      <x:c r="I93" s="18" t="n">
        <x:v>54</x:v>
      </x:c>
      <x:c r="J93" s="18" t="n">
        <x:v>30</x:v>
      </x:c>
      <x:c r="K93" s="18" t="n">
        <x:v>45</x:v>
      </x:c>
      <x:c r="L93" s="18" t="n">
        <x:v>78</x:v>
      </x:c>
      <x:c r="M93" s="18" t="n">
        <x:v>35</x:v>
      </x:c>
      <x:c r="N93" s="18" t="n">
        <x:v>68</x:v>
      </x:c>
      <x:c r="O93" s="18" t="n">
        <x:v>50</x:v>
      </x:c>
      <x:c r="P93" s="18" t="n">
        <x:v>59</x:v>
      </x:c>
      <x:c r="Q93" t="str">
        <x:v>No</x:v>
      </x:c>
      <x:c r="R93" s="18" t="n">
        <x:v>1</x:v>
      </x:c>
      <x:c r="S93" s="18" t="n">
        <x:v>0</x:v>
      </x:c>
      <x:c r="T93" s="18" t="n">
        <x:v>1</x:v>
      </x:c>
      <x:c r="U93" t="str">
        <x:v>Normal</x:v>
      </x:c>
      <x:c r="V93" t="str">
        <x:v>No</x:v>
      </x:c>
      <x:c r="W93" t="str">
        <x:v>WEAK</x:v>
      </x:c>
      <x:c r="X93" t="str">
        <x:v>REWRITE_REQUIRED</x:v>
      </x:c>
      <x:c r="Y93" t="n">
        <x:v>80</x:v>
      </x:c>
      <x:c r="Z93" t="str">
        <x:v>Success</x:v>
      </x:c>
      <x:c r="AA93"/>
      <x:c r="AB93"/>
      <x:c r="AC93" s="13"/>
      <x:c r="AD93" t="n">
        <x:v>0</x:v>
      </x:c>
      <x:c r="AE93" s="19" t="n">
        <x:v>59034</x:v>
      </x:c>
      <x:c r="AF93" t="str">
        <x:v>deepseek-v4-pro</x:v>
      </x:c>
      <x:c r="AG93" s="20" t="n">
        <x:v>46231.163530046295</x:v>
      </x:c>
      <x:c r="AH93" t="n">
        <x:v>200</x:v>
      </x:c>
      <x:c r="AI93" t="str">
        <x:v>98451e3d213e19480d31d43f6efeabe87b7687621017ea785d944bf20d1da1f4</x:v>
      </x:c>
      <x:c r="AJ93" t="str">
        <x:v>b6aedb528c13fd641180bb42aa44cac60cfc21ad2ed4fb6c6f4c7b2e37cf2fdf</x:v>
      </x:c>
    </x:row>
    <x:row r="94">
      <x:c r="A94" s="17" t="str">
        <x:v>093</x:v>
      </x:c>
      <x:c r="B94" t="str">
        <x:v>ZH-BAD-003</x:v>
      </x:c>
      <x:c r="C94" s="17" t="str">
        <x:v>003</x:v>
      </x:c>
      <x:c r="D94" t="str">
        <x:v>Bad</x:v>
      </x:c>
      <x:c r="E94" t="n">
        <x:v>30</x:v>
      </x:c>
      <x:c r="F94" t="n">
        <x:v>49</x:v>
      </x:c>
      <x:c r="G94" t="n">
        <x:v>1</x:v>
      </x:c>
      <x:c r="H94" s="18" t="n">
        <x:v>58</x:v>
      </x:c>
      <x:c r="I94" s="18" t="n">
        <x:v>55</x:v>
      </x:c>
      <x:c r="J94" s="18" t="n">
        <x:v>40</x:v>
      </x:c>
      <x:c r="K94" s="18" t="n">
        <x:v>65</x:v>
      </x:c>
      <x:c r="L94" s="18" t="n">
        <x:v>90</x:v>
      </x:c>
      <x:c r="M94" s="18" t="n">
        <x:v>59</x:v>
      </x:c>
      <x:c r="N94" s="18" t="n">
        <x:v>40</x:v>
      </x:c>
      <x:c r="O94" s="18" t="n">
        <x:v>58</x:v>
      </x:c>
      <x:c r="P94" s="18" t="n">
        <x:v>59</x:v>
      </x:c>
      <x:c r="Q94" t="str">
        <x:v>No</x:v>
      </x:c>
      <x:c r="R94" s="18" t="n">
        <x:v>9</x:v>
      </x:c>
      <x:c r="S94" s="18" t="n">
        <x:v>0</x:v>
      </x:c>
      <x:c r="T94" s="18" t="n">
        <x:v>9</x:v>
      </x:c>
      <x:c r="U94" t="str">
        <x:v>Normal</x:v>
      </x:c>
      <x:c r="V94" t="str">
        <x:v>No</x:v>
      </x:c>
      <x:c r="W94" t="str">
        <x:v>WEAK</x:v>
      </x:c>
      <x:c r="X94" t="str">
        <x:v>REWRITE_REQUIRED</x:v>
      </x:c>
      <x:c r="Y94" t="n">
        <x:v>80</x:v>
      </x:c>
      <x:c r="Z94" t="str">
        <x:v>Success</x:v>
      </x:c>
      <x:c r="AA94"/>
      <x:c r="AB94"/>
      <x:c r="AC94" s="13"/>
      <x:c r="AD94" t="n">
        <x:v>0</x:v>
      </x:c>
      <x:c r="AE94" s="19" t="n">
        <x:v>44762</x:v>
      </x:c>
      <x:c r="AF94" t="str">
        <x:v>deepseek-v4-pro</x:v>
      </x:c>
      <x:c r="AG94" s="20" t="n">
        <x:v>46231.16404814815</x:v>
      </x:c>
      <x:c r="AH94" t="n">
        <x:v>200</x:v>
      </x:c>
      <x:c r="AI94" t="str">
        <x:v>6f7ad7ac51197f8a1f0219e55200ab41d6cdcdbe3502bfab4455353fde497a6e</x:v>
      </x:c>
      <x:c r="AJ94" t="str">
        <x:v>b6aedb528c13fd641180bb42aa44cac60cfc21ad2ed4fb6c6f4c7b2e37cf2fdf</x:v>
      </x:c>
    </x:row>
    <x:row r="95">
      <x:c r="A95" s="17" t="str">
        <x:v>094</x:v>
      </x:c>
      <x:c r="B95" t="str">
        <x:v>ZH-BAD-004</x:v>
      </x:c>
      <x:c r="C95" s="17" t="str">
        <x:v>004</x:v>
      </x:c>
      <x:c r="D95" t="str">
        <x:v>Bad</x:v>
      </x:c>
      <x:c r="E95" t="n">
        <x:v>30</x:v>
      </x:c>
      <x:c r="F95" t="n">
        <x:v>49</x:v>
      </x:c>
      <x:c r="G95" t="n">
        <x:v>1</x:v>
      </x:c>
      <x:c r="H95" s="18" t="n">
        <x:v>49</x:v>
      </x:c>
      <x:c r="I95" s="18" t="n">
        <x:v>48</x:v>
      </x:c>
      <x:c r="J95" s="18" t="n">
        <x:v>35</x:v>
      </x:c>
      <x:c r="K95" s="18" t="n">
        <x:v>55</x:v>
      </x:c>
      <x:c r="L95" s="18" t="n">
        <x:v>45</x:v>
      </x:c>
      <x:c r="M95" s="18" t="n">
        <x:v>62</x:v>
      </x:c>
      <x:c r="N95" s="18" t="n">
        <x:v>55</x:v>
      </x:c>
      <x:c r="O95" s="18" t="n">
        <x:v>49</x:v>
      </x:c>
      <x:c r="P95" s="18" t="n">
        <x:v>59</x:v>
      </x:c>
      <x:c r="Q95" t="str">
        <x:v>Yes</x:v>
      </x:c>
      <x:c r="R95" s="18" t="n">
        <x:v>0</x:v>
      </x:c>
      <x:c r="S95" s="18" t="n">
        <x:v>0</x:v>
      </x:c>
      <x:c r="T95" s="18" t="n">
        <x:v>0</x:v>
      </x:c>
      <x:c r="U95" t="str">
        <x:v>Bad</x:v>
      </x:c>
      <x:c r="V95" t="str">
        <x:v>Yes</x:v>
      </x:c>
      <x:c r="W95" t="str">
        <x:v>WEAK</x:v>
      </x:c>
      <x:c r="X95" t="str">
        <x:v>REWRITE_REQUIRED</x:v>
      </x:c>
      <x:c r="Y95" t="n">
        <x:v>80</x:v>
      </x:c>
      <x:c r="Z95" t="str">
        <x:v>Success</x:v>
      </x:c>
      <x:c r="AA95"/>
      <x:c r="AB95"/>
      <x:c r="AC95" s="13"/>
      <x:c r="AD95" t="n">
        <x:v>0</x:v>
      </x:c>
      <x:c r="AE95" s="19" t="n">
        <x:v>56483</x:v>
      </x:c>
      <x:c r="AF95" t="str">
        <x:v>deepseek-v4-pro</x:v>
      </x:c>
      <x:c r="AG95" s="20" t="n">
        <x:v>46231.164701898146</x:v>
      </x:c>
      <x:c r="AH95" t="n">
        <x:v>200</x:v>
      </x:c>
      <x:c r="AI95" t="str">
        <x:v>0ef759db28f9199140ad6105fc9d6e371100f8c1b9efd8d09b9063160bc3bf65</x:v>
      </x:c>
      <x:c r="AJ95" t="str">
        <x:v>b6aedb528c13fd641180bb42aa44cac60cfc21ad2ed4fb6c6f4c7b2e37cf2fdf</x:v>
      </x:c>
    </x:row>
    <x:row r="96">
      <x:c r="A96" s="17" t="str">
        <x:v>095</x:v>
      </x:c>
      <x:c r="B96" t="str">
        <x:v>ZH-BAD-005</x:v>
      </x:c>
      <x:c r="C96" s="17" t="str">
        <x:v>005</x:v>
      </x:c>
      <x:c r="D96" t="str">
        <x:v>Bad</x:v>
      </x:c>
      <x:c r="E96" t="n">
        <x:v>30</x:v>
      </x:c>
      <x:c r="F96" t="n">
        <x:v>49</x:v>
      </x:c>
      <x:c r="G96" t="n">
        <x:v>1</x:v>
      </x:c>
      <x:c r="H96" s="18" t="n">
        <x:v>41</x:v>
      </x:c>
      <x:c r="I96" s="18" t="n">
        <x:v>45</x:v>
      </x:c>
      <x:c r="J96" s="18" t="n">
        <x:v>30</x:v>
      </x:c>
      <x:c r="K96" s="18" t="n">
        <x:v>40</x:v>
      </x:c>
      <x:c r="L96" s="18" t="n">
        <x:v>50</x:v>
      </x:c>
      <x:c r="M96" s="18" t="n">
        <x:v>45</x:v>
      </x:c>
      <x:c r="N96" s="18" t="n">
        <x:v>35</x:v>
      </x:c>
      <x:c r="O96" s="18" t="n">
        <x:v>41</x:v>
      </x:c>
      <x:c r="P96" s="18" t="n">
        <x:v>59</x:v>
      </x:c>
      <x:c r="Q96" t="str">
        <x:v>Yes</x:v>
      </x:c>
      <x:c r="R96" s="18" t="n">
        <x:v>0</x:v>
      </x:c>
      <x:c r="S96" s="18" t="n">
        <x:v>0</x:v>
      </x:c>
      <x:c r="T96" s="18" t="n">
        <x:v>0</x:v>
      </x:c>
      <x:c r="U96" t="str">
        <x:v>Bad</x:v>
      </x:c>
      <x:c r="V96" t="str">
        <x:v>Yes</x:v>
      </x:c>
      <x:c r="W96" t="str">
        <x:v>WEAK</x:v>
      </x:c>
      <x:c r="X96" t="str">
        <x:v>REWRITE_REQUIRED</x:v>
      </x:c>
      <x:c r="Y96" t="n">
        <x:v>80</x:v>
      </x:c>
      <x:c r="Z96" t="str">
        <x:v>Success</x:v>
      </x:c>
      <x:c r="AA96"/>
      <x:c r="AB96"/>
      <x:c r="AC96" s="13"/>
      <x:c r="AD96" t="n">
        <x:v>0</x:v>
      </x:c>
      <x:c r="AE96" s="19" t="n">
        <x:v>36173</x:v>
      </x:c>
      <x:c r="AF96" t="str">
        <x:v>deepseek-v4-pro</x:v>
      </x:c>
      <x:c r="AG96" s="20" t="n">
        <x:v>46231.165120590274</x:v>
      </x:c>
      <x:c r="AH96" t="n">
        <x:v>200</x:v>
      </x:c>
      <x:c r="AI96" t="str">
        <x:v>55d3633ab12d39b52bc58a489b1b901659ca2c2e0854d0310347df3e1f284579</x:v>
      </x:c>
      <x:c r="AJ96" t="str">
        <x:v>b6aedb528c13fd641180bb42aa44cac60cfc21ad2ed4fb6c6f4c7b2e37cf2fdf</x:v>
      </x:c>
    </x:row>
    <x:row r="97">
      <x:c r="A97" s="17" t="str">
        <x:v>096</x:v>
      </x:c>
      <x:c r="B97" t="str">
        <x:v>ZH-BAD-006</x:v>
      </x:c>
      <x:c r="C97" s="17" t="str">
        <x:v>006</x:v>
      </x:c>
      <x:c r="D97" t="str">
        <x:v>Bad</x:v>
      </x:c>
      <x:c r="E97" t="n">
        <x:v>30</x:v>
      </x:c>
      <x:c r="F97" t="n">
        <x:v>49</x:v>
      </x:c>
      <x:c r="G97" t="n">
        <x:v>1</x:v>
      </x:c>
      <x:c r="H97" s="18" t="n">
        <x:v>46</x:v>
      </x:c>
      <x:c r="I97" s="18" t="n">
        <x:v>45</x:v>
      </x:c>
      <x:c r="J97" s="18" t="n">
        <x:v>38</x:v>
      </x:c>
      <x:c r="K97" s="18" t="n">
        <x:v>50</x:v>
      </x:c>
      <x:c r="L97" s="18" t="n">
        <x:v>45</x:v>
      </x:c>
      <x:c r="M97" s="18" t="n">
        <x:v>45</x:v>
      </x:c>
      <x:c r="N97" s="18" t="n">
        <x:v>65</x:v>
      </x:c>
      <x:c r="O97" s="18" t="n">
        <x:v>46</x:v>
      </x:c>
      <x:c r="P97" s="18" t="n">
        <x:v>59</x:v>
      </x:c>
      <x:c r="Q97" t="str">
        <x:v>Yes</x:v>
      </x:c>
      <x:c r="R97" s="18" t="n">
        <x:v>0</x:v>
      </x:c>
      <x:c r="S97" s="18" t="n">
        <x:v>0</x:v>
      </x:c>
      <x:c r="T97" s="18" t="n">
        <x:v>0</x:v>
      </x:c>
      <x:c r="U97" t="str">
        <x:v>Bad</x:v>
      </x:c>
      <x:c r="V97" t="str">
        <x:v>Yes</x:v>
      </x:c>
      <x:c r="W97" t="str">
        <x:v>WEAK</x:v>
      </x:c>
      <x:c r="X97" t="str">
        <x:v>REWRITE_REQUIRED</x:v>
      </x:c>
      <x:c r="Y97" t="n">
        <x:v>80</x:v>
      </x:c>
      <x:c r="Z97" t="str">
        <x:v>Success</x:v>
      </x:c>
      <x:c r="AA97"/>
      <x:c r="AB97"/>
      <x:c r="AC97" s="13"/>
      <x:c r="AD97" t="n">
        <x:v>0</x:v>
      </x:c>
      <x:c r="AE97" s="19" t="n">
        <x:v>68439</x:v>
      </x:c>
      <x:c r="AF97" t="str">
        <x:v>deepseek-v4-pro</x:v>
      </x:c>
      <x:c r="AG97" s="20" t="n">
        <x:v>46231.165912743054</x:v>
      </x:c>
      <x:c r="AH97" t="n">
        <x:v>200</x:v>
      </x:c>
      <x:c r="AI97" t="str">
        <x:v>8a93e89dd2c710f8a963131891af9c250d23fff16782620bcd711bac14c091e9</x:v>
      </x:c>
      <x:c r="AJ97" t="str">
        <x:v>b6aedb528c13fd641180bb42aa44cac60cfc21ad2ed4fb6c6f4c7b2e37cf2fdf</x:v>
      </x:c>
    </x:row>
    <x:row r="98">
      <x:c r="A98" s="17" t="str">
        <x:v>097</x:v>
      </x:c>
      <x:c r="B98" t="str">
        <x:v>ZH-BAD-007</x:v>
      </x:c>
      <x:c r="C98" s="17" t="str">
        <x:v>007</x:v>
      </x:c>
      <x:c r="D98" t="str">
        <x:v>Bad</x:v>
      </x:c>
      <x:c r="E98" t="n">
        <x:v>30</x:v>
      </x:c>
      <x:c r="F98" t="n">
        <x:v>49</x:v>
      </x:c>
      <x:c r="G98" t="n">
        <x:v>1</x:v>
      </x:c>
      <x:c r="H98" s="18" t="n">
        <x:v>48</x:v>
      </x:c>
      <x:c r="I98" s="18" t="n">
        <x:v>45</x:v>
      </x:c>
      <x:c r="J98" s="18" t="n">
        <x:v>40</x:v>
      </x:c>
      <x:c r="K98" s="18" t="n">
        <x:v>55</x:v>
      </x:c>
      <x:c r="L98" s="18" t="n">
        <x:v>50</x:v>
      </x:c>
      <x:c r="M98" s="18" t="n">
        <x:v>45</x:v>
      </x:c>
      <x:c r="N98" s="18" t="n">
        <x:v>60</x:v>
      </x:c>
      <x:c r="O98" s="18" t="n">
        <x:v>48</x:v>
      </x:c>
      <x:c r="P98" s="18" t="n">
        <x:v>59</x:v>
      </x:c>
      <x:c r="Q98" t="str">
        <x:v>Yes</x:v>
      </x:c>
      <x:c r="R98" s="18" t="n">
        <x:v>0</x:v>
      </x:c>
      <x:c r="S98" s="18" t="n">
        <x:v>0</x:v>
      </x:c>
      <x:c r="T98" s="18" t="n">
        <x:v>0</x:v>
      </x:c>
      <x:c r="U98" t="str">
        <x:v>Bad</x:v>
      </x:c>
      <x:c r="V98" t="str">
        <x:v>Yes</x:v>
      </x:c>
      <x:c r="W98" t="str">
        <x:v>WEAK</x:v>
      </x:c>
      <x:c r="X98" t="str">
        <x:v>REWRITE_REQUIRED</x:v>
      </x:c>
      <x:c r="Y98" t="n">
        <x:v>80</x:v>
      </x:c>
      <x:c r="Z98" t="str">
        <x:v>Success</x:v>
      </x:c>
      <x:c r="AA98"/>
      <x:c r="AB98"/>
      <x:c r="AC98" s="13"/>
      <x:c r="AD98" t="n">
        <x:v>0</x:v>
      </x:c>
      <x:c r="AE98" s="19" t="n">
        <x:v>52731</x:v>
      </x:c>
      <x:c r="AF98" t="str">
        <x:v>deepseek-v4-pro</x:v>
      </x:c>
      <x:c r="AG98" s="20" t="n">
        <x:v>46231.166523078704</x:v>
      </x:c>
      <x:c r="AH98" t="n">
        <x:v>200</x:v>
      </x:c>
      <x:c r="AI98" t="str">
        <x:v>73bf5464136e6b3c2cba321ae2d02ae9bc3bc2410871e168e70ceb0f4f66961c</x:v>
      </x:c>
      <x:c r="AJ98" t="str">
        <x:v>b6aedb528c13fd641180bb42aa44cac60cfc21ad2ed4fb6c6f4c7b2e37cf2fdf</x:v>
      </x:c>
    </x:row>
    <x:row r="99">
      <x:c r="A99" s="17" t="str">
        <x:v>098</x:v>
      </x:c>
      <x:c r="B99" t="str">
        <x:v>ZH-BAD-008</x:v>
      </x:c>
      <x:c r="C99" s="17" t="str">
        <x:v>008</x:v>
      </x:c>
      <x:c r="D99" t="str">
        <x:v>Bad</x:v>
      </x:c>
      <x:c r="E99" t="n">
        <x:v>30</x:v>
      </x:c>
      <x:c r="F99" t="n">
        <x:v>49</x:v>
      </x:c>
      <x:c r="G99" t="n">
        <x:v>1</x:v>
      </x:c>
      <x:c r="H99" s="18" t="n">
        <x:v>41</x:v>
      </x:c>
      <x:c r="I99" s="18" t="n">
        <x:v>45</x:v>
      </x:c>
      <x:c r="J99" s="18" t="n">
        <x:v>30</x:v>
      </x:c>
      <x:c r="K99" s="18" t="n">
        <x:v>40</x:v>
      </x:c>
      <x:c r="L99" s="18" t="n">
        <x:v>50</x:v>
      </x:c>
      <x:c r="M99" s="18" t="n">
        <x:v>40</x:v>
      </x:c>
      <x:c r="N99" s="18" t="n">
        <x:v>45</x:v>
      </x:c>
      <x:c r="O99" s="18" t="n">
        <x:v>41</x:v>
      </x:c>
      <x:c r="P99" s="18" t="n">
        <x:v>59</x:v>
      </x:c>
      <x:c r="Q99" t="str">
        <x:v>Yes</x:v>
      </x:c>
      <x:c r="R99" s="18" t="n">
        <x:v>0</x:v>
      </x:c>
      <x:c r="S99" s="18" t="n">
        <x:v>0</x:v>
      </x:c>
      <x:c r="T99" s="18" t="n">
        <x:v>0</x:v>
      </x:c>
      <x:c r="U99" t="str">
        <x:v>Bad</x:v>
      </x:c>
      <x:c r="V99" t="str">
        <x:v>Yes</x:v>
      </x:c>
      <x:c r="W99" t="str">
        <x:v>WEAK</x:v>
      </x:c>
      <x:c r="X99" t="str">
        <x:v>REWRITE_REQUIRED</x:v>
      </x:c>
      <x:c r="Y99" t="n">
        <x:v>80</x:v>
      </x:c>
      <x:c r="Z99" t="str">
        <x:v>Success</x:v>
      </x:c>
      <x:c r="AA99"/>
      <x:c r="AB99"/>
      <x:c r="AC99" s="13"/>
      <x:c r="AD99" t="n">
        <x:v>0</x:v>
      </x:c>
      <x:c r="AE99" s="19" t="n">
        <x:v>44320</x:v>
      </x:c>
      <x:c r="AF99" t="str">
        <x:v>deepseek-v4-pro</x:v>
      </x:c>
      <x:c r="AG99" s="20" t="n">
        <x:v>46231.16703604167</x:v>
      </x:c>
      <x:c r="AH99" t="n">
        <x:v>200</x:v>
      </x:c>
      <x:c r="AI99" t="str">
        <x:v>2b77c9cf76bb14ed5c94669a2374112df0a9b99ab195deea1b9ff9598e27f763</x:v>
      </x:c>
      <x:c r="AJ99" t="str">
        <x:v>b6aedb528c13fd641180bb42aa44cac60cfc21ad2ed4fb6c6f4c7b2e37cf2fdf</x:v>
      </x:c>
    </x:row>
    <x:row r="100">
      <x:c r="A100" s="17" t="str">
        <x:v>099</x:v>
      </x:c>
      <x:c r="B100" t="str">
        <x:v>ZH-BAD-009</x:v>
      </x:c>
      <x:c r="C100" s="17" t="str">
        <x:v>009</x:v>
      </x:c>
      <x:c r="D100" t="str">
        <x:v>Bad</x:v>
      </x:c>
      <x:c r="E100" t="n">
        <x:v>30</x:v>
      </x:c>
      <x:c r="F100" t="n">
        <x:v>49</x:v>
      </x:c>
      <x:c r="G100" t="n">
        <x:v>1</x:v>
      </x:c>
      <x:c r="H100" s="18" t="n">
        <x:v>35</x:v>
      </x:c>
      <x:c r="I100" s="18" t="n">
        <x:v>35</x:v>
      </x:c>
      <x:c r="J100" s="18" t="n">
        <x:v>25</x:v>
      </x:c>
      <x:c r="K100" s="18" t="n">
        <x:v>35</x:v>
      </x:c>
      <x:c r="L100" s="18" t="n">
        <x:v>45</x:v>
      </x:c>
      <x:c r="M100" s="18" t="n">
        <x:v>40</x:v>
      </x:c>
      <x:c r="N100" s="18" t="n">
        <x:v>30</x:v>
      </x:c>
      <x:c r="O100" s="18" t="n">
        <x:v>35</x:v>
      </x:c>
      <x:c r="P100" s="18" t="n">
        <x:v>59</x:v>
      </x:c>
      <x:c r="Q100" t="str">
        <x:v>Yes</x:v>
      </x:c>
      <x:c r="R100" s="18" t="n">
        <x:v>0</x:v>
      </x:c>
      <x:c r="S100" s="18" t="n">
        <x:v>0</x:v>
      </x:c>
      <x:c r="T100" s="18" t="n">
        <x:v>0</x:v>
      </x:c>
      <x:c r="U100" t="str">
        <x:v>Bad</x:v>
      </x:c>
      <x:c r="V100" t="str">
        <x:v>Yes</x:v>
      </x:c>
      <x:c r="W100" t="str">
        <x:v>SEVERELY_DEFICIENT</x:v>
      </x:c>
      <x:c r="X100" t="str">
        <x:v>REWRITE_REQUIRED</x:v>
      </x:c>
      <x:c r="Y100" t="n">
        <x:v>80</x:v>
      </x:c>
      <x:c r="Z100" t="str">
        <x:v>Success</x:v>
      </x:c>
      <x:c r="AA100"/>
      <x:c r="AB100"/>
      <x:c r="AC100" s="13"/>
      <x:c r="AD100" t="n">
        <x:v>0</x:v>
      </x:c>
      <x:c r="AE100" s="19" t="n">
        <x:v>41413</x:v>
      </x:c>
      <x:c r="AF100" t="str">
        <x:v>deepseek-v4-pro</x:v>
      </x:c>
      <x:c r="AG100" s="20" t="n">
        <x:v>46231.16751540509</x:v>
      </x:c>
      <x:c r="AH100" t="n">
        <x:v>200</x:v>
      </x:c>
      <x:c r="AI100" t="str">
        <x:v>b6dba7c7ba6cc32a51aa0abfabc5cb3de92eba5c1fb94eb9b559712971d56931</x:v>
      </x:c>
      <x:c r="AJ100" t="str">
        <x:v>b6aedb528c13fd641180bb42aa44cac60cfc21ad2ed4fb6c6f4c7b2e37cf2fdf</x:v>
      </x:c>
    </x:row>
    <x:row r="101">
      <x:c r="A101" s="17" t="str">
        <x:v>100</x:v>
      </x:c>
      <x:c r="B101" t="str">
        <x:v>ZH-BAD-010</x:v>
      </x:c>
      <x:c r="C101" s="17" t="str">
        <x:v>010</x:v>
      </x:c>
      <x:c r="D101" t="str">
        <x:v>Bad</x:v>
      </x:c>
      <x:c r="E101" t="n">
        <x:v>30</x:v>
      </x:c>
      <x:c r="F101" t="n">
        <x:v>49</x:v>
      </x:c>
      <x:c r="G101" t="n">
        <x:v>1</x:v>
      </x:c>
      <x:c r="H101" s="18" t="n">
        <x:v>29</x:v>
      </x:c>
      <x:c r="I101" s="18" t="n">
        <x:v>30</x:v>
      </x:c>
      <x:c r="J101" s="18" t="n">
        <x:v>25</x:v>
      </x:c>
      <x:c r="K101" s="18" t="n">
        <x:v>30</x:v>
      </x:c>
      <x:c r="L101" s="18" t="n">
        <x:v>35</x:v>
      </x:c>
      <x:c r="M101" s="18" t="n">
        <x:v>30</x:v>
      </x:c>
      <x:c r="N101" s="18" t="n">
        <x:v>20</x:v>
      </x:c>
      <x:c r="O101" s="18" t="n">
        <x:v>29</x:v>
      </x:c>
      <x:c r="P101" s="18" t="n">
        <x:v>39</x:v>
      </x:c>
      <x:c r="Q101" t="str">
        <x:v>No</x:v>
      </x:c>
      <x:c r="R101" s="18" t="n">
        <x:v>1</x:v>
      </x:c>
      <x:c r="S101" s="18" t="n">
        <x:v>1</x:v>
      </x:c>
      <x:c r="T101" s="18" t="n">
        <x:v>0</x:v>
      </x:c>
      <x:c r="U101" t="str">
        <x:v>Extremely Bad</x:v>
      </x:c>
      <x:c r="V101" t="str">
        <x:v>No</x:v>
      </x:c>
      <x:c r="W101" t="str">
        <x:v>SEVERELY_DEFICIENT</x:v>
      </x:c>
      <x:c r="X101" t="str">
        <x:v>REWRITE_REQUIRED</x:v>
      </x:c>
      <x:c r="Y101" t="n">
        <x:v>80</x:v>
      </x:c>
      <x:c r="Z101" t="str">
        <x:v>Success</x:v>
      </x:c>
      <x:c r="AA101"/>
      <x:c r="AB101"/>
      <x:c r="AC101" s="13"/>
      <x:c r="AD101" t="n">
        <x:v>0</x:v>
      </x:c>
      <x:c r="AE101" s="19" t="n">
        <x:v>76532</x:v>
      </x:c>
      <x:c r="AF101" t="str">
        <x:v>deepseek-v4-pro</x:v>
      </x:c>
      <x:c r="AG101" s="20" t="n">
        <x:v>46231.16840122685</x:v>
      </x:c>
      <x:c r="AH101" t="n">
        <x:v>200</x:v>
      </x:c>
      <x:c r="AI101" t="str">
        <x:v>100a5fd0f8d9f292ea3972d0ed2c08e5d2bc68593db8cc6df7e12f8c8933814e</x:v>
      </x:c>
      <x:c r="AJ101" t="str">
        <x:v>b6aedb528c13fd641180bb42aa44cac60cfc21ad2ed4fb6c6f4c7b2e37cf2fdf</x:v>
      </x:c>
    </x:row>
    <x:row r="102">
      <x:c r="A102" s="17" t="str">
        <x:v>101</x:v>
      </x:c>
      <x:c r="B102" t="str">
        <x:v>ZH-BAD-011</x:v>
      </x:c>
      <x:c r="C102" s="17" t="str">
        <x:v>011</x:v>
      </x:c>
      <x:c r="D102" t="str">
        <x:v>Bad</x:v>
      </x:c>
      <x:c r="E102" t="n">
        <x:v>30</x:v>
      </x:c>
      <x:c r="F102" t="n">
        <x:v>49</x:v>
      </x:c>
      <x:c r="G102" t="n">
        <x:v>1</x:v>
      </x:c>
      <x:c r="H102" s="18" t="n">
        <x:v>37</x:v>
      </x:c>
      <x:c r="I102" s="18" t="n">
        <x:v>35</x:v>
      </x:c>
      <x:c r="J102" s="18" t="n">
        <x:v>30</x:v>
      </x:c>
      <x:c r="K102" s="18" t="n">
        <x:v>40</x:v>
      </x:c>
      <x:c r="L102" s="18" t="n">
        <x:v>45</x:v>
      </x:c>
      <x:c r="M102" s="18" t="n">
        <x:v>35</x:v>
      </x:c>
      <x:c r="N102" s="18" t="n">
        <x:v>40</x:v>
      </x:c>
      <x:c r="O102" s="18" t="n">
        <x:v>37</x:v>
      </x:c>
      <x:c r="P102" s="18" t="n">
        <x:v>59</x:v>
      </x:c>
      <x:c r="Q102" t="str">
        <x:v>Yes</x:v>
      </x:c>
      <x:c r="R102" s="18" t="n">
        <x:v>0</x:v>
      </x:c>
      <x:c r="S102" s="18" t="n">
        <x:v>0</x:v>
      </x:c>
      <x:c r="T102" s="18" t="n">
        <x:v>0</x:v>
      </x:c>
      <x:c r="U102" t="str">
        <x:v>Bad</x:v>
      </x:c>
      <x:c r="V102" t="str">
        <x:v>Yes</x:v>
      </x:c>
      <x:c r="W102" t="str">
        <x:v>SEVERELY_DEFICIENT</x:v>
      </x:c>
      <x:c r="X102" t="str">
        <x:v>REWRITE_REQUIRED</x:v>
      </x:c>
      <x:c r="Y102" t="n">
        <x:v>80</x:v>
      </x:c>
      <x:c r="Z102" t="str">
        <x:v>Success</x:v>
      </x:c>
      <x:c r="AA102"/>
      <x:c r="AB102"/>
      <x:c r="AC102" s="13"/>
      <x:c r="AD102" t="n">
        <x:v>0</x:v>
      </x:c>
      <x:c r="AE102" s="19" t="n">
        <x:v>64227</x:v>
      </x:c>
      <x:c r="AF102" t="str">
        <x:v>deepseek-v4-pro</x:v>
      </x:c>
      <x:c r="AG102" s="20" t="n">
        <x:v>46231.16914459491</x:v>
      </x:c>
      <x:c r="AH102" t="n">
        <x:v>200</x:v>
      </x:c>
      <x:c r="AI102" t="str">
        <x:v>7eba02a5d203332c71613d94b528c4c9f2bfe6888c720b5e6b7d6579f3c60dca</x:v>
      </x:c>
      <x:c r="AJ102" t="str">
        <x:v>b6aedb528c13fd641180bb42aa44cac60cfc21ad2ed4fb6c6f4c7b2e37cf2fdf</x:v>
      </x:c>
    </x:row>
    <x:row r="103">
      <x:c r="A103" s="17" t="str">
        <x:v>102</x:v>
      </x:c>
      <x:c r="B103" t="str">
        <x:v>ZH-BAD-012</x:v>
      </x:c>
      <x:c r="C103" s="17" t="str">
        <x:v>012</x:v>
      </x:c>
      <x:c r="D103" t="str">
        <x:v>Bad</x:v>
      </x:c>
      <x:c r="E103" t="n">
        <x:v>30</x:v>
      </x:c>
      <x:c r="F103" t="n">
        <x:v>49</x:v>
      </x:c>
      <x:c r="G103" t="n">
        <x:v>1</x:v>
      </x:c>
      <x:c r="H103" s="18" t="n">
        <x:v>40</x:v>
      </x:c>
      <x:c r="I103" s="18" t="n">
        <x:v>40</x:v>
      </x:c>
      <x:c r="J103" s="18" t="n">
        <x:v>30</x:v>
      </x:c>
      <x:c r="K103" s="18" t="n">
        <x:v>50</x:v>
      </x:c>
      <x:c r="L103" s="18" t="n">
        <x:v>50</x:v>
      </x:c>
      <x:c r="M103" s="18" t="n">
        <x:v>40</x:v>
      </x:c>
      <x:c r="N103" s="18" t="n">
        <x:v>30</x:v>
      </x:c>
      <x:c r="O103" s="18" t="n">
        <x:v>40</x:v>
      </x:c>
      <x:c r="P103" s="18" t="n">
        <x:v>59</x:v>
      </x:c>
      <x:c r="Q103" t="str">
        <x:v>Yes</x:v>
      </x:c>
      <x:c r="R103" s="18" t="n">
        <x:v>0</x:v>
      </x:c>
      <x:c r="S103" s="18" t="n">
        <x:v>0</x:v>
      </x:c>
      <x:c r="T103" s="18" t="n">
        <x:v>0</x:v>
      </x:c>
      <x:c r="U103" t="str">
        <x:v>Bad</x:v>
      </x:c>
      <x:c r="V103" t="str">
        <x:v>Yes</x:v>
      </x:c>
      <x:c r="W103" t="str">
        <x:v>WEAK</x:v>
      </x:c>
      <x:c r="X103" t="str">
        <x:v>REWRITE_REQUIRED</x:v>
      </x:c>
      <x:c r="Y103" t="n">
        <x:v>80</x:v>
      </x:c>
      <x:c r="Z103" t="str">
        <x:v>Success</x:v>
      </x:c>
      <x:c r="AA103"/>
      <x:c r="AB103"/>
      <x:c r="AC103" s="13"/>
      <x:c r="AD103" t="n">
        <x:v>0</x:v>
      </x:c>
      <x:c r="AE103" s="19" t="n">
        <x:v>54424</x:v>
      </x:c>
      <x:c r="AF103" t="str">
        <x:v>deepseek-v4-pro</x:v>
      </x:c>
      <x:c r="AG103" s="20" t="n">
        <x:v>46231.16977453704</x:v>
      </x:c>
      <x:c r="AH103" t="n">
        <x:v>200</x:v>
      </x:c>
      <x:c r="AI103" t="str">
        <x:v>618aa56de6d092e5a087737a97d33639da2e6546e151021156dc2bcbb33dbb27</x:v>
      </x:c>
      <x:c r="AJ103" t="str">
        <x:v>b6aedb528c13fd641180bb42aa44cac60cfc21ad2ed4fb6c6f4c7b2e37cf2fdf</x:v>
      </x:c>
    </x:row>
    <x:row r="104">
      <x:c r="A104" s="17" t="str">
        <x:v>103</x:v>
      </x:c>
      <x:c r="B104" t="str">
        <x:v>ZH-BAD-013</x:v>
      </x:c>
      <x:c r="C104" s="17" t="str">
        <x:v>013</x:v>
      </x:c>
      <x:c r="D104" t="str">
        <x:v>Bad</x:v>
      </x:c>
      <x:c r="E104" t="n">
        <x:v>30</x:v>
      </x:c>
      <x:c r="F104" t="n">
        <x:v>49</x:v>
      </x:c>
      <x:c r="G104" t="n">
        <x:v>1</x:v>
      </x:c>
      <x:c r="H104" s="18" t="n">
        <x:v>46</x:v>
      </x:c>
      <x:c r="I104" s="18" t="n">
        <x:v>45</x:v>
      </x:c>
      <x:c r="J104" s="18" t="n">
        <x:v>30</x:v>
      </x:c>
      <x:c r="K104" s="18" t="n">
        <x:v>45</x:v>
      </x:c>
      <x:c r="L104" s="18" t="n">
        <x:v>55</x:v>
      </x:c>
      <x:c r="M104" s="18" t="n">
        <x:v>50</x:v>
      </x:c>
      <x:c r="N104" s="18" t="n">
        <x:v>65</x:v>
      </x:c>
      <x:c r="O104" s="18" t="n">
        <x:v>46</x:v>
      </x:c>
      <x:c r="P104" s="18" t="n">
        <x:v>59</x:v>
      </x:c>
      <x:c r="Q104" t="str">
        <x:v>Yes</x:v>
      </x:c>
      <x:c r="R104" s="18" t="n">
        <x:v>0</x:v>
      </x:c>
      <x:c r="S104" s="18" t="n">
        <x:v>0</x:v>
      </x:c>
      <x:c r="T104" s="18" t="n">
        <x:v>0</x:v>
      </x:c>
      <x:c r="U104" t="str">
        <x:v>Bad</x:v>
      </x:c>
      <x:c r="V104" t="str">
        <x:v>Yes</x:v>
      </x:c>
      <x:c r="W104" t="str">
        <x:v>WEAK</x:v>
      </x:c>
      <x:c r="X104" t="str">
        <x:v>REWRITE_REQUIRED</x:v>
      </x:c>
      <x:c r="Y104" t="n">
        <x:v>80</x:v>
      </x:c>
      <x:c r="Z104" t="str">
        <x:v>Success</x:v>
      </x:c>
      <x:c r="AA104"/>
      <x:c r="AB104"/>
      <x:c r="AC104" s="13"/>
      <x:c r="AD104" t="n">
        <x:v>0</x:v>
      </x:c>
      <x:c r="AE104" s="19" t="n">
        <x:v>66645</x:v>
      </x:c>
      <x:c r="AF104" t="str">
        <x:v>deepseek-v4-pro</x:v>
      </x:c>
      <x:c r="AG104" s="20" t="n">
        <x:v>46231.170545925925</x:v>
      </x:c>
      <x:c r="AH104" t="n">
        <x:v>200</x:v>
      </x:c>
      <x:c r="AI104" t="str">
        <x:v>d283976d56fc610e19f83470adcd1fb4bceb69ca8041aacd2cb011da08cd63f9</x:v>
      </x:c>
      <x:c r="AJ104" t="str">
        <x:v>b6aedb528c13fd641180bb42aa44cac60cfc21ad2ed4fb6c6f4c7b2e37cf2fdf</x:v>
      </x:c>
    </x:row>
    <x:row r="105">
      <x:c r="A105" s="17" t="str">
        <x:v>104</x:v>
      </x:c>
      <x:c r="B105" t="str">
        <x:v>ZH-BAD-014</x:v>
      </x:c>
      <x:c r="C105" s="17" t="str">
        <x:v>014</x:v>
      </x:c>
      <x:c r="D105" t="str">
        <x:v>Bad</x:v>
      </x:c>
      <x:c r="E105" t="n">
        <x:v>30</x:v>
      </x:c>
      <x:c r="F105" t="n">
        <x:v>49</x:v>
      </x:c>
      <x:c r="G105" t="n">
        <x:v>1</x:v>
      </x:c>
      <x:c r="H105" s="18" t="n">
        <x:v>47</x:v>
      </x:c>
      <x:c r="I105" s="18" t="n">
        <x:v>42</x:v>
      </x:c>
      <x:c r="J105" s="18" t="n">
        <x:v>30</x:v>
      </x:c>
      <x:c r="K105" s="18" t="n">
        <x:v>50</x:v>
      </x:c>
      <x:c r="L105" s="18" t="n">
        <x:v>75</x:v>
      </x:c>
      <x:c r="M105" s="18" t="n">
        <x:v>45</x:v>
      </x:c>
      <x:c r="N105" s="18" t="n">
        <x:v>50</x:v>
      </x:c>
      <x:c r="O105" s="18" t="n">
        <x:v>47</x:v>
      </x:c>
      <x:c r="P105" s="18" t="n">
        <x:v>59</x:v>
      </x:c>
      <x:c r="Q105" t="str">
        <x:v>Yes</x:v>
      </x:c>
      <x:c r="R105" s="18" t="n">
        <x:v>0</x:v>
      </x:c>
      <x:c r="S105" s="18" t="n">
        <x:v>0</x:v>
      </x:c>
      <x:c r="T105" s="18" t="n">
        <x:v>0</x:v>
      </x:c>
      <x:c r="U105" t="str">
        <x:v>Bad</x:v>
      </x:c>
      <x:c r="V105" t="str">
        <x:v>Yes</x:v>
      </x:c>
      <x:c r="W105" t="str">
        <x:v>WEAK</x:v>
      </x:c>
      <x:c r="X105" t="str">
        <x:v>REWRITE_REQUIRED</x:v>
      </x:c>
      <x:c r="Y105" t="n">
        <x:v>80</x:v>
      </x:c>
      <x:c r="Z105" t="str">
        <x:v>Success</x:v>
      </x:c>
      <x:c r="AA105"/>
      <x:c r="AB105"/>
      <x:c r="AC105" s="13"/>
      <x:c r="AD105" t="n">
        <x:v>0</x:v>
      </x:c>
      <x:c r="AE105" s="19" t="n">
        <x:v>49650</x:v>
      </x:c>
      <x:c r="AF105" t="str">
        <x:v>deepseek-v4-pro</x:v>
      </x:c>
      <x:c r="AG105" s="20" t="n">
        <x:v>46231.171120625</x:v>
      </x:c>
      <x:c r="AH105" t="n">
        <x:v>200</x:v>
      </x:c>
      <x:c r="AI105" t="str">
        <x:v>2ba8795adcf47977de256a37bd46b8bb8423bd09072ef35ec96f49d1506347cf</x:v>
      </x:c>
      <x:c r="AJ105" t="str">
        <x:v>b6aedb528c13fd641180bb42aa44cac60cfc21ad2ed4fb6c6f4c7b2e37cf2fdf</x:v>
      </x:c>
    </x:row>
    <x:row r="106">
      <x:c r="A106" s="17" t="str">
        <x:v>105</x:v>
      </x:c>
      <x:c r="B106" t="str">
        <x:v>ZH-BAD-015</x:v>
      </x:c>
      <x:c r="C106" s="17" t="str">
        <x:v>015</x:v>
      </x:c>
      <x:c r="D106" t="str">
        <x:v>Bad</x:v>
      </x:c>
      <x:c r="E106" t="n">
        <x:v>30</x:v>
      </x:c>
      <x:c r="F106" t="n">
        <x:v>49</x:v>
      </x:c>
      <x:c r="G106" t="n">
        <x:v>1</x:v>
      </x:c>
      <x:c r="H106" s="18" t="n">
        <x:v>49</x:v>
      </x:c>
      <x:c r="I106" s="18" t="n">
        <x:v>45</x:v>
      </x:c>
      <x:c r="J106" s="18" t="n">
        <x:v>30</x:v>
      </x:c>
      <x:c r="K106" s="18" t="n">
        <x:v>50</x:v>
      </x:c>
      <x:c r="L106" s="18" t="n">
        <x:v>70</x:v>
      </x:c>
      <x:c r="M106" s="18" t="n">
        <x:v>50</x:v>
      </x:c>
      <x:c r="N106" s="18" t="n">
        <x:v>60</x:v>
      </x:c>
      <x:c r="O106" s="18" t="n">
        <x:v>49</x:v>
      </x:c>
      <x:c r="P106" s="18" t="n">
        <x:v>59</x:v>
      </x:c>
      <x:c r="Q106" t="str">
        <x:v>Yes</x:v>
      </x:c>
      <x:c r="R106" s="18" t="n">
        <x:v>0</x:v>
      </x:c>
      <x:c r="S106" s="18" t="n">
        <x:v>0</x:v>
      </x:c>
      <x:c r="T106" s="18" t="n">
        <x:v>0</x:v>
      </x:c>
      <x:c r="U106" t="str">
        <x:v>Bad</x:v>
      </x:c>
      <x:c r="V106" t="str">
        <x:v>Yes</x:v>
      </x:c>
      <x:c r="W106" t="str">
        <x:v>WEAK</x:v>
      </x:c>
      <x:c r="X106" t="str">
        <x:v>REWRITE_REQUIRED</x:v>
      </x:c>
      <x:c r="Y106" t="n">
        <x:v>80</x:v>
      </x:c>
      <x:c r="Z106" t="str">
        <x:v>Success</x:v>
      </x:c>
      <x:c r="AA106"/>
      <x:c r="AB106"/>
      <x:c r="AC106" s="13"/>
      <x:c r="AD106" t="n">
        <x:v>0</x:v>
      </x:c>
      <x:c r="AE106" s="19" t="n">
        <x:v>43096</x:v>
      </x:c>
      <x:c r="AF106" t="str">
        <x:v>deepseek-v4-pro</x:v>
      </x:c>
      <x:c r="AG106" s="20" t="n">
        <x:v>46231.171619444445</x:v>
      </x:c>
      <x:c r="AH106" t="n">
        <x:v>200</x:v>
      </x:c>
      <x:c r="AI106" t="str">
        <x:v>28414048fd90f63c1063a97690e78798ce70ff28e8e4d694dffca09b2bc9eac0</x:v>
      </x:c>
      <x:c r="AJ106" t="str">
        <x:v>b6aedb528c13fd641180bb42aa44cac60cfc21ad2ed4fb6c6f4c7b2e37cf2fdf</x:v>
      </x:c>
    </x:row>
    <x:row r="107">
      <x:c r="A107" s="17" t="str">
        <x:v>106</x:v>
      </x:c>
      <x:c r="B107" t="str">
        <x:v>ZH-BAD-016</x:v>
      </x:c>
      <x:c r="C107" s="17" t="str">
        <x:v>016</x:v>
      </x:c>
      <x:c r="D107" t="str">
        <x:v>Bad</x:v>
      </x:c>
      <x:c r="E107" t="n">
        <x:v>30</x:v>
      </x:c>
      <x:c r="F107" t="n">
        <x:v>49</x:v>
      </x:c>
      <x:c r="G107" t="n">
        <x:v>1</x:v>
      </x:c>
      <x:c r="H107" s="18" t="n">
        <x:v>26</x:v>
      </x:c>
      <x:c r="I107" s="18" t="n">
        <x:v>30</x:v>
      </x:c>
      <x:c r="J107" s="18" t="n">
        <x:v>20</x:v>
      </x:c>
      <x:c r="K107" s="18" t="n">
        <x:v>25</x:v>
      </x:c>
      <x:c r="L107" s="18" t="n">
        <x:v>40</x:v>
      </x:c>
      <x:c r="M107" s="18" t="n">
        <x:v>20</x:v>
      </x:c>
      <x:c r="N107" s="18" t="n">
        <x:v>20</x:v>
      </x:c>
      <x:c r="O107" s="18" t="n">
        <x:v>26</x:v>
      </x:c>
      <x:c r="P107" s="18" t="n">
        <x:v>39</x:v>
      </x:c>
      <x:c r="Q107" t="str">
        <x:v>No</x:v>
      </x:c>
      <x:c r="R107" s="18" t="n">
        <x:v>4</x:v>
      </x:c>
      <x:c r="S107" s="18" t="n">
        <x:v>4</x:v>
      </x:c>
      <x:c r="T107" s="18" t="n">
        <x:v>0</x:v>
      </x:c>
      <x:c r="U107" t="str">
        <x:v>Extremely Bad</x:v>
      </x:c>
      <x:c r="V107" t="str">
        <x:v>No</x:v>
      </x:c>
      <x:c r="W107" t="str">
        <x:v>SEVERELY_DEFICIENT</x:v>
      </x:c>
      <x:c r="X107" t="str">
        <x:v>REWRITE_REQUIRED</x:v>
      </x:c>
      <x:c r="Y107" t="n">
        <x:v>80</x:v>
      </x:c>
      <x:c r="Z107" t="str">
        <x:v>Success</x:v>
      </x:c>
      <x:c r="AA107"/>
      <x:c r="AB107"/>
      <x:c r="AC107" s="13"/>
      <x:c r="AD107" t="n">
        <x:v>0</x:v>
      </x:c>
      <x:c r="AE107" s="19" t="n">
        <x:v>45049</x:v>
      </x:c>
      <x:c r="AF107" t="str">
        <x:v>deepseek-v4-pro</x:v>
      </x:c>
      <x:c r="AG107" s="20" t="n">
        <x:v>46231.172140891205</x:v>
      </x:c>
      <x:c r="AH107" t="n">
        <x:v>200</x:v>
      </x:c>
      <x:c r="AI107" t="str">
        <x:v>056aa112a092c93aba6231a57a46a5bdcf3f033d5b1119ea00df02d98ed6b6d2</x:v>
      </x:c>
      <x:c r="AJ107" t="str">
        <x:v>b6aedb528c13fd641180bb42aa44cac60cfc21ad2ed4fb6c6f4c7b2e37cf2fdf</x:v>
      </x:c>
    </x:row>
    <x:row r="108">
      <x:c r="A108" s="17" t="str">
        <x:v>107</x:v>
      </x:c>
      <x:c r="B108" t="str">
        <x:v>ZH-BAD-017</x:v>
      </x:c>
      <x:c r="C108" s="17" t="str">
        <x:v>017</x:v>
      </x:c>
      <x:c r="D108" t="str">
        <x:v>Bad</x:v>
      </x:c>
      <x:c r="E108" t="n">
        <x:v>30</x:v>
      </x:c>
      <x:c r="F108" t="n">
        <x:v>49</x:v>
      </x:c>
      <x:c r="G108" t="n">
        <x:v>1</x:v>
      </x:c>
      <x:c r="H108" s="18" t="n">
        <x:v>43</x:v>
      </x:c>
      <x:c r="I108" s="18" t="n">
        <x:v>45</x:v>
      </x:c>
      <x:c r="J108" s="18" t="n">
        <x:v>35</x:v>
      </x:c>
      <x:c r="K108" s="18" t="n">
        <x:v>45</x:v>
      </x:c>
      <x:c r="L108" s="18" t="n">
        <x:v>55</x:v>
      </x:c>
      <x:c r="M108" s="18" t="n">
        <x:v>40</x:v>
      </x:c>
      <x:c r="N108" s="18" t="n">
        <x:v>40</x:v>
      </x:c>
      <x:c r="O108" s="18" t="n">
        <x:v>43</x:v>
      </x:c>
      <x:c r="P108" s="18" t="n">
        <x:v>59</x:v>
      </x:c>
      <x:c r="Q108" t="str">
        <x:v>Yes</x:v>
      </x:c>
      <x:c r="R108" s="18" t="n">
        <x:v>0</x:v>
      </x:c>
      <x:c r="S108" s="18" t="n">
        <x:v>0</x:v>
      </x:c>
      <x:c r="T108" s="18" t="n">
        <x:v>0</x:v>
      </x:c>
      <x:c r="U108" t="str">
        <x:v>Bad</x:v>
      </x:c>
      <x:c r="V108" t="str">
        <x:v>Yes</x:v>
      </x:c>
      <x:c r="W108" t="str">
        <x:v>WEAK</x:v>
      </x:c>
      <x:c r="X108" t="str">
        <x:v>REWRITE_REQUIRED</x:v>
      </x:c>
      <x:c r="Y108" t="n">
        <x:v>80</x:v>
      </x:c>
      <x:c r="Z108" t="str">
        <x:v>Success</x:v>
      </x:c>
      <x:c r="AA108"/>
      <x:c r="AB108"/>
      <x:c r="AC108" s="13"/>
      <x:c r="AD108" t="n">
        <x:v>0</x:v>
      </x:c>
      <x:c r="AE108" s="19" t="n">
        <x:v>47812</x:v>
      </x:c>
      <x:c r="AF108" t="str">
        <x:v>deepseek-v4-pro</x:v>
      </x:c>
      <x:c r="AG108" s="20" t="n">
        <x:v>46231.17269431713</x:v>
      </x:c>
      <x:c r="AH108" t="n">
        <x:v>200</x:v>
      </x:c>
      <x:c r="AI108" t="str">
        <x:v>61dad8dd978637745b47bb39ef38740ee62bb27f6d8ff93d6036759c75083420</x:v>
      </x:c>
      <x:c r="AJ108" t="str">
        <x:v>b6aedb528c13fd641180bb42aa44cac60cfc21ad2ed4fb6c6f4c7b2e37cf2fdf</x:v>
      </x:c>
    </x:row>
    <x:row r="109">
      <x:c r="A109" s="17" t="str">
        <x:v>108</x:v>
      </x:c>
      <x:c r="B109" t="str">
        <x:v>ZH-BAD-018</x:v>
      </x:c>
      <x:c r="C109" s="17" t="str">
        <x:v>018</x:v>
      </x:c>
      <x:c r="D109" t="str">
        <x:v>Bad</x:v>
      </x:c>
      <x:c r="E109" t="n">
        <x:v>30</x:v>
      </x:c>
      <x:c r="F109" t="n">
        <x:v>49</x:v>
      </x:c>
      <x:c r="G109" t="n">
        <x:v>1</x:v>
      </x:c>
      <x:c r="H109" s="18" t="n">
        <x:v>43</x:v>
      </x:c>
      <x:c r="I109" s="18" t="n">
        <x:v>45</x:v>
      </x:c>
      <x:c r="J109" s="18" t="n">
        <x:v>35</x:v>
      </x:c>
      <x:c r="K109" s="18" t="n">
        <x:v>50</x:v>
      </x:c>
      <x:c r="L109" s="18" t="n">
        <x:v>45</x:v>
      </x:c>
      <x:c r="M109" s="18" t="n">
        <x:v>45</x:v>
      </x:c>
      <x:c r="N109" s="18" t="n">
        <x:v>40</x:v>
      </x:c>
      <x:c r="O109" s="18" t="n">
        <x:v>43</x:v>
      </x:c>
      <x:c r="P109" s="18" t="n">
        <x:v>59</x:v>
      </x:c>
      <x:c r="Q109" t="str">
        <x:v>Yes</x:v>
      </x:c>
      <x:c r="R109" s="18" t="n">
        <x:v>0</x:v>
      </x:c>
      <x:c r="S109" s="18" t="n">
        <x:v>0</x:v>
      </x:c>
      <x:c r="T109" s="18" t="n">
        <x:v>0</x:v>
      </x:c>
      <x:c r="U109" t="str">
        <x:v>Bad</x:v>
      </x:c>
      <x:c r="V109" t="str">
        <x:v>Yes</x:v>
      </x:c>
      <x:c r="W109" t="str">
        <x:v>WEAK</x:v>
      </x:c>
      <x:c r="X109" t="str">
        <x:v>REWRITE_REQUIRED</x:v>
      </x:c>
      <x:c r="Y109" t="n">
        <x:v>80</x:v>
      </x:c>
      <x:c r="Z109" t="str">
        <x:v>Success</x:v>
      </x:c>
      <x:c r="AA109"/>
      <x:c r="AB109"/>
      <x:c r="AC109" s="13"/>
      <x:c r="AD109" t="n">
        <x:v>0</x:v>
      </x:c>
      <x:c r="AE109" s="19" t="n">
        <x:v>49484</x:v>
      </x:c>
      <x:c r="AF109" t="str">
        <x:v>deepseek-v4-pro</x:v>
      </x:c>
      <x:c r="AG109" s="20" t="n">
        <x:v>46231.17326708333</x:v>
      </x:c>
      <x:c r="AH109" t="n">
        <x:v>200</x:v>
      </x:c>
      <x:c r="AI109" t="str">
        <x:v>13bc488224e1aff59d70d7f03527c01d71cae0a6669f2dfdbb2226049a7b79d3</x:v>
      </x:c>
      <x:c r="AJ109" t="str">
        <x:v>b6aedb528c13fd641180bb42aa44cac60cfc21ad2ed4fb6c6f4c7b2e37cf2fdf</x:v>
      </x:c>
    </x:row>
    <x:row r="110">
      <x:c r="A110" s="17" t="str">
        <x:v>109</x:v>
      </x:c>
      <x:c r="B110" t="str">
        <x:v>ZH-BAD-019</x:v>
      </x:c>
      <x:c r="C110" s="17" t="str">
        <x:v>019</x:v>
      </x:c>
      <x:c r="D110" t="str">
        <x:v>Bad</x:v>
      </x:c>
      <x:c r="E110" t="n">
        <x:v>30</x:v>
      </x:c>
      <x:c r="F110" t="n">
        <x:v>49</x:v>
      </x:c>
      <x:c r="G110" t="n">
        <x:v>1</x:v>
      </x:c>
      <x:c r="H110" s="18" t="n">
        <x:v>44</x:v>
      </x:c>
      <x:c r="I110" s="18" t="n">
        <x:v>45</x:v>
      </x:c>
      <x:c r="J110" s="18" t="n">
        <x:v>30</x:v>
      </x:c>
      <x:c r="K110" s="18" t="n">
        <x:v>50</x:v>
      </x:c>
      <x:c r="L110" s="18" t="n">
        <x:v>65</x:v>
      </x:c>
      <x:c r="M110" s="18" t="n">
        <x:v>40</x:v>
      </x:c>
      <x:c r="N110" s="18" t="n">
        <x:v>30</x:v>
      </x:c>
      <x:c r="O110" s="18" t="n">
        <x:v>44</x:v>
      </x:c>
      <x:c r="P110" s="18" t="n">
        <x:v>59</x:v>
      </x:c>
      <x:c r="Q110" t="str">
        <x:v>Yes</x:v>
      </x:c>
      <x:c r="R110" s="18" t="n">
        <x:v>0</x:v>
      </x:c>
      <x:c r="S110" s="18" t="n">
        <x:v>0</x:v>
      </x:c>
      <x:c r="T110" s="18" t="n">
        <x:v>0</x:v>
      </x:c>
      <x:c r="U110" t="str">
        <x:v>Bad</x:v>
      </x:c>
      <x:c r="V110" t="str">
        <x:v>Yes</x:v>
      </x:c>
      <x:c r="W110" t="str">
        <x:v>WEAK</x:v>
      </x:c>
      <x:c r="X110" t="str">
        <x:v>REWRITE_REQUIRED</x:v>
      </x:c>
      <x:c r="Y110" t="n">
        <x:v>80</x:v>
      </x:c>
      <x:c r="Z110" t="str">
        <x:v>Success</x:v>
      </x:c>
      <x:c r="AA110"/>
      <x:c r="AB110"/>
      <x:c r="AC110" s="13"/>
      <x:c r="AD110" t="n">
        <x:v>0</x:v>
      </x:c>
      <x:c r="AE110" s="19" t="n">
        <x:v>43111</x:v>
      </x:c>
      <x:c r="AF110" t="str">
        <x:v>deepseek-v4-pro</x:v>
      </x:c>
      <x:c r="AG110" s="20" t="n">
        <x:v>46231.173766099535</x:v>
      </x:c>
      <x:c r="AH110" t="n">
        <x:v>200</x:v>
      </x:c>
      <x:c r="AI110" t="str">
        <x:v>0713a3da730db729db3d50e70f5b625bf80c4c8d53bba4c6610d78d566d29511</x:v>
      </x:c>
      <x:c r="AJ110" t="str">
        <x:v>b6aedb528c13fd641180bb42aa44cac60cfc21ad2ed4fb6c6f4c7b2e37cf2fdf</x:v>
      </x:c>
    </x:row>
    <x:row r="111">
      <x:c r="A111" s="17" t="str">
        <x:v>110</x:v>
      </x:c>
      <x:c r="B111" t="str">
        <x:v>ZH-BAD-020</x:v>
      </x:c>
      <x:c r="C111" s="17" t="str">
        <x:v>020</x:v>
      </x:c>
      <x:c r="D111" t="str">
        <x:v>Bad</x:v>
      </x:c>
      <x:c r="E111" t="n">
        <x:v>30</x:v>
      </x:c>
      <x:c r="F111" t="n">
        <x:v>49</x:v>
      </x:c>
      <x:c r="G111" t="n">
        <x:v>1</x:v>
      </x:c>
      <x:c r="H111" s="18" t="n">
        <x:v>35</x:v>
      </x:c>
      <x:c r="I111" s="18" t="n">
        <x:v>45</x:v>
      </x:c>
      <x:c r="J111" s="18" t="n">
        <x:v>25</x:v>
      </x:c>
      <x:c r="K111" s="18" t="n">
        <x:v>35</x:v>
      </x:c>
      <x:c r="L111" s="18" t="n">
        <x:v>30</x:v>
      </x:c>
      <x:c r="M111" s="18" t="n">
        <x:v>30</x:v>
      </x:c>
      <x:c r="N111" s="18" t="n">
        <x:v>45</x:v>
      </x:c>
      <x:c r="O111" s="18" t="n">
        <x:v>35</x:v>
      </x:c>
      <x:c r="P111" s="18" t="n">
        <x:v>59</x:v>
      </x:c>
      <x:c r="Q111" t="str">
        <x:v>Yes</x:v>
      </x:c>
      <x:c r="R111" s="18" t="n">
        <x:v>0</x:v>
      </x:c>
      <x:c r="S111" s="18" t="n">
        <x:v>0</x:v>
      </x:c>
      <x:c r="T111" s="18" t="n">
        <x:v>0</x:v>
      </x:c>
      <x:c r="U111" t="str">
        <x:v>Bad</x:v>
      </x:c>
      <x:c r="V111" t="str">
        <x:v>Yes</x:v>
      </x:c>
      <x:c r="W111" t="str">
        <x:v>SEVERELY_DEFICIENT</x:v>
      </x:c>
      <x:c r="X111" t="str">
        <x:v>REWRITE_REQUIRED</x:v>
      </x:c>
      <x:c r="Y111" t="n">
        <x:v>80</x:v>
      </x:c>
      <x:c r="Z111" t="str">
        <x:v>Success</x:v>
      </x:c>
      <x:c r="AA111"/>
      <x:c r="AB111"/>
      <x:c r="AC111" s="13"/>
      <x:c r="AD111" t="n">
        <x:v>0</x:v>
      </x:c>
      <x:c r="AE111" s="19" t="n">
        <x:v>47432</x:v>
      </x:c>
      <x:c r="AF111" t="str">
        <x:v>deepseek-v4-pro</x:v>
      </x:c>
      <x:c r="AG111" s="20" t="n">
        <x:v>46231.17431510417</x:v>
      </x:c>
      <x:c r="AH111" t="n">
        <x:v>200</x:v>
      </x:c>
      <x:c r="AI111" t="str">
        <x:v>9c2e6012ccf9ded2df2feb6e1e90aa5bbd220e123c0fb1527834281341e92c74</x:v>
      </x:c>
      <x:c r="AJ111" t="str">
        <x:v>b6aedb528c13fd641180bb42aa44cac60cfc21ad2ed4fb6c6f4c7b2e37cf2fdf</x:v>
      </x:c>
    </x:row>
    <x:row r="112">
      <x:c r="A112" s="17" t="str">
        <x:v>111</x:v>
      </x:c>
      <x:c r="B112" t="str">
        <x:v>ZH-BAD-021</x:v>
      </x:c>
      <x:c r="C112" s="17" t="str">
        <x:v>021</x:v>
      </x:c>
      <x:c r="D112" t="str">
        <x:v>Bad</x:v>
      </x:c>
      <x:c r="E112" t="n">
        <x:v>30</x:v>
      </x:c>
      <x:c r="F112" t="n">
        <x:v>49</x:v>
      </x:c>
      <x:c r="G112" t="n">
        <x:v>1</x:v>
      </x:c>
      <x:c r="H112" s="18" t="n">
        <x:v>47</x:v>
      </x:c>
      <x:c r="I112" s="18" t="n">
        <x:v>45</x:v>
      </x:c>
      <x:c r="J112" s="18" t="n">
        <x:v>30</x:v>
      </x:c>
      <x:c r="K112" s="18" t="n">
        <x:v>50</x:v>
      </x:c>
      <x:c r="L112" s="18" t="n">
        <x:v>78</x:v>
      </x:c>
      <x:c r="M112" s="18" t="n">
        <x:v>45</x:v>
      </x:c>
      <x:c r="N112" s="18" t="n">
        <x:v>40</x:v>
      </x:c>
      <x:c r="O112" s="18" t="n">
        <x:v>47</x:v>
      </x:c>
      <x:c r="P112" s="18" t="n">
        <x:v>59</x:v>
      </x:c>
      <x:c r="Q112" t="str">
        <x:v>Yes</x:v>
      </x:c>
      <x:c r="R112" s="18" t="n">
        <x:v>0</x:v>
      </x:c>
      <x:c r="S112" s="18" t="n">
        <x:v>0</x:v>
      </x:c>
      <x:c r="T112" s="18" t="n">
        <x:v>0</x:v>
      </x:c>
      <x:c r="U112" t="str">
        <x:v>Bad</x:v>
      </x:c>
      <x:c r="V112" t="str">
        <x:v>Yes</x:v>
      </x:c>
      <x:c r="W112" t="str">
        <x:v>WEAK</x:v>
      </x:c>
      <x:c r="X112" t="str">
        <x:v>REWRITE_REQUIRED</x:v>
      </x:c>
      <x:c r="Y112" t="n">
        <x:v>80</x:v>
      </x:c>
      <x:c r="Z112" t="str">
        <x:v>Success</x:v>
      </x:c>
      <x:c r="AA112"/>
      <x:c r="AB112"/>
      <x:c r="AC112" s="13"/>
      <x:c r="AD112" t="n">
        <x:v>0</x:v>
      </x:c>
      <x:c r="AE112" s="19" t="n">
        <x:v>73554</x:v>
      </x:c>
      <x:c r="AF112" t="str">
        <x:v>deepseek-v4-pro</x:v>
      </x:c>
      <x:c r="AG112" s="20" t="n">
        <x:v>46231.175166469904</x:v>
      </x:c>
      <x:c r="AH112" t="n">
        <x:v>200</x:v>
      </x:c>
      <x:c r="AI112" t="str">
        <x:v>3aa12da19a31551e48723b817421e21d1e2a95a27c9e8860b1852c881ce6bd62</x:v>
      </x:c>
      <x:c r="AJ112" t="str">
        <x:v>b6aedb528c13fd641180bb42aa44cac60cfc21ad2ed4fb6c6f4c7b2e37cf2fdf</x:v>
      </x:c>
    </x:row>
    <x:row r="113">
      <x:c r="A113" s="17" t="str">
        <x:v>112</x:v>
      </x:c>
      <x:c r="B113" t="str">
        <x:v>ZH-BAD-022</x:v>
      </x:c>
      <x:c r="C113" s="17" t="str">
        <x:v>022</x:v>
      </x:c>
      <x:c r="D113" t="str">
        <x:v>Bad</x:v>
      </x:c>
      <x:c r="E113" t="n">
        <x:v>30</x:v>
      </x:c>
      <x:c r="F113" t="n">
        <x:v>49</x:v>
      </x:c>
      <x:c r="G113" t="n">
        <x:v>1</x:v>
      </x:c>
      <x:c r="H113" s="18" t="n">
        <x:v>19</x:v>
      </x:c>
      <x:c r="I113" s="18" t="n">
        <x:v>20</x:v>
      </x:c>
      <x:c r="J113" s="18" t="n">
        <x:v>10</x:v>
      </x:c>
      <x:c r="K113" s="18" t="n">
        <x:v>20</x:v>
      </x:c>
      <x:c r="L113" s="18" t="n">
        <x:v>30</x:v>
      </x:c>
      <x:c r="M113" s="18" t="n">
        <x:v>20</x:v>
      </x:c>
      <x:c r="N113" s="18" t="n">
        <x:v>10</x:v>
      </x:c>
      <x:c r="O113" s="18" t="n">
        <x:v>19</x:v>
      </x:c>
      <x:c r="P113" s="18" t="n">
        <x:v>39</x:v>
      </x:c>
      <x:c r="Q113" t="str">
        <x:v>No</x:v>
      </x:c>
      <x:c r="R113" s="18" t="n">
        <x:v>11</x:v>
      </x:c>
      <x:c r="S113" s="18" t="n">
        <x:v>11</x:v>
      </x:c>
      <x:c r="T113" s="18" t="n">
        <x:v>0</x:v>
      </x:c>
      <x:c r="U113" t="str">
        <x:v>Extremely Bad</x:v>
      </x:c>
      <x:c r="V113" t="str">
        <x:v>No</x:v>
      </x:c>
      <x:c r="W113" t="str">
        <x:v>SEVERELY_DEFICIENT</x:v>
      </x:c>
      <x:c r="X113" t="str">
        <x:v>REWRITE_REQUIRED</x:v>
      </x:c>
      <x:c r="Y113" t="n">
        <x:v>80</x:v>
      </x:c>
      <x:c r="Z113" t="str">
        <x:v>Success</x:v>
      </x:c>
      <x:c r="AA113"/>
      <x:c r="AB113"/>
      <x:c r="AC113" s="13"/>
      <x:c r="AD113" t="n">
        <x:v>0</x:v>
      </x:c>
      <x:c r="AE113" s="19" t="n">
        <x:v>48940</x:v>
      </x:c>
      <x:c r="AF113" t="str">
        <x:v>deepseek-v4-pro</x:v>
      </x:c>
      <x:c r="AG113" s="20" t="n">
        <x:v>46231.175732916665</x:v>
      </x:c>
      <x:c r="AH113" t="n">
        <x:v>200</x:v>
      </x:c>
      <x:c r="AI113" t="str">
        <x:v>513b22d4b290b98515efa06cb987f787bbf49b35261999924920e93c36e3d479</x:v>
      </x:c>
      <x:c r="AJ113" t="str">
        <x:v>b6aedb528c13fd641180bb42aa44cac60cfc21ad2ed4fb6c6f4c7b2e37cf2fdf</x:v>
      </x:c>
    </x:row>
    <x:row r="114">
      <x:c r="A114" s="17" t="str">
        <x:v>113</x:v>
      </x:c>
      <x:c r="B114" t="str">
        <x:v>ZH-BAD-023</x:v>
      </x:c>
      <x:c r="C114" s="17" t="str">
        <x:v>023</x:v>
      </x:c>
      <x:c r="D114" t="str">
        <x:v>Bad</x:v>
      </x:c>
      <x:c r="E114" t="n">
        <x:v>30</x:v>
      </x:c>
      <x:c r="F114" t="n">
        <x:v>49</x:v>
      </x:c>
      <x:c r="G114" t="n">
        <x:v>1</x:v>
      </x:c>
      <x:c r="H114" s="18" t="n">
        <x:v>47</x:v>
      </x:c>
      <x:c r="I114" s="18" t="n">
        <x:v>48</x:v>
      </x:c>
      <x:c r="J114" s="18" t="n">
        <x:v>35</x:v>
      </x:c>
      <x:c r="K114" s="18" t="n">
        <x:v>65</x:v>
      </x:c>
      <x:c r="L114" s="18" t="n">
        <x:v>40</x:v>
      </x:c>
      <x:c r="M114" s="18" t="n">
        <x:v>45</x:v>
      </x:c>
      <x:c r="N114" s="18" t="n">
        <x:v>50</x:v>
      </x:c>
      <x:c r="O114" s="18" t="n">
        <x:v>47</x:v>
      </x:c>
      <x:c r="P114" s="18" t="n">
        <x:v>59</x:v>
      </x:c>
      <x:c r="Q114" t="str">
        <x:v>Yes</x:v>
      </x:c>
      <x:c r="R114" s="18" t="n">
        <x:v>0</x:v>
      </x:c>
      <x:c r="S114" s="18" t="n">
        <x:v>0</x:v>
      </x:c>
      <x:c r="T114" s="18" t="n">
        <x:v>0</x:v>
      </x:c>
      <x:c r="U114" t="str">
        <x:v>Bad</x:v>
      </x:c>
      <x:c r="V114" t="str">
        <x:v>Yes</x:v>
      </x:c>
      <x:c r="W114" t="str">
        <x:v>WEAK</x:v>
      </x:c>
      <x:c r="X114" t="str">
        <x:v>REWRITE_REQUIRED</x:v>
      </x:c>
      <x:c r="Y114" t="n">
        <x:v>80</x:v>
      </x:c>
      <x:c r="Z114" t="str">
        <x:v>Success</x:v>
      </x:c>
      <x:c r="AA114"/>
      <x:c r="AB114"/>
      <x:c r="AC114" s="13"/>
      <x:c r="AD114" t="n">
        <x:v>0</x:v>
      </x:c>
      <x:c r="AE114" s="19" t="n">
        <x:v>81068</x:v>
      </x:c>
      <x:c r="AF114" t="str">
        <x:v>deepseek-v4-pro</x:v>
      </x:c>
      <x:c r="AG114" s="20" t="n">
        <x:v>46231.17667122685</x:v>
      </x:c>
      <x:c r="AH114" t="n">
        <x:v>200</x:v>
      </x:c>
      <x:c r="AI114" t="str">
        <x:v>067fde7adc4061bb7d47874458ef69e7a4b929676ea4bc3dbb341f33a284dd63</x:v>
      </x:c>
      <x:c r="AJ114" t="str">
        <x:v>b6aedb528c13fd641180bb42aa44cac60cfc21ad2ed4fb6c6f4c7b2e37cf2fdf</x:v>
      </x:c>
    </x:row>
    <x:row r="115">
      <x:c r="A115" s="17" t="str">
        <x:v>114</x:v>
      </x:c>
      <x:c r="B115" t="str">
        <x:v>ZH-BAD-024</x:v>
      </x:c>
      <x:c r="C115" s="17" t="str">
        <x:v>024</x:v>
      </x:c>
      <x:c r="D115" t="str">
        <x:v>Bad</x:v>
      </x:c>
      <x:c r="E115" t="n">
        <x:v>30</x:v>
      </x:c>
      <x:c r="F115" t="n">
        <x:v>49</x:v>
      </x:c>
      <x:c r="G115" t="n">
        <x:v>1</x:v>
      </x:c>
      <x:c r="H115" s="18" t="n">
        <x:v>54</x:v>
      </x:c>
      <x:c r="I115" s="18" t="n">
        <x:v>45</x:v>
      </x:c>
      <x:c r="J115" s="18" t="n">
        <x:v>40</x:v>
      </x:c>
      <x:c r="K115" s="18" t="n">
        <x:v>65</x:v>
      </x:c>
      <x:c r="L115" s="18" t="n">
        <x:v>85</x:v>
      </x:c>
      <x:c r="M115" s="18" t="n">
        <x:v>45</x:v>
      </x:c>
      <x:c r="N115" s="18" t="n">
        <x:v>55</x:v>
      </x:c>
      <x:c r="O115" s="18" t="n">
        <x:v>54</x:v>
      </x:c>
      <x:c r="P115" s="18" t="n">
        <x:v>59</x:v>
      </x:c>
      <x:c r="Q115" t="str">
        <x:v>No</x:v>
      </x:c>
      <x:c r="R115" s="18" t="n">
        <x:v>5</x:v>
      </x:c>
      <x:c r="S115" s="18" t="n">
        <x:v>0</x:v>
      </x:c>
      <x:c r="T115" s="18" t="n">
        <x:v>5</x:v>
      </x:c>
      <x:c r="U115" t="str">
        <x:v>Normal</x:v>
      </x:c>
      <x:c r="V115" t="str">
        <x:v>No</x:v>
      </x:c>
      <x:c r="W115" t="str">
        <x:v>WEAK</x:v>
      </x:c>
      <x:c r="X115" t="str">
        <x:v>REWRITE_REQUIRED</x:v>
      </x:c>
      <x:c r="Y115" t="n">
        <x:v>80</x:v>
      </x:c>
      <x:c r="Z115" t="str">
        <x:v>Success</x:v>
      </x:c>
      <x:c r="AA115"/>
      <x:c r="AB115"/>
      <x:c r="AC115" s="13"/>
      <x:c r="AD115" t="n">
        <x:v>0</x:v>
      </x:c>
      <x:c r="AE115" s="19" t="n">
        <x:v>50311</x:v>
      </x:c>
      <x:c r="AF115" t="str">
        <x:v>deepseek-v4-pro</x:v>
      </x:c>
      <x:c r="AG115" s="20" t="n">
        <x:v>46231.17725364583</x:v>
      </x:c>
      <x:c r="AH115" t="n">
        <x:v>200</x:v>
      </x:c>
      <x:c r="AI115" t="str">
        <x:v>d597f5755a0f58eb771da29ab34d5aaa3bf4025fb584f2a98255ec7dc5054123</x:v>
      </x:c>
      <x:c r="AJ115" t="str">
        <x:v>b6aedb528c13fd641180bb42aa44cac60cfc21ad2ed4fb6c6f4c7b2e37cf2fdf</x:v>
      </x:c>
    </x:row>
    <x:row r="116">
      <x:c r="A116" s="17" t="str">
        <x:v>115</x:v>
      </x:c>
      <x:c r="B116" t="str">
        <x:v>ZH-BAD-025</x:v>
      </x:c>
      <x:c r="C116" s="17" t="str">
        <x:v>025</x:v>
      </x:c>
      <x:c r="D116" t="str">
        <x:v>Bad</x:v>
      </x:c>
      <x:c r="E116" t="n">
        <x:v>30</x:v>
      </x:c>
      <x:c r="F116" t="n">
        <x:v>49</x:v>
      </x:c>
      <x:c r="G116" t="n">
        <x:v>1</x:v>
      </x:c>
      <x:c r="H116" s="18" t="n">
        <x:v>38</x:v>
      </x:c>
      <x:c r="I116" s="18" t="n">
        <x:v>39</x:v>
      </x:c>
      <x:c r="J116" s="18" t="n">
        <x:v>30</x:v>
      </x:c>
      <x:c r="K116" s="18" t="n">
        <x:v>40</x:v>
      </x:c>
      <x:c r="L116" s="18" t="n">
        <x:v>45</x:v>
      </x:c>
      <x:c r="M116" s="18" t="n">
        <x:v>40</x:v>
      </x:c>
      <x:c r="N116" s="18" t="n">
        <x:v>35</x:v>
      </x:c>
      <x:c r="O116" s="18" t="n">
        <x:v>38</x:v>
      </x:c>
      <x:c r="P116" s="18" t="n">
        <x:v>39</x:v>
      </x:c>
      <x:c r="Q116" t="str">
        <x:v>Yes</x:v>
      </x:c>
      <x:c r="R116" s="18" t="n">
        <x:v>0</x:v>
      </x:c>
      <x:c r="S116" s="18" t="n">
        <x:v>0</x:v>
      </x:c>
      <x:c r="T116" s="18" t="n">
        <x:v>0</x:v>
      </x:c>
      <x:c r="U116" t="str">
        <x:v>Bad</x:v>
      </x:c>
      <x:c r="V116" t="str">
        <x:v>Yes</x:v>
      </x:c>
      <x:c r="W116" t="str">
        <x:v>SEVERELY_DEFICIENT</x:v>
      </x:c>
      <x:c r="X116" t="str">
        <x:v>REWRITE_REQUIRED</x:v>
      </x:c>
      <x:c r="Y116" t="n">
        <x:v>80</x:v>
      </x:c>
      <x:c r="Z116" t="str">
        <x:v>Success</x:v>
      </x:c>
      <x:c r="AA116"/>
      <x:c r="AB116"/>
      <x:c r="AC116" s="13"/>
      <x:c r="AD116" t="n">
        <x:v>0</x:v>
      </x:c>
      <x:c r="AE116" s="19" t="n">
        <x:v>39486</x:v>
      </x:c>
      <x:c r="AF116" t="str">
        <x:v>deepseek-v4-pro</x:v>
      </x:c>
      <x:c r="AG116" s="20" t="n">
        <x:v>46231.17771070602</x:v>
      </x:c>
      <x:c r="AH116" t="n">
        <x:v>200</x:v>
      </x:c>
      <x:c r="AI116" t="str">
        <x:v>cf4fc94582c0b8da015f8204dac1323c71f2e02a914a33b2fc04ffc8c2953682</x:v>
      </x:c>
      <x:c r="AJ116" t="str">
        <x:v>b6aedb528c13fd641180bb42aa44cac60cfc21ad2ed4fb6c6f4c7b2e37cf2fdf</x:v>
      </x:c>
    </x:row>
    <x:row r="117">
      <x:c r="A117" s="17" t="str">
        <x:v>116</x:v>
      </x:c>
      <x:c r="B117" t="str">
        <x:v>ZH-BAD-026</x:v>
      </x:c>
      <x:c r="C117" s="17" t="str">
        <x:v>026</x:v>
      </x:c>
      <x:c r="D117" t="str">
        <x:v>Bad</x:v>
      </x:c>
      <x:c r="E117" t="n">
        <x:v>30</x:v>
      </x:c>
      <x:c r="F117" t="n">
        <x:v>49</x:v>
      </x:c>
      <x:c r="G117" t="n">
        <x:v>1</x:v>
      </x:c>
      <x:c r="H117" s="18" t="n">
        <x:v>35</x:v>
      </x:c>
      <x:c r="I117" s="18" t="n">
        <x:v>30</x:v>
      </x:c>
      <x:c r="J117" s="18" t="n">
        <x:v>30</x:v>
      </x:c>
      <x:c r="K117" s="18" t="n">
        <x:v>40</x:v>
      </x:c>
      <x:c r="L117" s="18" t="n">
        <x:v>50</x:v>
      </x:c>
      <x:c r="M117" s="18" t="n">
        <x:v>30</x:v>
      </x:c>
      <x:c r="N117" s="18" t="n">
        <x:v>30</x:v>
      </x:c>
      <x:c r="O117" s="18" t="n">
        <x:v>35</x:v>
      </x:c>
      <x:c r="P117" s="18" t="n">
        <x:v>39</x:v>
      </x:c>
      <x:c r="Q117" t="str">
        <x:v>Yes</x:v>
      </x:c>
      <x:c r="R117" s="18" t="n">
        <x:v>0</x:v>
      </x:c>
      <x:c r="S117" s="18" t="n">
        <x:v>0</x:v>
      </x:c>
      <x:c r="T117" s="18" t="n">
        <x:v>0</x:v>
      </x:c>
      <x:c r="U117" t="str">
        <x:v>Bad</x:v>
      </x:c>
      <x:c r="V117" t="str">
        <x:v>Yes</x:v>
      </x:c>
      <x:c r="W117" t="str">
        <x:v>SEVERELY_DEFICIENT</x:v>
      </x:c>
      <x:c r="X117" t="str">
        <x:v>REWRITE_REQUIRED</x:v>
      </x:c>
      <x:c r="Y117" t="n">
        <x:v>80</x:v>
      </x:c>
      <x:c r="Z117" t="str">
        <x:v>Success</x:v>
      </x:c>
      <x:c r="AA117"/>
      <x:c r="AB117"/>
      <x:c r="AC117" s="13"/>
      <x:c r="AD117" t="n">
        <x:v>0</x:v>
      </x:c>
      <x:c r="AE117" s="19" t="n">
        <x:v>26637</x:v>
      </x:c>
      <x:c r="AF117" t="str">
        <x:v>deepseek-v4-pro</x:v>
      </x:c>
      <x:c r="AG117" s="20" t="n">
        <x:v>46231.17801905092</x:v>
      </x:c>
      <x:c r="AH117" t="n">
        <x:v>200</x:v>
      </x:c>
      <x:c r="AI117" t="str">
        <x:v>2a325d983f2c1d8892ff8f2d8dbd4b2f9966b168c9ba2a4f4eadf0f005f90750</x:v>
      </x:c>
      <x:c r="AJ117" t="str">
        <x:v>b6aedb528c13fd641180bb42aa44cac60cfc21ad2ed4fb6c6f4c7b2e37cf2fdf</x:v>
      </x:c>
    </x:row>
    <x:row r="118">
      <x:c r="A118" s="17" t="str">
        <x:v>117</x:v>
      </x:c>
      <x:c r="B118" t="str">
        <x:v>ZH-BAD-027</x:v>
      </x:c>
      <x:c r="C118" s="17" t="str">
        <x:v>027</x:v>
      </x:c>
      <x:c r="D118" t="str">
        <x:v>Bad</x:v>
      </x:c>
      <x:c r="E118" t="n">
        <x:v>30</x:v>
      </x:c>
      <x:c r="F118" t="n">
        <x:v>49</x:v>
      </x:c>
      <x:c r="G118" t="n">
        <x:v>1</x:v>
      </x:c>
      <x:c r="H118" s="18" t="n">
        <x:v>32</x:v>
      </x:c>
      <x:c r="I118" s="18" t="n">
        <x:v>35</x:v>
      </x:c>
      <x:c r="J118" s="18" t="n">
        <x:v>20</x:v>
      </x:c>
      <x:c r="K118" s="18" t="n">
        <x:v>40</x:v>
      </x:c>
      <x:c r="L118" s="18" t="n">
        <x:v>30</x:v>
      </x:c>
      <x:c r="M118" s="18" t="n">
        <x:v>30</x:v>
      </x:c>
      <x:c r="N118" s="18" t="n">
        <x:v>40</x:v>
      </x:c>
      <x:c r="O118" s="18" t="n">
        <x:v>32</x:v>
      </x:c>
      <x:c r="P118" s="18" t="n">
        <x:v>59</x:v>
      </x:c>
      <x:c r="Q118" t="str">
        <x:v>Yes</x:v>
      </x:c>
      <x:c r="R118" s="18" t="n">
        <x:v>0</x:v>
      </x:c>
      <x:c r="S118" s="18" t="n">
        <x:v>0</x:v>
      </x:c>
      <x:c r="T118" s="18" t="n">
        <x:v>0</x:v>
      </x:c>
      <x:c r="U118" t="str">
        <x:v>Bad</x:v>
      </x:c>
      <x:c r="V118" t="str">
        <x:v>Yes</x:v>
      </x:c>
      <x:c r="W118" t="str">
        <x:v>SEVERELY_DEFICIENT</x:v>
      </x:c>
      <x:c r="X118" t="str">
        <x:v>REWRITE_REQUIRED</x:v>
      </x:c>
      <x:c r="Y118" t="n">
        <x:v>80</x:v>
      </x:c>
      <x:c r="Z118" t="str">
        <x:v>Success</x:v>
      </x:c>
      <x:c r="AA118"/>
      <x:c r="AB118"/>
      <x:c r="AC118" s="13"/>
      <x:c r="AD118" t="n">
        <x:v>0</x:v>
      </x:c>
      <x:c r="AE118" s="19" t="n">
        <x:v>70062</x:v>
      </x:c>
      <x:c r="AF118" t="str">
        <x:v>deepseek-v4-pro</x:v>
      </x:c>
      <x:c r="AG118" s="20" t="n">
        <x:v>46231.178829965276</x:v>
      </x:c>
      <x:c r="AH118" t="n">
        <x:v>200</x:v>
      </x:c>
      <x:c r="AI118" t="str">
        <x:v>d8aac1819021ab41b1ea71ed67b1038ae9c67b5f32dac47da3100c51905f060b</x:v>
      </x:c>
      <x:c r="AJ118" t="str">
        <x:v>b6aedb528c13fd641180bb42aa44cac60cfc21ad2ed4fb6c6f4c7b2e37cf2fdf</x:v>
      </x:c>
    </x:row>
    <x:row r="119">
      <x:c r="A119" s="17" t="str">
        <x:v>118</x:v>
      </x:c>
      <x:c r="B119" t="str">
        <x:v>ZH-BAD-028</x:v>
      </x:c>
      <x:c r="C119" s="17" t="str">
        <x:v>028</x:v>
      </x:c>
      <x:c r="D119" t="str">
        <x:v>Bad</x:v>
      </x:c>
      <x:c r="E119" t="n">
        <x:v>30</x:v>
      </x:c>
      <x:c r="F119" t="n">
        <x:v>49</x:v>
      </x:c>
      <x:c r="G119" t="n">
        <x:v>1</x:v>
      </x:c>
      <x:c r="H119" s="18" t="n">
        <x:v>41</x:v>
      </x:c>
      <x:c r="I119" s="18" t="n">
        <x:v>40</x:v>
      </x:c>
      <x:c r="J119" s="18" t="n">
        <x:v>30</x:v>
      </x:c>
      <x:c r="K119" s="18" t="n">
        <x:v>45</x:v>
      </x:c>
      <x:c r="L119" s="18" t="n">
        <x:v>50</x:v>
      </x:c>
      <x:c r="M119" s="18" t="n">
        <x:v>45</x:v>
      </x:c>
      <x:c r="N119" s="18" t="n">
        <x:v>35</x:v>
      </x:c>
      <x:c r="O119" s="18" t="n">
        <x:v>41</x:v>
      </x:c>
      <x:c r="P119" s="18" t="n">
        <x:v>59</x:v>
      </x:c>
      <x:c r="Q119" t="str">
        <x:v>Yes</x:v>
      </x:c>
      <x:c r="R119" s="18" t="n">
        <x:v>0</x:v>
      </x:c>
      <x:c r="S119" s="18" t="n">
        <x:v>0</x:v>
      </x:c>
      <x:c r="T119" s="18" t="n">
        <x:v>0</x:v>
      </x:c>
      <x:c r="U119" t="str">
        <x:v>Bad</x:v>
      </x:c>
      <x:c r="V119" t="str">
        <x:v>Yes</x:v>
      </x:c>
      <x:c r="W119" t="str">
        <x:v>WEAK</x:v>
      </x:c>
      <x:c r="X119" t="str">
        <x:v>REWRITE_REQUIRED</x:v>
      </x:c>
      <x:c r="Y119" t="n">
        <x:v>80</x:v>
      </x:c>
      <x:c r="Z119" t="str">
        <x:v>Success</x:v>
      </x:c>
      <x:c r="AA119"/>
      <x:c r="AB119"/>
      <x:c r="AC119" s="13"/>
      <x:c r="AD119" t="n">
        <x:v>0</x:v>
      </x:c>
      <x:c r="AE119" s="19" t="n">
        <x:v>70272</x:v>
      </x:c>
      <x:c r="AF119" t="str">
        <x:v>deepseek-v4-pro</x:v>
      </x:c>
      <x:c r="AG119" s="20" t="n">
        <x:v>46231.179643344905</x:v>
      </x:c>
      <x:c r="AH119" t="n">
        <x:v>200</x:v>
      </x:c>
      <x:c r="AI119" t="str">
        <x:v>6d7fc596795bc40e872cf53ac65877a58a18cecd931475042cc20046939e3d05</x:v>
      </x:c>
      <x:c r="AJ119" t="str">
        <x:v>b6aedb528c13fd641180bb42aa44cac60cfc21ad2ed4fb6c6f4c7b2e37cf2fdf</x:v>
      </x:c>
    </x:row>
    <x:row r="120">
      <x:c r="A120" s="17" t="str">
        <x:v>119</x:v>
      </x:c>
      <x:c r="B120" t="str">
        <x:v>ZH-BAD-029</x:v>
      </x:c>
      <x:c r="C120" s="17" t="str">
        <x:v>029</x:v>
      </x:c>
      <x:c r="D120" t="str">
        <x:v>Bad</x:v>
      </x:c>
      <x:c r="E120" t="n">
        <x:v>30</x:v>
      </x:c>
      <x:c r="F120" t="n">
        <x:v>49</x:v>
      </x:c>
      <x:c r="G120" t="n">
        <x:v>1</x:v>
      </x:c>
      <x:c r="H120" s="18" t="n">
        <x:v>44</x:v>
      </x:c>
      <x:c r="I120" s="18" t="n">
        <x:v>45</x:v>
      </x:c>
      <x:c r="J120" s="18" t="n">
        <x:v>35</x:v>
      </x:c>
      <x:c r="K120" s="18" t="n">
        <x:v>50</x:v>
      </x:c>
      <x:c r="L120" s="18" t="n">
        <x:v>45</x:v>
      </x:c>
      <x:c r="M120" s="18" t="n">
        <x:v>40</x:v>
      </x:c>
      <x:c r="N120" s="18" t="n">
        <x:v>50</x:v>
      </x:c>
      <x:c r="O120" s="18" t="n">
        <x:v>44</x:v>
      </x:c>
      <x:c r="P120" s="18" t="n">
        <x:v>59</x:v>
      </x:c>
      <x:c r="Q120" t="str">
        <x:v>Yes</x:v>
      </x:c>
      <x:c r="R120" s="18" t="n">
        <x:v>0</x:v>
      </x:c>
      <x:c r="S120" s="18" t="n">
        <x:v>0</x:v>
      </x:c>
      <x:c r="T120" s="18" t="n">
        <x:v>0</x:v>
      </x:c>
      <x:c r="U120" t="str">
        <x:v>Bad</x:v>
      </x:c>
      <x:c r="V120" t="str">
        <x:v>Yes</x:v>
      </x:c>
      <x:c r="W120" t="str">
        <x:v>WEAK</x:v>
      </x:c>
      <x:c r="X120" t="str">
        <x:v>REWRITE_REQUIRED</x:v>
      </x:c>
      <x:c r="Y120" t="n">
        <x:v>80</x:v>
      </x:c>
      <x:c r="Z120" t="str">
        <x:v>Success</x:v>
      </x:c>
      <x:c r="AA120"/>
      <x:c r="AB120"/>
      <x:c r="AC120" s="13"/>
      <x:c r="AD120" t="n">
        <x:v>0</x:v>
      </x:c>
      <x:c r="AE120" s="19" t="n">
        <x:v>64151</x:v>
      </x:c>
      <x:c r="AF120" t="str">
        <x:v>deepseek-v4-pro</x:v>
      </x:c>
      <x:c r="AG120" s="20" t="n">
        <x:v>46231.18038587963</x:v>
      </x:c>
      <x:c r="AH120" t="n">
        <x:v>200</x:v>
      </x:c>
      <x:c r="AI120" t="str">
        <x:v>3adc47e6eb51714a0a8dfe0898e8cd62adc6367361c5cf51d8cfa2fa4f9b0b69</x:v>
      </x:c>
      <x:c r="AJ120" t="str">
        <x:v>b6aedb528c13fd641180bb42aa44cac60cfc21ad2ed4fb6c6f4c7b2e37cf2fdf</x:v>
      </x:c>
    </x:row>
    <x:row r="121">
      <x:c r="A121" s="17" t="str">
        <x:v>120</x:v>
      </x:c>
      <x:c r="B121" t="str">
        <x:v>ZH-BAD-030</x:v>
      </x:c>
      <x:c r="C121" s="17" t="str">
        <x:v>030</x:v>
      </x:c>
      <x:c r="D121" t="str">
        <x:v>Bad</x:v>
      </x:c>
      <x:c r="E121" t="n">
        <x:v>30</x:v>
      </x:c>
      <x:c r="F121" t="n">
        <x:v>49</x:v>
      </x:c>
      <x:c r="G121" t="n">
        <x:v>1</x:v>
      </x:c>
      <x:c r="H121" s="18" t="n">
        <x:v>46</x:v>
      </x:c>
      <x:c r="I121" s="18" t="n">
        <x:v>45</x:v>
      </x:c>
      <x:c r="J121" s="18" t="n">
        <x:v>25</x:v>
      </x:c>
      <x:c r="K121" s="18" t="n">
        <x:v>55</x:v>
      </x:c>
      <x:c r="L121" s="18" t="n">
        <x:v>70</x:v>
      </x:c>
      <x:c r="M121" s="18" t="n">
        <x:v>45</x:v>
      </x:c>
      <x:c r="N121" s="18" t="n">
        <x:v>40</x:v>
      </x:c>
      <x:c r="O121" s="18" t="n">
        <x:v>46</x:v>
      </x:c>
      <x:c r="P121" s="18" t="n">
        <x:v>59</x:v>
      </x:c>
      <x:c r="Q121" t="str">
        <x:v>Yes</x:v>
      </x:c>
      <x:c r="R121" s="18" t="n">
        <x:v>0</x:v>
      </x:c>
      <x:c r="S121" s="18" t="n">
        <x:v>0</x:v>
      </x:c>
      <x:c r="T121" s="18" t="n">
        <x:v>0</x:v>
      </x:c>
      <x:c r="U121" t="str">
        <x:v>Bad</x:v>
      </x:c>
      <x:c r="V121" t="str">
        <x:v>Yes</x:v>
      </x:c>
      <x:c r="W121" t="str">
        <x:v>WEAK</x:v>
      </x:c>
      <x:c r="X121" t="str">
        <x:v>REWRITE_REQUIRED</x:v>
      </x:c>
      <x:c r="Y121" t="n">
        <x:v>80</x:v>
      </x:c>
      <x:c r="Z121" t="str">
        <x:v>Success</x:v>
      </x:c>
      <x:c r="AA121"/>
      <x:c r="AB121"/>
      <x:c r="AC121" s="13"/>
      <x:c r="AD121" t="n">
        <x:v>0</x:v>
      </x:c>
      <x:c r="AE121" s="19" t="n">
        <x:v>54237</x:v>
      </x:c>
      <x:c r="AF121" t="str">
        <x:v>deepseek-v4-pro</x:v>
      </x:c>
      <x:c r="AG121" s="20" t="n">
        <x:v>46231.181013657406</x:v>
      </x:c>
      <x:c r="AH121" t="n">
        <x:v>200</x:v>
      </x:c>
      <x:c r="AI121" t="str">
        <x:v>57d93ef8771f4d101b5097eb992145b3a4ac3095a5c613c9e43cfa2183210388</x:v>
      </x:c>
      <x:c r="AJ121" t="str">
        <x:v>b6aedb528c13fd641180bb42aa44cac60cfc21ad2ed4fb6c6f4c7b2e37cf2fdf</x:v>
      </x:c>
    </x:row>
    <x:row r="122">
      <x:c r="A122" s="17" t="str">
        <x:v>121</x:v>
      </x:c>
      <x:c r="B122" t="str">
        <x:v>ZH-EXTREMELY-BAD-001</x:v>
      </x:c>
      <x:c r="C122" s="17" t="str">
        <x:v>001</x:v>
      </x:c>
      <x:c r="D122" t="str">
        <x:v>Extremely Bad</x:v>
      </x:c>
      <x:c r="E122" t="n">
        <x:v>0</x:v>
      </x:c>
      <x:c r="F122" t="n">
        <x:v>29</x:v>
      </x:c>
      <x:c r="G122" t="n">
        <x:v>1</x:v>
      </x:c>
      <x:c r="H122" s="18" t="n">
        <x:v>31</x:v>
      </x:c>
      <x:c r="I122" s="18" t="n">
        <x:v>30</x:v>
      </x:c>
      <x:c r="J122" s="18" t="n">
        <x:v>20</x:v>
      </x:c>
      <x:c r="K122" s="18" t="n">
        <x:v>25</x:v>
      </x:c>
      <x:c r="L122" s="18" t="n">
        <x:v>55</x:v>
      </x:c>
      <x:c r="M122" s="18" t="n">
        <x:v>30</x:v>
      </x:c>
      <x:c r="N122" s="18" t="n">
        <x:v>25</x:v>
      </x:c>
      <x:c r="O122" s="18" t="n">
        <x:v>31</x:v>
      </x:c>
      <x:c r="P122" s="18" t="n">
        <x:v>39</x:v>
      </x:c>
      <x:c r="Q122" t="str">
        <x:v>No</x:v>
      </x:c>
      <x:c r="R122" s="18" t="n">
        <x:v>2</x:v>
      </x:c>
      <x:c r="S122" s="18" t="n">
        <x:v>0</x:v>
      </x:c>
      <x:c r="T122" s="18" t="n">
        <x:v>2</x:v>
      </x:c>
      <x:c r="U122" t="str">
        <x:v>Bad</x:v>
      </x:c>
      <x:c r="V122" t="str">
        <x:v>No</x:v>
      </x:c>
      <x:c r="W122" t="str">
        <x:v>SEVERELY_DEFICIENT</x:v>
      </x:c>
      <x:c r="X122" t="str">
        <x:v>REWRITE_REQUIRED</x:v>
      </x:c>
      <x:c r="Y122" t="n">
        <x:v>80</x:v>
      </x:c>
      <x:c r="Z122" t="str">
        <x:v>Success</x:v>
      </x:c>
      <x:c r="AA122"/>
      <x:c r="AB122"/>
      <x:c r="AC122" s="13"/>
      <x:c r="AD122" t="n">
        <x:v>0</x:v>
      </x:c>
      <x:c r="AE122" s="19" t="n">
        <x:v>54228</x:v>
      </x:c>
      <x:c r="AF122" t="str">
        <x:v>deepseek-v4-pro</x:v>
      </x:c>
      <x:c r="AG122" s="20" t="n">
        <x:v>46231.1627149537</x:v>
      </x:c>
      <x:c r="AH122" t="n">
        <x:v>200</x:v>
      </x:c>
      <x:c r="AI122" t="str">
        <x:v>6fa2a989ab58ab2b19a9ac5bf091c22b387d234a343a480c09846e48ad079621</x:v>
      </x:c>
      <x:c r="AJ122" t="str">
        <x:v>b6aedb528c13fd641180bb42aa44cac60cfc21ad2ed4fb6c6f4c7b2e37cf2fdf</x:v>
      </x:c>
    </x:row>
    <x:row r="123">
      <x:c r="A123" s="17" t="str">
        <x:v>122</x:v>
      </x:c>
      <x:c r="B123" t="str">
        <x:v>ZH-EXTREMELY-BAD-002</x:v>
      </x:c>
      <x:c r="C123" s="17" t="str">
        <x:v>002</x:v>
      </x:c>
      <x:c r="D123" t="str">
        <x:v>Extremely Bad</x:v>
      </x:c>
      <x:c r="E123" t="n">
        <x:v>0</x:v>
      </x:c>
      <x:c r="F123" t="n">
        <x:v>29</x:v>
      </x:c>
      <x:c r="G123" t="n">
        <x:v>1</x:v>
      </x:c>
      <x:c r="H123" s="18" t="n">
        <x:v>48</x:v>
      </x:c>
      <x:c r="I123" s="18" t="n">
        <x:v>35</x:v>
      </x:c>
      <x:c r="J123" s="18" t="n">
        <x:v>30</x:v>
      </x:c>
      <x:c r="K123" s="18" t="n">
        <x:v>65</x:v>
      </x:c>
      <x:c r="L123" s="18" t="n">
        <x:v>80</x:v>
      </x:c>
      <x:c r="M123" s="18" t="n">
        <x:v>45</x:v>
      </x:c>
      <x:c r="N123" s="18" t="n">
        <x:v>45</x:v>
      </x:c>
      <x:c r="O123" s="18" t="n">
        <x:v>48</x:v>
      </x:c>
      <x:c r="P123" s="18" t="n">
        <x:v>59</x:v>
      </x:c>
      <x:c r="Q123" t="str">
        <x:v>No</x:v>
      </x:c>
      <x:c r="R123" s="18" t="n">
        <x:v>19</x:v>
      </x:c>
      <x:c r="S123" s="18" t="n">
        <x:v>0</x:v>
      </x:c>
      <x:c r="T123" s="18" t="n">
        <x:v>19</x:v>
      </x:c>
      <x:c r="U123" t="str">
        <x:v>Bad</x:v>
      </x:c>
      <x:c r="V123" t="str">
        <x:v>No</x:v>
      </x:c>
      <x:c r="W123" t="str">
        <x:v>WEAK</x:v>
      </x:c>
      <x:c r="X123" t="str">
        <x:v>REWRITE_REQUIRED</x:v>
      </x:c>
      <x:c r="Y123" t="n">
        <x:v>80</x:v>
      </x:c>
      <x:c r="Z123" t="str">
        <x:v>Success</x:v>
      </x:c>
      <x:c r="AA123"/>
      <x:c r="AB123"/>
      <x:c r="AC123" s="13"/>
      <x:c r="AD123" t="n">
        <x:v>0</x:v>
      </x:c>
      <x:c r="AE123" s="19" t="n">
        <x:v>67788</x:v>
      </x:c>
      <x:c r="AF123" t="str">
        <x:v>deepseek-v4-pro</x:v>
      </x:c>
      <x:c r="AG123" s="20" t="n">
        <x:v>46231.16349954861</x:v>
      </x:c>
      <x:c r="AH123" t="n">
        <x:v>200</x:v>
      </x:c>
      <x:c r="AI123" t="str">
        <x:v>c41da116f9ac518acdc398e06e9b011e7ceeac49f84c91179df178dda1f640a6</x:v>
      </x:c>
      <x:c r="AJ123" t="str">
        <x:v>b6aedb528c13fd641180bb42aa44cac60cfc21ad2ed4fb6c6f4c7b2e37cf2fdf</x:v>
      </x:c>
    </x:row>
    <x:row r="124">
      <x:c r="A124" s="17" t="str">
        <x:v>123</x:v>
      </x:c>
      <x:c r="B124" t="str">
        <x:v>ZH-EXTREMELY-BAD-003</x:v>
      </x:c>
      <x:c r="C124" s="17" t="str">
        <x:v>003</x:v>
      </x:c>
      <x:c r="D124" t="str">
        <x:v>Extremely Bad</x:v>
      </x:c>
      <x:c r="E124" t="n">
        <x:v>0</x:v>
      </x:c>
      <x:c r="F124" t="n">
        <x:v>29</x:v>
      </x:c>
      <x:c r="G124" t="n">
        <x:v>1</x:v>
      </x:c>
      <x:c r="H124" s="18" t="n">
        <x:v>25</x:v>
      </x:c>
      <x:c r="I124" s="18" t="n">
        <x:v>20</x:v>
      </x:c>
      <x:c r="J124" s="18" t="n">
        <x:v>10</x:v>
      </x:c>
      <x:c r="K124" s="18" t="n">
        <x:v>30</x:v>
      </x:c>
      <x:c r="L124" s="18" t="n">
        <x:v>70</x:v>
      </x:c>
      <x:c r="M124" s="18" t="n">
        <x:v>10</x:v>
      </x:c>
      <x:c r="N124" s="18" t="n">
        <x:v>10</x:v>
      </x:c>
      <x:c r="O124" s="18" t="n">
        <x:v>25</x:v>
      </x:c>
      <x:c r="P124" s="18" t="n">
        <x:v>39</x:v>
      </x:c>
      <x:c r="Q124" t="str">
        <x:v>Yes</x:v>
      </x:c>
      <x:c r="R124" s="18" t="n">
        <x:v>0</x:v>
      </x:c>
      <x:c r="S124" s="18" t="n">
        <x:v>0</x:v>
      </x:c>
      <x:c r="T124" s="18" t="n">
        <x:v>0</x:v>
      </x:c>
      <x:c r="U124" t="str">
        <x:v>Extremely Bad</x:v>
      </x:c>
      <x:c r="V124" t="str">
        <x:v>Yes</x:v>
      </x:c>
      <x:c r="W124" t="str">
        <x:v>SEVERELY_DEFICIENT</x:v>
      </x:c>
      <x:c r="X124" t="str">
        <x:v>REWRITE_REQUIRED</x:v>
      </x:c>
      <x:c r="Y124" t="n">
        <x:v>80</x:v>
      </x:c>
      <x:c r="Z124" t="str">
        <x:v>Success</x:v>
      </x:c>
      <x:c r="AA124"/>
      <x:c r="AB124"/>
      <x:c r="AC124" s="13"/>
      <x:c r="AD124" t="n">
        <x:v>0</x:v>
      </x:c>
      <x:c r="AE124" s="19" t="n">
        <x:v>49082</x:v>
      </x:c>
      <x:c r="AF124" t="str">
        <x:v>deepseek-v4-pro</x:v>
      </x:c>
      <x:c r="AG124" s="20" t="n">
        <x:v>46231.16406766204</x:v>
      </x:c>
      <x:c r="AH124" t="n">
        <x:v>200</x:v>
      </x:c>
      <x:c r="AI124" t="str">
        <x:v>4b5c8c4d1e08851cc7dfa65ee407e7abfca551aef92a724d557503d1b63be888</x:v>
      </x:c>
      <x:c r="AJ124" t="str">
        <x:v>b6aedb528c13fd641180bb42aa44cac60cfc21ad2ed4fb6c6f4c7b2e37cf2fdf</x:v>
      </x:c>
    </x:row>
    <x:row r="125">
      <x:c r="A125" s="17" t="str">
        <x:v>124</x:v>
      </x:c>
      <x:c r="B125" t="str">
        <x:v>ZH-EXTREMELY-BAD-004</x:v>
      </x:c>
      <x:c r="C125" s="17" t="str">
        <x:v>004</x:v>
      </x:c>
      <x:c r="D125" t="str">
        <x:v>Extremely Bad</x:v>
      </x:c>
      <x:c r="E125" t="n">
        <x:v>0</x:v>
      </x:c>
      <x:c r="F125" t="n">
        <x:v>29</x:v>
      </x:c>
      <x:c r="G125" t="n">
        <x:v>1</x:v>
      </x:c>
      <x:c r="H125" s="18" t="n">
        <x:v>48</x:v>
      </x:c>
      <x:c r="I125" s="18" t="n">
        <x:v>48</x:v>
      </x:c>
      <x:c r="J125" s="18" t="n">
        <x:v>40</x:v>
      </x:c>
      <x:c r="K125" s="18" t="n">
        <x:v>60</x:v>
      </x:c>
      <x:c r="L125" s="18" t="n">
        <x:v>40</x:v>
      </x:c>
      <x:c r="M125" s="18" t="n">
        <x:v>45</x:v>
      </x:c>
      <x:c r="N125" s="18" t="n">
        <x:v>65</x:v>
      </x:c>
      <x:c r="O125" s="18" t="n">
        <x:v>48</x:v>
      </x:c>
      <x:c r="P125" s="18" t="n">
        <x:v>59</x:v>
      </x:c>
      <x:c r="Q125" t="str">
        <x:v>No</x:v>
      </x:c>
      <x:c r="R125" s="18" t="n">
        <x:v>19</x:v>
      </x:c>
      <x:c r="S125" s="18" t="n">
        <x:v>0</x:v>
      </x:c>
      <x:c r="T125" s="18" t="n">
        <x:v>19</x:v>
      </x:c>
      <x:c r="U125" t="str">
        <x:v>Bad</x:v>
      </x:c>
      <x:c r="V125" t="str">
        <x:v>No</x:v>
      </x:c>
      <x:c r="W125" t="str">
        <x:v>WEAK</x:v>
      </x:c>
      <x:c r="X125" t="str">
        <x:v>REWRITE_REQUIRED</x:v>
      </x:c>
      <x:c r="Y125" t="n">
        <x:v>80</x:v>
      </x:c>
      <x:c r="Z125" t="str">
        <x:v>Success</x:v>
      </x:c>
      <x:c r="AA125"/>
      <x:c r="AB125"/>
      <x:c r="AC125" s="13"/>
      <x:c r="AD125" t="n">
        <x:v>0</x:v>
      </x:c>
      <x:c r="AE125" s="19" t="n">
        <x:v>42220</x:v>
      </x:c>
      <x:c r="AF125" t="str">
        <x:v>deepseek-v4-pro</x:v>
      </x:c>
      <x:c r="AG125" s="20" t="n">
        <x:v>46231.16455635417</x:v>
      </x:c>
      <x:c r="AH125" t="n">
        <x:v>200</x:v>
      </x:c>
      <x:c r="AI125" t="str">
        <x:v>185721373236ab11a50ca79a0b2b2f131c37a01825412783aa4e53d681791119</x:v>
      </x:c>
      <x:c r="AJ125" t="str">
        <x:v>b6aedb528c13fd641180bb42aa44cac60cfc21ad2ed4fb6c6f4c7b2e37cf2fdf</x:v>
      </x:c>
    </x:row>
    <x:row r="126">
      <x:c r="A126" s="17" t="str">
        <x:v>125</x:v>
      </x:c>
      <x:c r="B126" t="str">
        <x:v>ZH-EXTREMELY-BAD-005</x:v>
      </x:c>
      <x:c r="C126" s="17" t="str">
        <x:v>005</x:v>
      </x:c>
      <x:c r="D126" t="str">
        <x:v>Extremely Bad</x:v>
      </x:c>
      <x:c r="E126" t="n">
        <x:v>0</x:v>
      </x:c>
      <x:c r="F126" t="n">
        <x:v>29</x:v>
      </x:c>
      <x:c r="G126" t="n">
        <x:v>1</x:v>
      </x:c>
      <x:c r="H126" s="18" t="n">
        <x:v>34</x:v>
      </x:c>
      <x:c r="I126" s="18" t="n">
        <x:v>30</x:v>
      </x:c>
      <x:c r="J126" s="18" t="n">
        <x:v>30</x:v>
      </x:c>
      <x:c r="K126" s="18" t="n">
        <x:v>45</x:v>
      </x:c>
      <x:c r="L126" s="18" t="n">
        <x:v>45</x:v>
      </x:c>
      <x:c r="M126" s="18" t="n">
        <x:v>20</x:v>
      </x:c>
      <x:c r="N126" s="18" t="n">
        <x:v>40</x:v>
      </x:c>
      <x:c r="O126" s="18" t="n">
        <x:v>34</x:v>
      </x:c>
      <x:c r="P126" s="18" t="n">
        <x:v>39</x:v>
      </x:c>
      <x:c r="Q126" t="str">
        <x:v>No</x:v>
      </x:c>
      <x:c r="R126" s="18" t="n">
        <x:v>5</x:v>
      </x:c>
      <x:c r="S126" s="18" t="n">
        <x:v>0</x:v>
      </x:c>
      <x:c r="T126" s="18" t="n">
        <x:v>5</x:v>
      </x:c>
      <x:c r="U126" t="str">
        <x:v>Bad</x:v>
      </x:c>
      <x:c r="V126" t="str">
        <x:v>No</x:v>
      </x:c>
      <x:c r="W126" t="str">
        <x:v>SEVERELY_DEFICIENT</x:v>
      </x:c>
      <x:c r="X126" t="str">
        <x:v>REWRITE_REQUIRED</x:v>
      </x:c>
      <x:c r="Y126" t="n">
        <x:v>80</x:v>
      </x:c>
      <x:c r="Z126" t="str">
        <x:v>Success</x:v>
      </x:c>
      <x:c r="AA126"/>
      <x:c r="AB126"/>
      <x:c r="AC126" s="13"/>
      <x:c r="AD126" t="n">
        <x:v>0</x:v>
      </x:c>
      <x:c r="AE126" s="19" t="n">
        <x:v>42370</x:v>
      </x:c>
      <x:c r="AF126" t="str">
        <x:v>deepseek-v4-pro</x:v>
      </x:c>
      <x:c r="AG126" s="20" t="n">
        <x:v>46231.16504675926</x:v>
      </x:c>
      <x:c r="AH126" t="n">
        <x:v>200</x:v>
      </x:c>
      <x:c r="AI126" t="str">
        <x:v>d3343ac9fe450254e1a2e674914143947b7cbdd83bf298738d35d53470dee758</x:v>
      </x:c>
      <x:c r="AJ126" t="str">
        <x:v>b6aedb528c13fd641180bb42aa44cac60cfc21ad2ed4fb6c6f4c7b2e37cf2fdf</x:v>
      </x:c>
    </x:row>
    <x:row r="127">
      <x:c r="A127" s="17" t="str">
        <x:v>126</x:v>
      </x:c>
      <x:c r="B127" t="str">
        <x:v>ZH-EXTREMELY-BAD-006</x:v>
      </x:c>
      <x:c r="C127" s="17" t="str">
        <x:v>006</x:v>
      </x:c>
      <x:c r="D127" t="str">
        <x:v>Extremely Bad</x:v>
      </x:c>
      <x:c r="E127" t="n">
        <x:v>0</x:v>
      </x:c>
      <x:c r="F127" t="n">
        <x:v>29</x:v>
      </x:c>
      <x:c r="G127" t="n">
        <x:v>1</x:v>
      </x:c>
      <x:c r="H127" s="18" t="n">
        <x:v>44</x:v>
      </x:c>
      <x:c r="I127" s="18" t="n">
        <x:v>45</x:v>
      </x:c>
      <x:c r="J127" s="18" t="n">
        <x:v>35</x:v>
      </x:c>
      <x:c r="K127" s="18" t="n">
        <x:v>50</x:v>
      </x:c>
      <x:c r="L127" s="18" t="n">
        <x:v>60</x:v>
      </x:c>
      <x:c r="M127" s="18" t="n">
        <x:v>40</x:v>
      </x:c>
      <x:c r="N127" s="18" t="n">
        <x:v>35</x:v>
      </x:c>
      <x:c r="O127" s="18" t="n">
        <x:v>44</x:v>
      </x:c>
      <x:c r="P127" s="18" t="n">
        <x:v>59</x:v>
      </x:c>
      <x:c r="Q127" t="str">
        <x:v>No</x:v>
      </x:c>
      <x:c r="R127" s="18" t="n">
        <x:v>15</x:v>
      </x:c>
      <x:c r="S127" s="18" t="n">
        <x:v>0</x:v>
      </x:c>
      <x:c r="T127" s="18" t="n">
        <x:v>15</x:v>
      </x:c>
      <x:c r="U127" t="str">
        <x:v>Bad</x:v>
      </x:c>
      <x:c r="V127" t="str">
        <x:v>No</x:v>
      </x:c>
      <x:c r="W127" t="str">
        <x:v>WEAK</x:v>
      </x:c>
      <x:c r="X127" t="str">
        <x:v>REWRITE_REQUIRED</x:v>
      </x:c>
      <x:c r="Y127" t="n">
        <x:v>80</x:v>
      </x:c>
      <x:c r="Z127" t="str">
        <x:v>Success</x:v>
      </x:c>
      <x:c r="AA127"/>
      <x:c r="AB127"/>
      <x:c r="AC127" s="13"/>
      <x:c r="AD127" t="n">
        <x:v>0</x:v>
      </x:c>
      <x:c r="AE127" s="19" t="n">
        <x:v>40605</x:v>
      </x:c>
      <x:c r="AF127" t="str">
        <x:v>deepseek-v4-pro</x:v>
      </x:c>
      <x:c r="AG127" s="20" t="n">
        <x:v>46231.165516747686</x:v>
      </x:c>
      <x:c r="AH127" t="n">
        <x:v>200</x:v>
      </x:c>
      <x:c r="AI127" t="str">
        <x:v>f9cd4427f1debcb634c1c7f650753390c67f4812b2ee0ec6f000a57aa45f197b</x:v>
      </x:c>
      <x:c r="AJ127" t="str">
        <x:v>b6aedb528c13fd641180bb42aa44cac60cfc21ad2ed4fb6c6f4c7b2e37cf2fdf</x:v>
      </x:c>
    </x:row>
    <x:row r="128">
      <x:c r="A128" s="17" t="str">
        <x:v>127</x:v>
      </x:c>
      <x:c r="B128" t="str">
        <x:v>ZH-EXTREMELY-BAD-007</x:v>
      </x:c>
      <x:c r="C128" s="17" t="str">
        <x:v>007</x:v>
      </x:c>
      <x:c r="D128" t="str">
        <x:v>Extremely Bad</x:v>
      </x:c>
      <x:c r="E128" t="n">
        <x:v>0</x:v>
      </x:c>
      <x:c r="F128" t="n">
        <x:v>29</x:v>
      </x:c>
      <x:c r="G128" t="n">
        <x:v>1</x:v>
      </x:c>
      <x:c r="H128" s="18" t="n">
        <x:v>18</x:v>
      </x:c>
      <x:c r="I128" s="18" t="n">
        <x:v>10</x:v>
      </x:c>
      <x:c r="J128" s="18" t="n">
        <x:v>20</x:v>
      </x:c>
      <x:c r="K128" s="18" t="n">
        <x:v>20</x:v>
      </x:c>
      <x:c r="L128" s="18" t="n">
        <x:v>30</x:v>
      </x:c>
      <x:c r="M128" s="18" t="n">
        <x:v>10</x:v>
      </x:c>
      <x:c r="N128" s="18" t="n">
        <x:v>20</x:v>
      </x:c>
      <x:c r="O128" s="18" t="n">
        <x:v>18</x:v>
      </x:c>
      <x:c r="P128" s="18" t="n">
        <x:v>39</x:v>
      </x:c>
      <x:c r="Q128" t="str">
        <x:v>Yes</x:v>
      </x:c>
      <x:c r="R128" s="18" t="n">
        <x:v>0</x:v>
      </x:c>
      <x:c r="S128" s="18" t="n">
        <x:v>0</x:v>
      </x:c>
      <x:c r="T128" s="18" t="n">
        <x:v>0</x:v>
      </x:c>
      <x:c r="U128" t="str">
        <x:v>Extremely Bad</x:v>
      </x:c>
      <x:c r="V128" t="str">
        <x:v>Yes</x:v>
      </x:c>
      <x:c r="W128" t="str">
        <x:v>SEVERELY_DEFICIENT</x:v>
      </x:c>
      <x:c r="X128" t="str">
        <x:v>REWRITE_REQUIRED</x:v>
      </x:c>
      <x:c r="Y128" t="n">
        <x:v>80</x:v>
      </x:c>
      <x:c r="Z128" t="str">
        <x:v>Success</x:v>
      </x:c>
      <x:c r="AA128"/>
      <x:c r="AB128"/>
      <x:c r="AC128" s="13"/>
      <x:c r="AD128" t="n">
        <x:v>0</x:v>
      </x:c>
      <x:c r="AE128" s="19" t="n">
        <x:v>39038</x:v>
      </x:c>
      <x:c r="AF128" t="str">
        <x:v>deepseek-v4-pro</x:v>
      </x:c>
      <x:c r="AG128" s="20" t="n">
        <x:v>46231.16596861111</x:v>
      </x:c>
      <x:c r="AH128" t="n">
        <x:v>200</x:v>
      </x:c>
      <x:c r="AI128" t="str">
        <x:v>fb199cd738fc27fc4e011f0b0dcd8162349307d076e0643ed106fc1839a1ef72</x:v>
      </x:c>
      <x:c r="AJ128" t="str">
        <x:v>b6aedb528c13fd641180bb42aa44cac60cfc21ad2ed4fb6c6f4c7b2e37cf2fdf</x:v>
      </x:c>
    </x:row>
    <x:row r="129">
      <x:c r="A129" s="17" t="str">
        <x:v>128</x:v>
      </x:c>
      <x:c r="B129" t="str">
        <x:v>ZH-EXTREMELY-BAD-008</x:v>
      </x:c>
      <x:c r="C129" s="17" t="str">
        <x:v>008</x:v>
      </x:c>
      <x:c r="D129" t="str">
        <x:v>Extremely Bad</x:v>
      </x:c>
      <x:c r="E129" t="n">
        <x:v>0</x:v>
      </x:c>
      <x:c r="F129" t="n">
        <x:v>29</x:v>
      </x:c>
      <x:c r="G129" t="n">
        <x:v>1</x:v>
      </x:c>
      <x:c r="H129" s="18" t="n">
        <x:v>39</x:v>
      </x:c>
      <x:c r="I129" s="18" t="n">
        <x:v>35</x:v>
      </x:c>
      <x:c r="J129" s="18" t="n">
        <x:v>35</x:v>
      </x:c>
      <x:c r="K129" s="18" t="n">
        <x:v>45</x:v>
      </x:c>
      <x:c r="L129" s="18" t="n">
        <x:v>45</x:v>
      </x:c>
      <x:c r="M129" s="18" t="n">
        <x:v>40</x:v>
      </x:c>
      <x:c r="N129" s="18" t="n">
        <x:v>45</x:v>
      </x:c>
      <x:c r="O129" s="18" t="n">
        <x:v>40</x:v>
      </x:c>
      <x:c r="P129" s="18" t="n">
        <x:v>39</x:v>
      </x:c>
      <x:c r="Q129" t="str">
        <x:v>No</x:v>
      </x:c>
      <x:c r="R129" s="18" t="n">
        <x:v>10</x:v>
      </x:c>
      <x:c r="S129" s="18" t="n">
        <x:v>0</x:v>
      </x:c>
      <x:c r="T129" s="18" t="n">
        <x:v>10</x:v>
      </x:c>
      <x:c r="U129" t="str">
        <x:v>Bad</x:v>
      </x:c>
      <x:c r="V129" t="str">
        <x:v>No</x:v>
      </x:c>
      <x:c r="W129" t="str">
        <x:v>SEVERELY_DEFICIENT</x:v>
      </x:c>
      <x:c r="X129" t="str">
        <x:v>REWRITE_REQUIRED</x:v>
      </x:c>
      <x:c r="Y129" t="n">
        <x:v>80</x:v>
      </x:c>
      <x:c r="Z129" t="str">
        <x:v>Success</x:v>
      </x:c>
      <x:c r="AA129"/>
      <x:c r="AB129"/>
      <x:c r="AC129" s="13"/>
      <x:c r="AD129" t="n">
        <x:v>0</x:v>
      </x:c>
      <x:c r="AE129" s="19" t="n">
        <x:v>64240</x:v>
      </x:c>
      <x:c r="AF129" t="str">
        <x:v>deepseek-v4-pro</x:v>
      </x:c>
      <x:c r="AG129" s="20" t="n">
        <x:v>46231.16671215278</x:v>
      </x:c>
      <x:c r="AH129" t="n">
        <x:v>200</x:v>
      </x:c>
      <x:c r="AI129" t="str">
        <x:v>c04c5d57e4cf538787cba52b10806aee502b78a26ad253572298aeb3f409098f</x:v>
      </x:c>
      <x:c r="AJ129" t="str">
        <x:v>b6aedb528c13fd641180bb42aa44cac60cfc21ad2ed4fb6c6f4c7b2e37cf2fdf</x:v>
      </x:c>
    </x:row>
    <x:row r="130">
      <x:c r="A130" s="17" t="str">
        <x:v>129</x:v>
      </x:c>
      <x:c r="B130" t="str">
        <x:v>ZH-EXTREMELY-BAD-009</x:v>
      </x:c>
      <x:c r="C130" s="17" t="str">
        <x:v>009</x:v>
      </x:c>
      <x:c r="D130" t="str">
        <x:v>Extremely Bad</x:v>
      </x:c>
      <x:c r="E130" t="n">
        <x:v>0</x:v>
      </x:c>
      <x:c r="F130" t="n">
        <x:v>29</x:v>
      </x:c>
      <x:c r="G130" t="n">
        <x:v>1</x:v>
      </x:c>
      <x:c r="H130" s="18" t="n">
        <x:v>30</x:v>
      </x:c>
      <x:c r="I130" s="18" t="n">
        <x:v>35</x:v>
      </x:c>
      <x:c r="J130" s="18" t="n">
        <x:v>25</x:v>
      </x:c>
      <x:c r="K130" s="18" t="n">
        <x:v>30</x:v>
      </x:c>
      <x:c r="L130" s="18" t="n">
        <x:v>25</x:v>
      </x:c>
      <x:c r="M130" s="18" t="n">
        <x:v>30</x:v>
      </x:c>
      <x:c r="N130" s="18" t="n">
        <x:v>35</x:v>
      </x:c>
      <x:c r="O130" s="18" t="n">
        <x:v>30</x:v>
      </x:c>
      <x:c r="P130" s="18" t="n">
        <x:v>39</x:v>
      </x:c>
      <x:c r="Q130" t="str">
        <x:v>No</x:v>
      </x:c>
      <x:c r="R130" s="18" t="n">
        <x:v>1</x:v>
      </x:c>
      <x:c r="S130" s="18" t="n">
        <x:v>0</x:v>
      </x:c>
      <x:c r="T130" s="18" t="n">
        <x:v>1</x:v>
      </x:c>
      <x:c r="U130" t="str">
        <x:v>Bad</x:v>
      </x:c>
      <x:c r="V130" t="str">
        <x:v>No</x:v>
      </x:c>
      <x:c r="W130" t="str">
        <x:v>SEVERELY_DEFICIENT</x:v>
      </x:c>
      <x:c r="X130" t="str">
        <x:v>REWRITE_REQUIRED</x:v>
      </x:c>
      <x:c r="Y130" t="n">
        <x:v>80</x:v>
      </x:c>
      <x:c r="Z130" t="str">
        <x:v>Success</x:v>
      </x:c>
      <x:c r="AA130"/>
      <x:c r="AB130"/>
      <x:c r="AC130" s="13"/>
      <x:c r="AD130" t="n">
        <x:v>0</x:v>
      </x:c>
      <x:c r="AE130" s="19" t="n">
        <x:v>32899</x:v>
      </x:c>
      <x:c r="AF130" t="str">
        <x:v>deepseek-v4-pro</x:v>
      </x:c>
      <x:c r="AG130" s="20" t="n">
        <x:v>46231.16709293982</x:v>
      </x:c>
      <x:c r="AH130" t="n">
        <x:v>200</x:v>
      </x:c>
      <x:c r="AI130" t="str">
        <x:v>8327dd8c918831e29187ddddffb0ed8293aa81d62bf470947252f3b2f518e16e</x:v>
      </x:c>
      <x:c r="AJ130" t="str">
        <x:v>b6aedb528c13fd641180bb42aa44cac60cfc21ad2ed4fb6c6f4c7b2e37cf2fdf</x:v>
      </x:c>
    </x:row>
    <x:row r="131">
      <x:c r="A131" s="17" t="str">
        <x:v>130</x:v>
      </x:c>
      <x:c r="B131" t="str">
        <x:v>ZH-EXTREMELY-BAD-010</x:v>
      </x:c>
      <x:c r="C131" s="17" t="str">
        <x:v>010</x:v>
      </x:c>
      <x:c r="D131" t="str">
        <x:v>Extremely Bad</x:v>
      </x:c>
      <x:c r="E131" t="n">
        <x:v>0</x:v>
      </x:c>
      <x:c r="F131" t="n">
        <x:v>29</x:v>
      </x:c>
      <x:c r="G131" t="n">
        <x:v>1</x:v>
      </x:c>
      <x:c r="H131" s="18" t="n">
        <x:v>24</x:v>
      </x:c>
      <x:c r="I131" s="18" t="n">
        <x:v>25</x:v>
      </x:c>
      <x:c r="J131" s="18" t="n">
        <x:v>20</x:v>
      </x:c>
      <x:c r="K131" s="18" t="n">
        <x:v>25</x:v>
      </x:c>
      <x:c r="L131" s="18" t="n">
        <x:v>30</x:v>
      </x:c>
      <x:c r="M131" s="18" t="n">
        <x:v>25</x:v>
      </x:c>
      <x:c r="N131" s="18" t="n">
        <x:v>20</x:v>
      </x:c>
      <x:c r="O131" s="18" t="n">
        <x:v>24</x:v>
      </x:c>
      <x:c r="P131" s="18" t="n">
        <x:v>39</x:v>
      </x:c>
      <x:c r="Q131" t="str">
        <x:v>Yes</x:v>
      </x:c>
      <x:c r="R131" s="18" t="n">
        <x:v>0</x:v>
      </x:c>
      <x:c r="S131" s="18" t="n">
        <x:v>0</x:v>
      </x:c>
      <x:c r="T131" s="18" t="n">
        <x:v>0</x:v>
      </x:c>
      <x:c r="U131" t="str">
        <x:v>Extremely Bad</x:v>
      </x:c>
      <x:c r="V131" t="str">
        <x:v>Yes</x:v>
      </x:c>
      <x:c r="W131" t="str">
        <x:v>SEVERELY_DEFICIENT</x:v>
      </x:c>
      <x:c r="X131" t="str">
        <x:v>REWRITE_REQUIRED</x:v>
      </x:c>
      <x:c r="Y131" t="n">
        <x:v>80</x:v>
      </x:c>
      <x:c r="Z131" t="str">
        <x:v>Success</x:v>
      </x:c>
      <x:c r="AA131"/>
      <x:c r="AB131"/>
      <x:c r="AC131" s="13"/>
      <x:c r="AD131" t="n">
        <x:v>0</x:v>
      </x:c>
      <x:c r="AE131" s="19" t="n">
        <x:v>42419</x:v>
      </x:c>
      <x:c r="AF131" t="str">
        <x:v>deepseek-v4-pro</x:v>
      </x:c>
      <x:c r="AG131" s="20" t="n">
        <x:v>46231.16758394676</x:v>
      </x:c>
      <x:c r="AH131" t="n">
        <x:v>200</x:v>
      </x:c>
      <x:c r="AI131" t="str">
        <x:v>82f9c519fcce31002aa681ecbd842638a2d4b0852bfb54fee8270685c31564ff</x:v>
      </x:c>
      <x:c r="AJ131" t="str">
        <x:v>b6aedb528c13fd641180bb42aa44cac60cfc21ad2ed4fb6c6f4c7b2e37cf2fdf</x:v>
      </x:c>
    </x:row>
    <x:row r="132">
      <x:c r="A132" s="17" t="str">
        <x:v>131</x:v>
      </x:c>
      <x:c r="B132" t="str">
        <x:v>ZH-EXTREMELY-BAD-011</x:v>
      </x:c>
      <x:c r="C132" s="17" t="str">
        <x:v>011</x:v>
      </x:c>
      <x:c r="D132" t="str">
        <x:v>Extremely Bad</x:v>
      </x:c>
      <x:c r="E132" t="n">
        <x:v>0</x:v>
      </x:c>
      <x:c r="F132" t="n">
        <x:v>29</x:v>
      </x:c>
      <x:c r="G132" t="n">
        <x:v>1</x:v>
      </x:c>
      <x:c r="H132" s="18" t="n">
        <x:v>21</x:v>
      </x:c>
      <x:c r="I132" s="18" t="n">
        <x:v>10</x:v>
      </x:c>
      <x:c r="J132" s="18" t="n">
        <x:v>10</x:v>
      </x:c>
      <x:c r="K132" s="18" t="n">
        <x:v>30</x:v>
      </x:c>
      <x:c r="L132" s="18" t="n">
        <x:v>65</x:v>
      </x:c>
      <x:c r="M132" s="18" t="n">
        <x:v>10</x:v>
      </x:c>
      <x:c r="N132" s="18" t="n">
        <x:v>10</x:v>
      </x:c>
      <x:c r="O132" s="18" t="n">
        <x:v>21</x:v>
      </x:c>
      <x:c r="P132" s="18" t="n">
        <x:v>39</x:v>
      </x:c>
      <x:c r="Q132" t="str">
        <x:v>Yes</x:v>
      </x:c>
      <x:c r="R132" s="18" t="n">
        <x:v>0</x:v>
      </x:c>
      <x:c r="S132" s="18" t="n">
        <x:v>0</x:v>
      </x:c>
      <x:c r="T132" s="18" t="n">
        <x:v>0</x:v>
      </x:c>
      <x:c r="U132" t="str">
        <x:v>Extremely Bad</x:v>
      </x:c>
      <x:c r="V132" t="str">
        <x:v>Yes</x:v>
      </x:c>
      <x:c r="W132" t="str">
        <x:v>SEVERELY_DEFICIENT</x:v>
      </x:c>
      <x:c r="X132" t="str">
        <x:v>REWRITE_REQUIRED</x:v>
      </x:c>
      <x:c r="Y132" t="n">
        <x:v>80</x:v>
      </x:c>
      <x:c r="Z132" t="str">
        <x:v>Success</x:v>
      </x:c>
      <x:c r="AA132"/>
      <x:c r="AB132"/>
      <x:c r="AC132" s="13"/>
      <x:c r="AD132" t="n">
        <x:v>0</x:v>
      </x:c>
      <x:c r="AE132" s="19" t="n">
        <x:v>64585</x:v>
      </x:c>
      <x:c r="AF132" t="str">
        <x:v>deepseek-v4-pro</x:v>
      </x:c>
      <x:c r="AG132" s="20" t="n">
        <x:v>46231.16833148148</x:v>
      </x:c>
      <x:c r="AH132" t="n">
        <x:v>200</x:v>
      </x:c>
      <x:c r="AI132" t="str">
        <x:v>557780287f953c046cde36a5877d041a4b4e15e349e8fb4650c03457de47752c</x:v>
      </x:c>
      <x:c r="AJ132" t="str">
        <x:v>b6aedb528c13fd641180bb42aa44cac60cfc21ad2ed4fb6c6f4c7b2e37cf2fdf</x:v>
      </x:c>
    </x:row>
    <x:row r="133">
      <x:c r="A133" s="17" t="str">
        <x:v>132</x:v>
      </x:c>
      <x:c r="B133" t="str">
        <x:v>ZH-EXTREMELY-BAD-012</x:v>
      </x:c>
      <x:c r="C133" s="17" t="str">
        <x:v>012</x:v>
      </x:c>
      <x:c r="D133" t="str">
        <x:v>Extremely Bad</x:v>
      </x:c>
      <x:c r="E133" t="n">
        <x:v>0</x:v>
      </x:c>
      <x:c r="F133" t="n">
        <x:v>29</x:v>
      </x:c>
      <x:c r="G133" t="n">
        <x:v>1</x:v>
      </x:c>
      <x:c r="H133" s="18" t="n">
        <x:v>38</x:v>
      </x:c>
      <x:c r="I133" s="18" t="n">
        <x:v>20</x:v>
      </x:c>
      <x:c r="J133" s="18" t="n">
        <x:v>30</x:v>
      </x:c>
      <x:c r="K133" s="18" t="n">
        <x:v>30</x:v>
      </x:c>
      <x:c r="L133" s="18" t="n">
        <x:v>95</x:v>
      </x:c>
      <x:c r="M133" s="18" t="n">
        <x:v>30</x:v>
      </x:c>
      <x:c r="N133" s="18" t="n">
        <x:v>40</x:v>
      </x:c>
      <x:c r="O133" s="18" t="n">
        <x:v>38</x:v>
      </x:c>
      <x:c r="P133" s="18" t="n">
        <x:v>39</x:v>
      </x:c>
      <x:c r="Q133" t="str">
        <x:v>No</x:v>
      </x:c>
      <x:c r="R133" s="18" t="n">
        <x:v>9</x:v>
      </x:c>
      <x:c r="S133" s="18" t="n">
        <x:v>0</x:v>
      </x:c>
      <x:c r="T133" s="18" t="n">
        <x:v>9</x:v>
      </x:c>
      <x:c r="U133" t="str">
        <x:v>Bad</x:v>
      </x:c>
      <x:c r="V133" t="str">
        <x:v>No</x:v>
      </x:c>
      <x:c r="W133" t="str">
        <x:v>SEVERELY_DEFICIENT</x:v>
      </x:c>
      <x:c r="X133" t="str">
        <x:v>REWRITE_REQUIRED</x:v>
      </x:c>
      <x:c r="Y133" t="n">
        <x:v>80</x:v>
      </x:c>
      <x:c r="Z133" t="str">
        <x:v>Success</x:v>
      </x:c>
      <x:c r="AA133"/>
      <x:c r="AB133"/>
      <x:c r="AC133" s="13"/>
      <x:c r="AD133" t="n">
        <x:v>0</x:v>
      </x:c>
      <x:c r="AE133" s="19" t="n">
        <x:v>47915</x:v>
      </x:c>
      <x:c r="AF133" t="str">
        <x:v>deepseek-v4-pro</x:v>
      </x:c>
      <x:c r="AG133" s="20" t="n">
        <x:v>46231.168886087966</x:v>
      </x:c>
      <x:c r="AH133" t="n">
        <x:v>200</x:v>
      </x:c>
      <x:c r="AI133" t="str">
        <x:v>6f11026eb6d0de195daabddf3255d7c2edfed5676713c742684bdaeed2188d82</x:v>
      </x:c>
      <x:c r="AJ133" t="str">
        <x:v>b6aedb528c13fd641180bb42aa44cac60cfc21ad2ed4fb6c6f4c7b2e37cf2fdf</x:v>
      </x:c>
    </x:row>
    <x:row r="134">
      <x:c r="A134" s="17" t="str">
        <x:v>133</x:v>
      </x:c>
      <x:c r="B134" t="str">
        <x:v>ZH-EXTREMELY-BAD-013</x:v>
      </x:c>
      <x:c r="C134" s="17" t="str">
        <x:v>013</x:v>
      </x:c>
      <x:c r="D134" t="str">
        <x:v>Extremely Bad</x:v>
      </x:c>
      <x:c r="E134" t="n">
        <x:v>0</x:v>
      </x:c>
      <x:c r="F134" t="n">
        <x:v>29</x:v>
      </x:c>
      <x:c r="G134" t="n">
        <x:v>1</x:v>
      </x:c>
      <x:c r="H134" s="18" t="n">
        <x:v>33</x:v>
      </x:c>
      <x:c r="I134" s="18" t="n">
        <x:v>20</x:v>
      </x:c>
      <x:c r="J134" s="18" t="n">
        <x:v>20</x:v>
      </x:c>
      <x:c r="K134" s="18" t="n">
        <x:v>50</x:v>
      </x:c>
      <x:c r="L134" s="18" t="n">
        <x:v>70</x:v>
      </x:c>
      <x:c r="M134" s="18" t="n">
        <x:v>25</x:v>
      </x:c>
      <x:c r="N134" s="18" t="n">
        <x:v>20</x:v>
      </x:c>
      <x:c r="O134" s="18" t="n">
        <x:v>33</x:v>
      </x:c>
      <x:c r="P134" s="18" t="n">
        <x:v>39</x:v>
      </x:c>
      <x:c r="Q134" t="str">
        <x:v>No</x:v>
      </x:c>
      <x:c r="R134" s="18" t="n">
        <x:v>4</x:v>
      </x:c>
      <x:c r="S134" s="18" t="n">
        <x:v>0</x:v>
      </x:c>
      <x:c r="T134" s="18" t="n">
        <x:v>4</x:v>
      </x:c>
      <x:c r="U134" t="str">
        <x:v>Bad</x:v>
      </x:c>
      <x:c r="V134" t="str">
        <x:v>No</x:v>
      </x:c>
      <x:c r="W134" t="str">
        <x:v>SEVERELY_DEFICIENT</x:v>
      </x:c>
      <x:c r="X134" t="str">
        <x:v>REWRITE_REQUIRED</x:v>
      </x:c>
      <x:c r="Y134" t="n">
        <x:v>80</x:v>
      </x:c>
      <x:c r="Z134" t="str">
        <x:v>Success</x:v>
      </x:c>
      <x:c r="AA134"/>
      <x:c r="AB134"/>
      <x:c r="AC134" s="13"/>
      <x:c r="AD134" t="n">
        <x:v>0</x:v>
      </x:c>
      <x:c r="AE134" s="19" t="n">
        <x:v>55530</x:v>
      </x:c>
      <x:c r="AF134" t="str">
        <x:v>deepseek-v4-pro</x:v>
      </x:c>
      <x:c r="AG134" s="20" t="n">
        <x:v>46231.16952880787</x:v>
      </x:c>
      <x:c r="AH134" t="n">
        <x:v>200</x:v>
      </x:c>
      <x:c r="AI134" t="str">
        <x:v>8ee19ce5b832be97c03fc1633f353383efe41b265fe99b5498e1d68e7cb00822</x:v>
      </x:c>
      <x:c r="AJ134" t="str">
        <x:v>b6aedb528c13fd641180bb42aa44cac60cfc21ad2ed4fb6c6f4c7b2e37cf2fdf</x:v>
      </x:c>
    </x:row>
    <x:row r="135">
      <x:c r="A135" s="17" t="str">
        <x:v>134</x:v>
      </x:c>
      <x:c r="B135" t="str">
        <x:v>ZH-EXTREMELY-BAD-014</x:v>
      </x:c>
      <x:c r="C135" s="17" t="str">
        <x:v>014</x:v>
      </x:c>
      <x:c r="D135" t="str">
        <x:v>Extremely Bad</x:v>
      </x:c>
      <x:c r="E135" t="n">
        <x:v>0</x:v>
      </x:c>
      <x:c r="F135" t="n">
        <x:v>29</x:v>
      </x:c>
      <x:c r="G135" t="n">
        <x:v>1</x:v>
      </x:c>
      <x:c r="H135" s="18" t="n">
        <x:v>27</x:v>
      </x:c>
      <x:c r="I135" s="18" t="n">
        <x:v>20</x:v>
      </x:c>
      <x:c r="J135" s="18" t="n">
        <x:v>20</x:v>
      </x:c>
      <x:c r="K135" s="18" t="n">
        <x:v>30</x:v>
      </x:c>
      <x:c r="L135" s="18" t="n">
        <x:v>30</x:v>
      </x:c>
      <x:c r="M135" s="18" t="n">
        <x:v>30</x:v>
      </x:c>
      <x:c r="N135" s="18" t="n">
        <x:v>40</x:v>
      </x:c>
      <x:c r="O135" s="18" t="n">
        <x:v>27</x:v>
      </x:c>
      <x:c r="P135" s="18" t="n">
        <x:v>59</x:v>
      </x:c>
      <x:c r="Q135" t="str">
        <x:v>Yes</x:v>
      </x:c>
      <x:c r="R135" s="18" t="n">
        <x:v>0</x:v>
      </x:c>
      <x:c r="S135" s="18" t="n">
        <x:v>0</x:v>
      </x:c>
      <x:c r="T135" s="18" t="n">
        <x:v>0</x:v>
      </x:c>
      <x:c r="U135" t="str">
        <x:v>Extremely Bad</x:v>
      </x:c>
      <x:c r="V135" t="str">
        <x:v>Yes</x:v>
      </x:c>
      <x:c r="W135" t="str">
        <x:v>SEVERELY_DEFICIENT</x:v>
      </x:c>
      <x:c r="X135" t="str">
        <x:v>REWRITE_REQUIRED</x:v>
      </x:c>
      <x:c r="Y135" t="n">
        <x:v>80</x:v>
      </x:c>
      <x:c r="Z135" t="str">
        <x:v>Success</x:v>
      </x:c>
      <x:c r="AA135"/>
      <x:c r="AB135"/>
      <x:c r="AC135" s="13"/>
      <x:c r="AD135" t="n">
        <x:v>0</x:v>
      </x:c>
      <x:c r="AE135" s="19" t="n">
        <x:v>77288</x:v>
      </x:c>
      <x:c r="AF135" t="str">
        <x:v>deepseek-v4-pro</x:v>
      </x:c>
      <x:c r="AG135" s="20" t="n">
        <x:v>46231.17042336806</x:v>
      </x:c>
      <x:c r="AH135" t="n">
        <x:v>200</x:v>
      </x:c>
      <x:c r="AI135" t="str">
        <x:v>17a1cdbf77addc40c714276c2e9c9289bba283cbc048601ecfae57ea9cea30cb</x:v>
      </x:c>
      <x:c r="AJ135" t="str">
        <x:v>b6aedb528c13fd641180bb42aa44cac60cfc21ad2ed4fb6c6f4c7b2e37cf2fdf</x:v>
      </x:c>
    </x:row>
    <x:row r="136">
      <x:c r="A136" s="17" t="str">
        <x:v>135</x:v>
      </x:c>
      <x:c r="B136" t="str">
        <x:v>ZH-EXTREMELY-BAD-015</x:v>
      </x:c>
      <x:c r="C136" s="17" t="str">
        <x:v>015</x:v>
      </x:c>
      <x:c r="D136" t="str">
        <x:v>Extremely Bad</x:v>
      </x:c>
      <x:c r="E136" t="n">
        <x:v>0</x:v>
      </x:c>
      <x:c r="F136" t="n">
        <x:v>29</x:v>
      </x:c>
      <x:c r="G136" t="n">
        <x:v>1</x:v>
      </x:c>
      <x:c r="H136" s="18" t="n">
        <x:v>44</x:v>
      </x:c>
      <x:c r="I136" s="18" t="n">
        <x:v>48</x:v>
      </x:c>
      <x:c r="J136" s="18" t="n">
        <x:v>32</x:v>
      </x:c>
      <x:c r="K136" s="18" t="n">
        <x:v>45</x:v>
      </x:c>
      <x:c r="L136" s="18" t="n">
        <x:v>55</x:v>
      </x:c>
      <x:c r="M136" s="18" t="n">
        <x:v>40</x:v>
      </x:c>
      <x:c r="N136" s="18" t="n">
        <x:v>50</x:v>
      </x:c>
      <x:c r="O136" s="18" t="n">
        <x:v>44</x:v>
      </x:c>
      <x:c r="P136" s="18" t="n">
        <x:v>59</x:v>
      </x:c>
      <x:c r="Q136" t="str">
        <x:v>No</x:v>
      </x:c>
      <x:c r="R136" s="18" t="n">
        <x:v>15</x:v>
      </x:c>
      <x:c r="S136" s="18" t="n">
        <x:v>0</x:v>
      </x:c>
      <x:c r="T136" s="18" t="n">
        <x:v>15</x:v>
      </x:c>
      <x:c r="U136" t="str">
        <x:v>Bad</x:v>
      </x:c>
      <x:c r="V136" t="str">
        <x:v>No</x:v>
      </x:c>
      <x:c r="W136" t="str">
        <x:v>WEAK</x:v>
      </x:c>
      <x:c r="X136" t="str">
        <x:v>REWRITE_REQUIRED</x:v>
      </x:c>
      <x:c r="Y136" t="n">
        <x:v>80</x:v>
      </x:c>
      <x:c r="Z136" t="str">
        <x:v>Success</x:v>
      </x:c>
      <x:c r="AA136"/>
      <x:c r="AB136"/>
      <x:c r="AC136" s="13"/>
      <x:c r="AD136" t="n">
        <x:v>0</x:v>
      </x:c>
      <x:c r="AE136" s="19" t="n">
        <x:v>50419</x:v>
      </x:c>
      <x:c r="AF136" t="str">
        <x:v>deepseek-v4-pro</x:v>
      </x:c>
      <x:c r="AG136" s="20" t="n">
        <x:v>46231.17100696759</x:v>
      </x:c>
      <x:c r="AH136" t="n">
        <x:v>200</x:v>
      </x:c>
      <x:c r="AI136" t="str">
        <x:v>200b9aca234a70776c48f442b888d57255d0c80abf7b68110b4092050d8feb70</x:v>
      </x:c>
      <x:c r="AJ136" t="str">
        <x:v>b6aedb528c13fd641180bb42aa44cac60cfc21ad2ed4fb6c6f4c7b2e37cf2fdf</x:v>
      </x:c>
    </x:row>
    <x:row r="137">
      <x:c r="A137" s="17" t="str">
        <x:v>136</x:v>
      </x:c>
      <x:c r="B137" t="str">
        <x:v>ZH-EXTREMELY-BAD-016</x:v>
      </x:c>
      <x:c r="C137" s="17" t="str">
        <x:v>016</x:v>
      </x:c>
      <x:c r="D137" t="str">
        <x:v>Extremely Bad</x:v>
      </x:c>
      <x:c r="E137" t="n">
        <x:v>0</x:v>
      </x:c>
      <x:c r="F137" t="n">
        <x:v>29</x:v>
      </x:c>
      <x:c r="G137" t="n">
        <x:v>1</x:v>
      </x:c>
      <x:c r="H137" s="18" t="n">
        <x:v>27</x:v>
      </x:c>
      <x:c r="I137" s="18" t="n">
        <x:v>20</x:v>
      </x:c>
      <x:c r="J137" s="18" t="n">
        <x:v>10</x:v>
      </x:c>
      <x:c r="K137" s="18" t="n">
        <x:v>30</x:v>
      </x:c>
      <x:c r="L137" s="18" t="n">
        <x:v>75</x:v>
      </x:c>
      <x:c r="M137" s="18" t="n">
        <x:v>20</x:v>
      </x:c>
      <x:c r="N137" s="18" t="n">
        <x:v>15</x:v>
      </x:c>
      <x:c r="O137" s="18" t="n">
        <x:v>27</x:v>
      </x:c>
      <x:c r="P137" s="18" t="n">
        <x:v>39</x:v>
      </x:c>
      <x:c r="Q137" t="str">
        <x:v>Yes</x:v>
      </x:c>
      <x:c r="R137" s="18" t="n">
        <x:v>0</x:v>
      </x:c>
      <x:c r="S137" s="18" t="n">
        <x:v>0</x:v>
      </x:c>
      <x:c r="T137" s="18" t="n">
        <x:v>0</x:v>
      </x:c>
      <x:c r="U137" t="str">
        <x:v>Extremely Bad</x:v>
      </x:c>
      <x:c r="V137" t="str">
        <x:v>Yes</x:v>
      </x:c>
      <x:c r="W137" t="str">
        <x:v>SEVERELY_DEFICIENT</x:v>
      </x:c>
      <x:c r="X137" t="str">
        <x:v>REWRITE_REQUIRED</x:v>
      </x:c>
      <x:c r="Y137" t="n">
        <x:v>80</x:v>
      </x:c>
      <x:c r="Z137" t="str">
        <x:v>Success</x:v>
      </x:c>
      <x:c r="AA137"/>
      <x:c r="AB137"/>
      <x:c r="AC137" s="13"/>
      <x:c r="AD137" t="n">
        <x:v>0</x:v>
      </x:c>
      <x:c r="AE137" s="19" t="n">
        <x:v>66921</x:v>
      </x:c>
      <x:c r="AF137" t="str">
        <x:v>deepseek-v4-pro</x:v>
      </x:c>
      <x:c r="AG137" s="20" t="n">
        <x:v>46231.1717816088</x:v>
      </x:c>
      <x:c r="AH137" t="n">
        <x:v>200</x:v>
      </x:c>
      <x:c r="AI137" t="str">
        <x:v>48d0fcedb94349e49ba050a207ce1fcd633360e253483cc0260a18295103fdae</x:v>
      </x:c>
      <x:c r="AJ137" t="str">
        <x:v>b6aedb528c13fd641180bb42aa44cac60cfc21ad2ed4fb6c6f4c7b2e37cf2fdf</x:v>
      </x:c>
    </x:row>
    <x:row r="138">
      <x:c r="A138" s="17" t="str">
        <x:v>137</x:v>
      </x:c>
      <x:c r="B138" t="str">
        <x:v>ZH-EXTREMELY-BAD-017</x:v>
      </x:c>
      <x:c r="C138" s="17" t="str">
        <x:v>017</x:v>
      </x:c>
      <x:c r="D138" t="str">
        <x:v>Extremely Bad</x:v>
      </x:c>
      <x:c r="E138" t="n">
        <x:v>0</x:v>
      </x:c>
      <x:c r="F138" t="n">
        <x:v>29</x:v>
      </x:c>
      <x:c r="G138" t="n">
        <x:v>1</x:v>
      </x:c>
      <x:c r="H138" s="18" t="n">
        <x:v>8</x:v>
      </x:c>
      <x:c r="I138" s="18" t="n">
        <x:v>10</x:v>
      </x:c>
      <x:c r="J138" s="18" t="n">
        <x:v>5</x:v>
      </x:c>
      <x:c r="K138" s="18" t="n">
        <x:v>10</x:v>
      </x:c>
      <x:c r="L138" s="18" t="n">
        <x:v>5</x:v>
      </x:c>
      <x:c r="M138" s="18" t="n">
        <x:v>5</x:v>
      </x:c>
      <x:c r="N138" s="18" t="n">
        <x:v>10</x:v>
      </x:c>
      <x:c r="O138" s="18" t="n">
        <x:v>8</x:v>
      </x:c>
      <x:c r="P138" s="18" t="n">
        <x:v>39</x:v>
      </x:c>
      <x:c r="Q138" t="str">
        <x:v>Yes</x:v>
      </x:c>
      <x:c r="R138" s="18" t="n">
        <x:v>0</x:v>
      </x:c>
      <x:c r="S138" s="18" t="n">
        <x:v>0</x:v>
      </x:c>
      <x:c r="T138" s="18" t="n">
        <x:v>0</x:v>
      </x:c>
      <x:c r="U138" t="str">
        <x:v>Extremely Bad</x:v>
      </x:c>
      <x:c r="V138" t="str">
        <x:v>Yes</x:v>
      </x:c>
      <x:c r="W138" t="str">
        <x:v>SEVERELY_DEFICIENT</x:v>
      </x:c>
      <x:c r="X138" t="str">
        <x:v>REWRITE_REQUIRED</x:v>
      </x:c>
      <x:c r="Y138" t="n">
        <x:v>80</x:v>
      </x:c>
      <x:c r="Z138" t="str">
        <x:v>Success</x:v>
      </x:c>
      <x:c r="AA138"/>
      <x:c r="AB138"/>
      <x:c r="AC138" s="13"/>
      <x:c r="AD138" t="n">
        <x:v>0</x:v>
      </x:c>
      <x:c r="AE138" s="19" t="n">
        <x:v>32823</x:v>
      </x:c>
      <x:c r="AF138" t="str">
        <x:v>deepseek-v4-pro</x:v>
      </x:c>
      <x:c r="AG138" s="20" t="n">
        <x:v>46231.172161539354</x:v>
      </x:c>
      <x:c r="AH138" t="n">
        <x:v>200</x:v>
      </x:c>
      <x:c r="AI138" t="str">
        <x:v>31966ea12db4628aa114646f01999d14190dd9a26fcf77dd00228931d8e944bd</x:v>
      </x:c>
      <x:c r="AJ138" t="str">
        <x:v>b6aedb528c13fd641180bb42aa44cac60cfc21ad2ed4fb6c6f4c7b2e37cf2fdf</x:v>
      </x:c>
    </x:row>
    <x:row r="139">
      <x:c r="A139" s="17" t="str">
        <x:v>138</x:v>
      </x:c>
      <x:c r="B139" t="str">
        <x:v>ZH-EXTREMELY-BAD-018</x:v>
      </x:c>
      <x:c r="C139" s="17" t="str">
        <x:v>018</x:v>
      </x:c>
      <x:c r="D139" t="str">
        <x:v>Extremely Bad</x:v>
      </x:c>
      <x:c r="E139" t="n">
        <x:v>0</x:v>
      </x:c>
      <x:c r="F139" t="n">
        <x:v>29</x:v>
      </x:c>
      <x:c r="G139" t="n">
        <x:v>1</x:v>
      </x:c>
      <x:c r="H139" s="18" t="n">
        <x:v>10</x:v>
      </x:c>
      <x:c r="I139" s="18" t="n">
        <x:v>15</x:v>
      </x:c>
      <x:c r="J139" s="18" t="n">
        <x:v>5</x:v>
      </x:c>
      <x:c r="K139" s="18" t="n">
        <x:v>10</x:v>
      </x:c>
      <x:c r="L139" s="18" t="n">
        <x:v>5</x:v>
      </x:c>
      <x:c r="M139" s="18" t="n">
        <x:v>5</x:v>
      </x:c>
      <x:c r="N139" s="18" t="n">
        <x:v>20</x:v>
      </x:c>
      <x:c r="O139" s="18" t="n">
        <x:v>10</x:v>
      </x:c>
      <x:c r="P139" s="18" t="n">
        <x:v>39</x:v>
      </x:c>
      <x:c r="Q139" t="str">
        <x:v>Yes</x:v>
      </x:c>
      <x:c r="R139" s="18" t="n">
        <x:v>0</x:v>
      </x:c>
      <x:c r="S139" s="18" t="n">
        <x:v>0</x:v>
      </x:c>
      <x:c r="T139" s="18" t="n">
        <x:v>0</x:v>
      </x:c>
      <x:c r="U139" t="str">
        <x:v>Extremely Bad</x:v>
      </x:c>
      <x:c r="V139" t="str">
        <x:v>Yes</x:v>
      </x:c>
      <x:c r="W139" t="str">
        <x:v>SEVERELY_DEFICIENT</x:v>
      </x:c>
      <x:c r="X139" t="str">
        <x:v>REWRITE_REQUIRED</x:v>
      </x:c>
      <x:c r="Y139" t="n">
        <x:v>80</x:v>
      </x:c>
      <x:c r="Z139" t="str">
        <x:v>Success</x:v>
      </x:c>
      <x:c r="AA139"/>
      <x:c r="AB139"/>
      <x:c r="AC139" s="13"/>
      <x:c r="AD139" t="n">
        <x:v>0</x:v>
      </x:c>
      <x:c r="AE139" s="19" t="n">
        <x:v>39111</x:v>
      </x:c>
      <x:c r="AF139" t="str">
        <x:v>deepseek-v4-pro</x:v>
      </x:c>
      <x:c r="AG139" s="20" t="n">
        <x:v>46231.17261422454</x:v>
      </x:c>
      <x:c r="AH139" t="n">
        <x:v>200</x:v>
      </x:c>
      <x:c r="AI139" t="str">
        <x:v>08a10fcb40aa32716c044ea29d08c0a509f912898938028f2fb3224a6d43bec4</x:v>
      </x:c>
      <x:c r="AJ139" t="str">
        <x:v>b6aedb528c13fd641180bb42aa44cac60cfc21ad2ed4fb6c6f4c7b2e37cf2fdf</x:v>
      </x:c>
    </x:row>
    <x:row r="140">
      <x:c r="A140" s="17" t="str">
        <x:v>139</x:v>
      </x:c>
      <x:c r="B140" t="str">
        <x:v>ZH-EXTREMELY-BAD-019</x:v>
      </x:c>
      <x:c r="C140" s="17" t="str">
        <x:v>019</x:v>
      </x:c>
      <x:c r="D140" t="str">
        <x:v>Extremely Bad</x:v>
      </x:c>
      <x:c r="E140" t="n">
        <x:v>0</x:v>
      </x:c>
      <x:c r="F140" t="n">
        <x:v>29</x:v>
      </x:c>
      <x:c r="G140" t="n">
        <x:v>1</x:v>
      </x:c>
      <x:c r="H140" s="18" t="n">
        <x:v>18</x:v>
      </x:c>
      <x:c r="I140" s="18" t="n">
        <x:v>20</x:v>
      </x:c>
      <x:c r="J140" s="18" t="n">
        <x:v>15</x:v>
      </x:c>
      <x:c r="K140" s="18" t="n">
        <x:v>20</x:v>
      </x:c>
      <x:c r="L140" s="18" t="n">
        <x:v>25</x:v>
      </x:c>
      <x:c r="M140" s="18" t="n">
        <x:v>15</x:v>
      </x:c>
      <x:c r="N140" s="18" t="n">
        <x:v>10</x:v>
      </x:c>
      <x:c r="O140" s="18" t="n">
        <x:v>18</x:v>
      </x:c>
      <x:c r="P140" s="18" t="n">
        <x:v>39</x:v>
      </x:c>
      <x:c r="Q140" t="str">
        <x:v>Yes</x:v>
      </x:c>
      <x:c r="R140" s="18" t="n">
        <x:v>0</x:v>
      </x:c>
      <x:c r="S140" s="18" t="n">
        <x:v>0</x:v>
      </x:c>
      <x:c r="T140" s="18" t="n">
        <x:v>0</x:v>
      </x:c>
      <x:c r="U140" t="str">
        <x:v>Extremely Bad</x:v>
      </x:c>
      <x:c r="V140" t="str">
        <x:v>Yes</x:v>
      </x:c>
      <x:c r="W140" t="str">
        <x:v>SEVERELY_DEFICIENT</x:v>
      </x:c>
      <x:c r="X140" t="str">
        <x:v>REWRITE_REQUIRED</x:v>
      </x:c>
      <x:c r="Y140" t="n">
        <x:v>80</x:v>
      </x:c>
      <x:c r="Z140" t="str">
        <x:v>Success</x:v>
      </x:c>
      <x:c r="AA140"/>
      <x:c r="AB140"/>
      <x:c r="AC140" s="13"/>
      <x:c r="AD140" t="n">
        <x:v>0</x:v>
      </x:c>
      <x:c r="AE140" s="19" t="n">
        <x:v>43409</x:v>
      </x:c>
      <x:c r="AF140" t="str">
        <x:v>deepseek-v4-pro</x:v>
      </x:c>
      <x:c r="AG140" s="20" t="n">
        <x:v>46231.17311664352</x:v>
      </x:c>
      <x:c r="AH140" t="n">
        <x:v>200</x:v>
      </x:c>
      <x:c r="AI140" t="str">
        <x:v>96640c50141f6c08ab7c12601c69b60b5f377cc7a05670ad2858a17d25da512e</x:v>
      </x:c>
      <x:c r="AJ140" t="str">
        <x:v>b6aedb528c13fd641180bb42aa44cac60cfc21ad2ed4fb6c6f4c7b2e37cf2fdf</x:v>
      </x:c>
    </x:row>
    <x:row r="141">
      <x:c r="A141" s="17" t="str">
        <x:v>140</x:v>
      </x:c>
      <x:c r="B141" t="str">
        <x:v>ZH-EXTREMELY-BAD-020</x:v>
      </x:c>
      <x:c r="C141" s="17" t="str">
        <x:v>020</x:v>
      </x:c>
      <x:c r="D141" t="str">
        <x:v>Extremely Bad</x:v>
      </x:c>
      <x:c r="E141" t="n">
        <x:v>0</x:v>
      </x:c>
      <x:c r="F141" t="n">
        <x:v>29</x:v>
      </x:c>
      <x:c r="G141" t="n">
        <x:v>1</x:v>
      </x:c>
      <x:c r="H141" s="18" t="n">
        <x:v>23</x:v>
      </x:c>
      <x:c r="I141" s="18" t="n">
        <x:v>20</x:v>
      </x:c>
      <x:c r="J141" s="18" t="n">
        <x:v>15</x:v>
      </x:c>
      <x:c r="K141" s="18" t="n">
        <x:v>25</x:v>
      </x:c>
      <x:c r="L141" s="18" t="n">
        <x:v>35</x:v>
      </x:c>
      <x:c r="M141" s="18" t="n">
        <x:v>20</x:v>
      </x:c>
      <x:c r="N141" s="18" t="n">
        <x:v>25</x:v>
      </x:c>
      <x:c r="O141" s="18" t="n">
        <x:v>23</x:v>
      </x:c>
      <x:c r="P141" s="18" t="n">
        <x:v>39</x:v>
      </x:c>
      <x:c r="Q141" t="str">
        <x:v>Yes</x:v>
      </x:c>
      <x:c r="R141" s="18" t="n">
        <x:v>0</x:v>
      </x:c>
      <x:c r="S141" s="18" t="n">
        <x:v>0</x:v>
      </x:c>
      <x:c r="T141" s="18" t="n">
        <x:v>0</x:v>
      </x:c>
      <x:c r="U141" t="str">
        <x:v>Extremely Bad</x:v>
      </x:c>
      <x:c r="V141" t="str">
        <x:v>Yes</x:v>
      </x:c>
      <x:c r="W141" t="str">
        <x:v>SEVERELY_DEFICIENT</x:v>
      </x:c>
      <x:c r="X141" t="str">
        <x:v>REWRITE_REQUIRED</x:v>
      </x:c>
      <x:c r="Y141" t="n">
        <x:v>80</x:v>
      </x:c>
      <x:c r="Z141" t="str">
        <x:v>Success</x:v>
      </x:c>
      <x:c r="AA141"/>
      <x:c r="AB141"/>
      <x:c r="AC141" s="13"/>
      <x:c r="AD141" t="n">
        <x:v>0</x:v>
      </x:c>
      <x:c r="AE141" s="19" t="n">
        <x:v>47068</x:v>
      </x:c>
      <x:c r="AF141" t="str">
        <x:v>deepseek-v4-pro</x:v>
      </x:c>
      <x:c r="AG141" s="20" t="n">
        <x:v>46231.173661458335</x:v>
      </x:c>
      <x:c r="AH141" t="n">
        <x:v>200</x:v>
      </x:c>
      <x:c r="AI141" t="str">
        <x:v>2118ae6f709dcf427a070afcc8d87a3cebccb08a962af269328cd2f90f9acda3</x:v>
      </x:c>
      <x:c r="AJ141" t="str">
        <x:v>b6aedb528c13fd641180bb42aa44cac60cfc21ad2ed4fb6c6f4c7b2e37cf2fdf</x:v>
      </x:c>
    </x:row>
    <x:row r="142">
      <x:c r="A142" s="17" t="str">
        <x:v>141</x:v>
      </x:c>
      <x:c r="B142" t="str">
        <x:v>ZH-EXTREMELY-BAD-021</x:v>
      </x:c>
      <x:c r="C142" s="17" t="str">
        <x:v>021</x:v>
      </x:c>
      <x:c r="D142" t="str">
        <x:v>Extremely Bad</x:v>
      </x:c>
      <x:c r="E142" t="n">
        <x:v>0</x:v>
      </x:c>
      <x:c r="F142" t="n">
        <x:v>29</x:v>
      </x:c>
      <x:c r="G142" t="n">
        <x:v>1</x:v>
      </x:c>
      <x:c r="H142" s="18" t="n">
        <x:v>31</x:v>
      </x:c>
      <x:c r="I142" s="18" t="n">
        <x:v>35</x:v>
      </x:c>
      <x:c r="J142" s="18" t="n">
        <x:v>25</x:v>
      </x:c>
      <x:c r="K142" s="18" t="n">
        <x:v>35</x:v>
      </x:c>
      <x:c r="L142" s="18" t="n">
        <x:v>30</x:v>
      </x:c>
      <x:c r="M142" s="18" t="n">
        <x:v>30</x:v>
      </x:c>
      <x:c r="N142" s="18" t="n">
        <x:v>30</x:v>
      </x:c>
      <x:c r="O142" s="18" t="n">
        <x:v>31</x:v>
      </x:c>
      <x:c r="P142" s="18" t="n">
        <x:v>39</x:v>
      </x:c>
      <x:c r="Q142" t="str">
        <x:v>No</x:v>
      </x:c>
      <x:c r="R142" s="18" t="n">
        <x:v>2</x:v>
      </x:c>
      <x:c r="S142" s="18" t="n">
        <x:v>0</x:v>
      </x:c>
      <x:c r="T142" s="18" t="n">
        <x:v>2</x:v>
      </x:c>
      <x:c r="U142" t="str">
        <x:v>Bad</x:v>
      </x:c>
      <x:c r="V142" t="str">
        <x:v>No</x:v>
      </x:c>
      <x:c r="W142" t="str">
        <x:v>SEVERELY_DEFICIENT</x:v>
      </x:c>
      <x:c r="X142" t="str">
        <x:v>REWRITE_REQUIRED</x:v>
      </x:c>
      <x:c r="Y142" t="n">
        <x:v>80</x:v>
      </x:c>
      <x:c r="Z142" t="str">
        <x:v>Success</x:v>
      </x:c>
      <x:c r="AA142"/>
      <x:c r="AB142"/>
      <x:c r="AC142" s="13"/>
      <x:c r="AD142" t="n">
        <x:v>0</x:v>
      </x:c>
      <x:c r="AE142" s="19" t="n">
        <x:v>49919</x:v>
      </x:c>
      <x:c r="AF142" t="str">
        <x:v>deepseek-v4-pro</x:v>
      </x:c>
      <x:c r="AG142" s="20" t="n">
        <x:v>46231.17423925926</x:v>
      </x:c>
      <x:c r="AH142" t="n">
        <x:v>200</x:v>
      </x:c>
      <x:c r="AI142" t="str">
        <x:v>3e0b3eac6759d5755deee27a8092a03ecea47ad2e41cc3f03d2f4d46572a374b</x:v>
      </x:c>
      <x:c r="AJ142" t="str">
        <x:v>b6aedb528c13fd641180bb42aa44cac60cfc21ad2ed4fb6c6f4c7b2e37cf2fdf</x:v>
      </x:c>
    </x:row>
    <x:row r="143">
      <x:c r="A143" s="17" t="str">
        <x:v>142</x:v>
      </x:c>
      <x:c r="B143" t="str">
        <x:v>ZH-EXTREMELY-BAD-022</x:v>
      </x:c>
      <x:c r="C143" s="17" t="str">
        <x:v>022</x:v>
      </x:c>
      <x:c r="D143" t="str">
        <x:v>Extremely Bad</x:v>
      </x:c>
      <x:c r="E143" t="n">
        <x:v>0</x:v>
      </x:c>
      <x:c r="F143" t="n">
        <x:v>29</x:v>
      </x:c>
      <x:c r="G143" t="n">
        <x:v>1</x:v>
      </x:c>
      <x:c r="H143" s="18" t="n">
        <x:v>26</x:v>
      </x:c>
      <x:c r="I143" s="18" t="n">
        <x:v>25</x:v>
      </x:c>
      <x:c r="J143" s="18" t="n">
        <x:v>25</x:v>
      </x:c>
      <x:c r="K143" s="18" t="n">
        <x:v>30</x:v>
      </x:c>
      <x:c r="L143" s="18" t="n">
        <x:v>35</x:v>
      </x:c>
      <x:c r="M143" s="18" t="n">
        <x:v>20</x:v>
      </x:c>
      <x:c r="N143" s="18" t="n">
        <x:v>15</x:v>
      </x:c>
      <x:c r="O143" s="18" t="n">
        <x:v>26</x:v>
      </x:c>
      <x:c r="P143" s="18" t="n">
        <x:v>59</x:v>
      </x:c>
      <x:c r="Q143" t="str">
        <x:v>Yes</x:v>
      </x:c>
      <x:c r="R143" s="18" t="n">
        <x:v>0</x:v>
      </x:c>
      <x:c r="S143" s="18" t="n">
        <x:v>0</x:v>
      </x:c>
      <x:c r="T143" s="18" t="n">
        <x:v>0</x:v>
      </x:c>
      <x:c r="U143" t="str">
        <x:v>Extremely Bad</x:v>
      </x:c>
      <x:c r="V143" t="str">
        <x:v>Yes</x:v>
      </x:c>
      <x:c r="W143" t="str">
        <x:v>SEVERELY_DEFICIENT</x:v>
      </x:c>
      <x:c r="X143" t="str">
        <x:v>REWRITE_REQUIRED</x:v>
      </x:c>
      <x:c r="Y143" t="n">
        <x:v>80</x:v>
      </x:c>
      <x:c r="Z143" t="str">
        <x:v>Success</x:v>
      </x:c>
      <x:c r="AA143"/>
      <x:c r="AB143"/>
      <x:c r="AC143" s="13"/>
      <x:c r="AD143" t="n">
        <x:v>0</x:v>
      </x:c>
      <x:c r="AE143" s="19" t="n">
        <x:v>55548</x:v>
      </x:c>
      <x:c r="AF143" t="str">
        <x:v>deepseek-v4-pro</x:v>
      </x:c>
      <x:c r="AG143" s="20" t="n">
        <x:v>46231.17488222222</x:v>
      </x:c>
      <x:c r="AH143" t="n">
        <x:v>200</x:v>
      </x:c>
      <x:c r="AI143" t="str">
        <x:v>fed38630b38c7fc0c318858b6f6534afec7990cce2282683ae93557edf0c982e</x:v>
      </x:c>
      <x:c r="AJ143" t="str">
        <x:v>b6aedb528c13fd641180bb42aa44cac60cfc21ad2ed4fb6c6f4c7b2e37cf2fdf</x:v>
      </x:c>
    </x:row>
    <x:row r="144">
      <x:c r="A144" s="17" t="str">
        <x:v>143</x:v>
      </x:c>
      <x:c r="B144" t="str">
        <x:v>ZH-EXTREMELY-BAD-023</x:v>
      </x:c>
      <x:c r="C144" s="17" t="str">
        <x:v>023</x:v>
      </x:c>
      <x:c r="D144" t="str">
        <x:v>Extremely Bad</x:v>
      </x:c>
      <x:c r="E144" t="n">
        <x:v>0</x:v>
      </x:c>
      <x:c r="F144" t="n">
        <x:v>29</x:v>
      </x:c>
      <x:c r="G144" t="n">
        <x:v>1</x:v>
      </x:c>
      <x:c r="H144" s="18" t="n">
        <x:v>26</x:v>
      </x:c>
      <x:c r="I144" s="18" t="n">
        <x:v>25</x:v>
      </x:c>
      <x:c r="J144" s="18" t="n">
        <x:v>20</x:v>
      </x:c>
      <x:c r="K144" s="18" t="n">
        <x:v>30</x:v>
      </x:c>
      <x:c r="L144" s="18" t="n">
        <x:v>25</x:v>
      </x:c>
      <x:c r="M144" s="18" t="n">
        <x:v>30</x:v>
      </x:c>
      <x:c r="N144" s="18" t="n">
        <x:v>25</x:v>
      </x:c>
      <x:c r="O144" s="18" t="n">
        <x:v>26</x:v>
      </x:c>
      <x:c r="P144" s="18" t="n">
        <x:v>59</x:v>
      </x:c>
      <x:c r="Q144" t="str">
        <x:v>Yes</x:v>
      </x:c>
      <x:c r="R144" s="18" t="n">
        <x:v>0</x:v>
      </x:c>
      <x:c r="S144" s="18" t="n">
        <x:v>0</x:v>
      </x:c>
      <x:c r="T144" s="18" t="n">
        <x:v>0</x:v>
      </x:c>
      <x:c r="U144" t="str">
        <x:v>Extremely Bad</x:v>
      </x:c>
      <x:c r="V144" t="str">
        <x:v>Yes</x:v>
      </x:c>
      <x:c r="W144" t="str">
        <x:v>SEVERELY_DEFICIENT</x:v>
      </x:c>
      <x:c r="X144" t="str">
        <x:v>REWRITE_REQUIRED</x:v>
      </x:c>
      <x:c r="Y144" t="n">
        <x:v>80</x:v>
      </x:c>
      <x:c r="Z144" t="str">
        <x:v>Success</x:v>
      </x:c>
      <x:c r="AA144"/>
      <x:c r="AB144"/>
      <x:c r="AC144" s="13"/>
      <x:c r="AD144" t="n">
        <x:v>0</x:v>
      </x:c>
      <x:c r="AE144" s="19" t="n">
        <x:v>73042</x:v>
      </x:c>
      <x:c r="AF144" t="str">
        <x:v>deepseek-v4-pro</x:v>
      </x:c>
      <x:c r="AG144" s="20" t="n">
        <x:v>46231.17572762731</x:v>
      </x:c>
      <x:c r="AH144" t="n">
        <x:v>200</x:v>
      </x:c>
      <x:c r="AI144" t="str">
        <x:v>6b520dca8af48e0ae009f1fabac956f7b329ed5e9c7d9080f50a78517d468930</x:v>
      </x:c>
      <x:c r="AJ144" t="str">
        <x:v>b6aedb528c13fd641180bb42aa44cac60cfc21ad2ed4fb6c6f4c7b2e37cf2fdf</x:v>
      </x:c>
    </x:row>
    <x:row r="145">
      <x:c r="A145" s="17" t="str">
        <x:v>144</x:v>
      </x:c>
      <x:c r="B145" t="str">
        <x:v>ZH-EXTREMELY-BAD-024</x:v>
      </x:c>
      <x:c r="C145" s="17" t="str">
        <x:v>024</x:v>
      </x:c>
      <x:c r="D145" t="str">
        <x:v>Extremely Bad</x:v>
      </x:c>
      <x:c r="E145" t="n">
        <x:v>0</x:v>
      </x:c>
      <x:c r="F145" t="n">
        <x:v>29</x:v>
      </x:c>
      <x:c r="G145" t="n">
        <x:v>1</x:v>
      </x:c>
      <x:c r="H145" s="18" t="n">
        <x:v>19</x:v>
      </x:c>
      <x:c r="I145" s="18" t="n">
        <x:v>20</x:v>
      </x:c>
      <x:c r="J145" s="18" t="n">
        <x:v>15</x:v>
      </x:c>
      <x:c r="K145" s="18" t="n">
        <x:v>15</x:v>
      </x:c>
      <x:c r="L145" s="18" t="n">
        <x:v>20</x:v>
      </x:c>
      <x:c r="M145" s="18" t="n">
        <x:v>15</x:v>
      </x:c>
      <x:c r="N145" s="18" t="n">
        <x:v>30</x:v>
      </x:c>
      <x:c r="O145" s="18" t="n">
        <x:v>19</x:v>
      </x:c>
      <x:c r="P145" s="18" t="n">
        <x:v>39</x:v>
      </x:c>
      <x:c r="Q145" t="str">
        <x:v>Yes</x:v>
      </x:c>
      <x:c r="R145" s="18" t="n">
        <x:v>0</x:v>
      </x:c>
      <x:c r="S145" s="18" t="n">
        <x:v>0</x:v>
      </x:c>
      <x:c r="T145" s="18" t="n">
        <x:v>0</x:v>
      </x:c>
      <x:c r="U145" t="str">
        <x:v>Extremely Bad</x:v>
      </x:c>
      <x:c r="V145" t="str">
        <x:v>Yes</x:v>
      </x:c>
      <x:c r="W145" t="str">
        <x:v>SEVERELY_DEFICIENT</x:v>
      </x:c>
      <x:c r="X145" t="str">
        <x:v>REWRITE_REQUIRED</x:v>
      </x:c>
      <x:c r="Y145" t="n">
        <x:v>80</x:v>
      </x:c>
      <x:c r="Z145" t="str">
        <x:v>Success</x:v>
      </x:c>
      <x:c r="AA145"/>
      <x:c r="AB145"/>
      <x:c r="AC145" s="13"/>
      <x:c r="AD145" t="n">
        <x:v>0</x:v>
      </x:c>
      <x:c r="AE145" s="19" t="n">
        <x:v>61752</x:v>
      </x:c>
      <x:c r="AF145" t="str">
        <x:v>deepseek-v4-pro</x:v>
      </x:c>
      <x:c r="AG145" s="20" t="n">
        <x:v>46231.17644236111</x:v>
      </x:c>
      <x:c r="AH145" t="n">
        <x:v>200</x:v>
      </x:c>
      <x:c r="AI145" t="str">
        <x:v>32e7a787d4e55339092e2d1173aefbe055ef0465a729d458ecd79009fecf3c63</x:v>
      </x:c>
      <x:c r="AJ145" t="str">
        <x:v>b6aedb528c13fd641180bb42aa44cac60cfc21ad2ed4fb6c6f4c7b2e37cf2fdf</x:v>
      </x:c>
    </x:row>
    <x:row r="146">
      <x:c r="A146" s="17" t="str">
        <x:v>145</x:v>
      </x:c>
      <x:c r="B146" t="str">
        <x:v>ZH-EXTREMELY-BAD-025</x:v>
      </x:c>
      <x:c r="C146" s="17" t="str">
        <x:v>025</x:v>
      </x:c>
      <x:c r="D146" t="str">
        <x:v>Extremely Bad</x:v>
      </x:c>
      <x:c r="E146" t="n">
        <x:v>0</x:v>
      </x:c>
      <x:c r="F146" t="n">
        <x:v>29</x:v>
      </x:c>
      <x:c r="G146" t="n">
        <x:v>1</x:v>
      </x:c>
      <x:c r="H146" s="18" t="n">
        <x:v>23</x:v>
      </x:c>
      <x:c r="I146" s="18" t="n">
        <x:v>20</x:v>
      </x:c>
      <x:c r="J146" s="18" t="n">
        <x:v>15</x:v>
      </x:c>
      <x:c r="K146" s="18" t="n">
        <x:v>20</x:v>
      </x:c>
      <x:c r="L146" s="18" t="n">
        <x:v>30</x:v>
      </x:c>
      <x:c r="M146" s="18" t="n">
        <x:v>20</x:v>
      </x:c>
      <x:c r="N146" s="18" t="n">
        <x:v>40</x:v>
      </x:c>
      <x:c r="O146" s="18" t="n">
        <x:v>23</x:v>
      </x:c>
      <x:c r="P146" s="18" t="n">
        <x:v>59</x:v>
      </x:c>
      <x:c r="Q146" t="str">
        <x:v>Yes</x:v>
      </x:c>
      <x:c r="R146" s="18" t="n">
        <x:v>0</x:v>
      </x:c>
      <x:c r="S146" s="18" t="n">
        <x:v>0</x:v>
      </x:c>
      <x:c r="T146" s="18" t="n">
        <x:v>0</x:v>
      </x:c>
      <x:c r="U146" t="str">
        <x:v>Extremely Bad</x:v>
      </x:c>
      <x:c r="V146" t="str">
        <x:v>Yes</x:v>
      </x:c>
      <x:c r="W146" t="str">
        <x:v>SEVERELY_DEFICIENT</x:v>
      </x:c>
      <x:c r="X146" t="str">
        <x:v>REWRITE_REQUIRED</x:v>
      </x:c>
      <x:c r="Y146" t="n">
        <x:v>80</x:v>
      </x:c>
      <x:c r="Z146" t="str">
        <x:v>Success</x:v>
      </x:c>
      <x:c r="AA146"/>
      <x:c r="AB146"/>
      <x:c r="AC146" s="13"/>
      <x:c r="AD146" t="n">
        <x:v>0</x:v>
      </x:c>
      <x:c r="AE146" s="19" t="n">
        <x:v>64158</x:v>
      </x:c>
      <x:c r="AF146" t="str">
        <x:v>deepseek-v4-pro</x:v>
      </x:c>
      <x:c r="AG146" s="20" t="n">
        <x:v>46231.177184988424</x:v>
      </x:c>
      <x:c r="AH146" t="n">
        <x:v>200</x:v>
      </x:c>
      <x:c r="AI146" t="str">
        <x:v>42232ec4c0aa664ccd73f74397d013056af5a64f1ad72aff95e01b59ee0b3da7</x:v>
      </x:c>
      <x:c r="AJ146" t="str">
        <x:v>b6aedb528c13fd641180bb42aa44cac60cfc21ad2ed4fb6c6f4c7b2e37cf2fdf</x:v>
      </x:c>
    </x:row>
    <x:row r="147">
      <x:c r="A147" s="17" t="str">
        <x:v>146</x:v>
      </x:c>
      <x:c r="B147" t="str">
        <x:v>ZH-EXTREMELY-BAD-026</x:v>
      </x:c>
      <x:c r="C147" s="17" t="str">
        <x:v>026</x:v>
      </x:c>
      <x:c r="D147" t="str">
        <x:v>Extremely Bad</x:v>
      </x:c>
      <x:c r="E147" t="n">
        <x:v>0</x:v>
      </x:c>
      <x:c r="F147" t="n">
        <x:v>29</x:v>
      </x:c>
      <x:c r="G147" t="n">
        <x:v>1</x:v>
      </x:c>
      <x:c r="H147" s="18" t="n">
        <x:v>28</x:v>
      </x:c>
      <x:c r="I147" s="18" t="n">
        <x:v>25</x:v>
      </x:c>
      <x:c r="J147" s="18" t="n">
        <x:v>20</x:v>
      </x:c>
      <x:c r="K147" s="18" t="n">
        <x:v>30</x:v>
      </x:c>
      <x:c r="L147" s="18" t="n">
        <x:v>45</x:v>
      </x:c>
      <x:c r="M147" s="18" t="n">
        <x:v>25</x:v>
      </x:c>
      <x:c r="N147" s="18" t="n">
        <x:v>30</x:v>
      </x:c>
      <x:c r="O147" s="18" t="n">
        <x:v>28</x:v>
      </x:c>
      <x:c r="P147" s="18" t="n">
        <x:v>39</x:v>
      </x:c>
      <x:c r="Q147" t="str">
        <x:v>Yes</x:v>
      </x:c>
      <x:c r="R147" s="18" t="n">
        <x:v>0</x:v>
      </x:c>
      <x:c r="S147" s="18" t="n">
        <x:v>0</x:v>
      </x:c>
      <x:c r="T147" s="18" t="n">
        <x:v>0</x:v>
      </x:c>
      <x:c r="U147" t="str">
        <x:v>Extremely Bad</x:v>
      </x:c>
      <x:c r="V147" t="str">
        <x:v>Yes</x:v>
      </x:c>
      <x:c r="W147" t="str">
        <x:v>SEVERELY_DEFICIENT</x:v>
      </x:c>
      <x:c r="X147" t="str">
        <x:v>REWRITE_REQUIRED</x:v>
      </x:c>
      <x:c r="Y147" t="n">
        <x:v>80</x:v>
      </x:c>
      <x:c r="Z147" t="str">
        <x:v>Success</x:v>
      </x:c>
      <x:c r="AA147"/>
      <x:c r="AB147"/>
      <x:c r="AC147" s="13"/>
      <x:c r="AD147" t="n">
        <x:v>0</x:v>
      </x:c>
      <x:c r="AE147" s="19" t="n">
        <x:v>45338</x:v>
      </x:c>
      <x:c r="AF147" t="str">
        <x:v>deepseek-v4-pro</x:v>
      </x:c>
      <x:c r="AG147" s="20" t="n">
        <x:v>46231.1777097338</x:v>
      </x:c>
      <x:c r="AH147" t="n">
        <x:v>200</x:v>
      </x:c>
      <x:c r="AI147" t="str">
        <x:v>4e2eca3971f1b2e88a314dd3870df54b0531377f9ae4268efe1780460cb1563d</x:v>
      </x:c>
      <x:c r="AJ147" t="str">
        <x:v>b6aedb528c13fd641180bb42aa44cac60cfc21ad2ed4fb6c6f4c7b2e37cf2fdf</x:v>
      </x:c>
    </x:row>
    <x:row r="148">
      <x:c r="A148" s="17" t="str">
        <x:v>147</x:v>
      </x:c>
      <x:c r="B148" t="str">
        <x:v>ZH-EXTREMELY-BAD-027</x:v>
      </x:c>
      <x:c r="C148" s="17" t="str">
        <x:v>027</x:v>
      </x:c>
      <x:c r="D148" t="str">
        <x:v>Extremely Bad</x:v>
      </x:c>
      <x:c r="E148" t="n">
        <x:v>0</x:v>
      </x:c>
      <x:c r="F148" t="n">
        <x:v>29</x:v>
      </x:c>
      <x:c r="G148" t="n">
        <x:v>1</x:v>
      </x:c>
      <x:c r="H148" s="18" t="n">
        <x:v>44</x:v>
      </x:c>
      <x:c r="I148" s="18" t="n">
        <x:v>45</x:v>
      </x:c>
      <x:c r="J148" s="18" t="n">
        <x:v>35</x:v>
      </x:c>
      <x:c r="K148" s="18" t="n">
        <x:v>45</x:v>
      </x:c>
      <x:c r="L148" s="18" t="n">
        <x:v>55</x:v>
      </x:c>
      <x:c r="M148" s="18" t="n">
        <x:v>40</x:v>
      </x:c>
      <x:c r="N148" s="18" t="n">
        <x:v>50</x:v>
      </x:c>
      <x:c r="O148" s="18" t="n">
        <x:v>44</x:v>
      </x:c>
      <x:c r="P148" s="18" t="n">
        <x:v>59</x:v>
      </x:c>
      <x:c r="Q148" t="str">
        <x:v>No</x:v>
      </x:c>
      <x:c r="R148" s="18" t="n">
        <x:v>15</x:v>
      </x:c>
      <x:c r="S148" s="18" t="n">
        <x:v>0</x:v>
      </x:c>
      <x:c r="T148" s="18" t="n">
        <x:v>15</x:v>
      </x:c>
      <x:c r="U148" t="str">
        <x:v>Bad</x:v>
      </x:c>
      <x:c r="V148" t="str">
        <x:v>No</x:v>
      </x:c>
      <x:c r="W148" t="str">
        <x:v>WEAK</x:v>
      </x:c>
      <x:c r="X148" t="str">
        <x:v>REWRITE_REQUIRED</x:v>
      </x:c>
      <x:c r="Y148" t="n">
        <x:v>80</x:v>
      </x:c>
      <x:c r="Z148" t="str">
        <x:v>Success</x:v>
      </x:c>
      <x:c r="AA148"/>
      <x:c r="AB148"/>
      <x:c r="AC148" s="13"/>
      <x:c r="AD148" t="n">
        <x:v>0</x:v>
      </x:c>
      <x:c r="AE148" s="19" t="n">
        <x:v>60539</x:v>
      </x:c>
      <x:c r="AF148" t="str">
        <x:v>deepseek-v4-pro</x:v>
      </x:c>
      <x:c r="AG148" s="20" t="n">
        <x:v>46231.17841047454</x:v>
      </x:c>
      <x:c r="AH148" t="n">
        <x:v>200</x:v>
      </x:c>
      <x:c r="AI148" t="str">
        <x:v>e55d87e0a959c50a2e9cfa20e02a434672fe2e3b7734654e924784ef68567ab8</x:v>
      </x:c>
      <x:c r="AJ148" t="str">
        <x:v>b6aedb528c13fd641180bb42aa44cac60cfc21ad2ed4fb6c6f4c7b2e37cf2fdf</x:v>
      </x:c>
    </x:row>
    <x:row r="149">
      <x:c r="A149" s="17" t="str">
        <x:v>148</x:v>
      </x:c>
      <x:c r="B149" t="str">
        <x:v>ZH-EXTREMELY-BAD-028</x:v>
      </x:c>
      <x:c r="C149" s="17" t="str">
        <x:v>028</x:v>
      </x:c>
      <x:c r="D149" t="str">
        <x:v>Extremely Bad</x:v>
      </x:c>
      <x:c r="E149" t="n">
        <x:v>0</x:v>
      </x:c>
      <x:c r="F149" t="n">
        <x:v>29</x:v>
      </x:c>
      <x:c r="G149" t="n">
        <x:v>1</x:v>
      </x:c>
      <x:c r="H149" s="18" t="n">
        <x:v>36</x:v>
      </x:c>
      <x:c r="I149" s="18" t="n">
        <x:v>25</x:v>
      </x:c>
      <x:c r="J149" s="18" t="n">
        <x:v>20</x:v>
      </x:c>
      <x:c r="K149" s="18" t="n">
        <x:v>30</x:v>
      </x:c>
      <x:c r="L149" s="18" t="n">
        <x:v>75</x:v>
      </x:c>
      <x:c r="M149" s="18" t="n">
        <x:v>45</x:v>
      </x:c>
      <x:c r="N149" s="18" t="n">
        <x:v>30</x:v>
      </x:c>
      <x:c r="O149" s="18" t="n">
        <x:v>36</x:v>
      </x:c>
      <x:c r="P149" s="18" t="n">
        <x:v>39</x:v>
      </x:c>
      <x:c r="Q149" t="str">
        <x:v>No</x:v>
      </x:c>
      <x:c r="R149" s="18" t="n">
        <x:v>7</x:v>
      </x:c>
      <x:c r="S149" s="18" t="n">
        <x:v>0</x:v>
      </x:c>
      <x:c r="T149" s="18" t="n">
        <x:v>7</x:v>
      </x:c>
      <x:c r="U149" t="str">
        <x:v>Bad</x:v>
      </x:c>
      <x:c r="V149" t="str">
        <x:v>No</x:v>
      </x:c>
      <x:c r="W149" t="str">
        <x:v>SEVERELY_DEFICIENT</x:v>
      </x:c>
      <x:c r="X149" t="str">
        <x:v>REWRITE_REQUIRED</x:v>
      </x:c>
      <x:c r="Y149" t="n">
        <x:v>80</x:v>
      </x:c>
      <x:c r="Z149" t="str">
        <x:v>Success</x:v>
      </x:c>
      <x:c r="AA149"/>
      <x:c r="AB149"/>
      <x:c r="AC149" s="13"/>
      <x:c r="AD149" t="n">
        <x:v>0</x:v>
      </x:c>
      <x:c r="AE149" s="19" t="n">
        <x:v>73097</x:v>
      </x:c>
      <x:c r="AF149" t="str">
        <x:v>deepseek-v4-pro</x:v>
      </x:c>
      <x:c r="AG149" s="20" t="n">
        <x:v>46231.1792565162</x:v>
      </x:c>
      <x:c r="AH149" t="n">
        <x:v>200</x:v>
      </x:c>
      <x:c r="AI149" t="str">
        <x:v>a701c0eb4f96d1a04a94acf8714381ab61c914223e843458f3160de3464d9ded</x:v>
      </x:c>
      <x:c r="AJ149" t="str">
        <x:v>b6aedb528c13fd641180bb42aa44cac60cfc21ad2ed4fb6c6f4c7b2e37cf2fdf</x:v>
      </x:c>
    </x:row>
    <x:row r="150">
      <x:c r="A150" s="17" t="str">
        <x:v>149</x:v>
      </x:c>
      <x:c r="B150" t="str">
        <x:v>ZH-EXTREMELY-BAD-029</x:v>
      </x:c>
      <x:c r="C150" s="17" t="str">
        <x:v>029</x:v>
      </x:c>
      <x:c r="D150" t="str">
        <x:v>Extremely Bad</x:v>
      </x:c>
      <x:c r="E150" t="n">
        <x:v>0</x:v>
      </x:c>
      <x:c r="F150" t="n">
        <x:v>29</x:v>
      </x:c>
      <x:c r="G150" t="n">
        <x:v>1</x:v>
      </x:c>
      <x:c r="H150" s="18" t="n">
        <x:v>49</x:v>
      </x:c>
      <x:c r="I150" s="18" t="n">
        <x:v>45</x:v>
      </x:c>
      <x:c r="J150" s="18" t="n">
        <x:v>35</x:v>
      </x:c>
      <x:c r="K150" s="18" t="n">
        <x:v>50</x:v>
      </x:c>
      <x:c r="L150" s="18" t="n">
        <x:v>55</x:v>
      </x:c>
      <x:c r="M150" s="18" t="n">
        <x:v>50</x:v>
      </x:c>
      <x:c r="N150" s="18" t="n">
        <x:v>75</x:v>
      </x:c>
      <x:c r="O150" s="18" t="n">
        <x:v>49</x:v>
      </x:c>
      <x:c r="P150" s="18" t="n">
        <x:v>59</x:v>
      </x:c>
      <x:c r="Q150" t="str">
        <x:v>No</x:v>
      </x:c>
      <x:c r="R150" s="18" t="n">
        <x:v>20</x:v>
      </x:c>
      <x:c r="S150" s="18" t="n">
        <x:v>0</x:v>
      </x:c>
      <x:c r="T150" s="18" t="n">
        <x:v>20</x:v>
      </x:c>
      <x:c r="U150" t="str">
        <x:v>Bad</x:v>
      </x:c>
      <x:c r="V150" t="str">
        <x:v>No</x:v>
      </x:c>
      <x:c r="W150" t="str">
        <x:v>WEAK</x:v>
      </x:c>
      <x:c r="X150" t="str">
        <x:v>REWRITE_REQUIRED</x:v>
      </x:c>
      <x:c r="Y150" t="n">
        <x:v>80</x:v>
      </x:c>
      <x:c r="Z150" t="str">
        <x:v>Success</x:v>
      </x:c>
      <x:c r="AA150"/>
      <x:c r="AB150"/>
      <x:c r="AC150" s="13"/>
      <x:c r="AD150" t="n">
        <x:v>0</x:v>
      </x:c>
      <x:c r="AE150" s="19" t="n">
        <x:v>65315</x:v>
      </x:c>
      <x:c r="AF150" t="str">
        <x:v>deepseek-v4-pro</x:v>
      </x:c>
      <x:c r="AG150" s="20" t="n">
        <x:v>46231.180012488425</x:v>
      </x:c>
      <x:c r="AH150" t="n">
        <x:v>200</x:v>
      </x:c>
      <x:c r="AI150" t="str">
        <x:v>4b6a8c4ec1662115e1082785d75271766130b07d230a6a8fe8d81278440ec839</x:v>
      </x:c>
      <x:c r="AJ150" t="str">
        <x:v>b6aedb528c13fd641180bb42aa44cac60cfc21ad2ed4fb6c6f4c7b2e37cf2fdf</x:v>
      </x:c>
    </x:row>
    <x:row r="151">
      <x:c r="A151" s="17" t="str">
        <x:v>150</x:v>
      </x:c>
      <x:c r="B151" t="str">
        <x:v>ZH-EXTREMELY-BAD-030</x:v>
      </x:c>
      <x:c r="C151" s="17" t="str">
        <x:v>030</x:v>
      </x:c>
      <x:c r="D151" t="str">
        <x:v>Extremely Bad</x:v>
      </x:c>
      <x:c r="E151" t="n">
        <x:v>0</x:v>
      </x:c>
      <x:c r="F151" t="n">
        <x:v>29</x:v>
      </x:c>
      <x:c r="G151" t="n">
        <x:v>1</x:v>
      </x:c>
      <x:c r="H151" s="18" t="n">
        <x:v>14</x:v>
      </x:c>
      <x:c r="I151" s="18" t="n">
        <x:v>20</x:v>
      </x:c>
      <x:c r="J151" s="18" t="n">
        <x:v>10</x:v>
      </x:c>
      <x:c r="K151" s="18" t="n">
        <x:v>15</x:v>
      </x:c>
      <x:c r="L151" s="18" t="n">
        <x:v>10</x:v>
      </x:c>
      <x:c r="M151" s="18" t="n">
        <x:v>10</x:v>
      </x:c>
      <x:c r="N151" s="18" t="n">
        <x:v>15</x:v>
      </x:c>
      <x:c r="O151" s="18" t="n">
        <x:v>14</x:v>
      </x:c>
      <x:c r="P151" s="18" t="n">
        <x:v>39</x:v>
      </x:c>
      <x:c r="Q151" t="str">
        <x:v>Yes</x:v>
      </x:c>
      <x:c r="R151" s="18" t="n">
        <x:v>0</x:v>
      </x:c>
      <x:c r="S151" s="18" t="n">
        <x:v>0</x:v>
      </x:c>
      <x:c r="T151" s="18" t="n">
        <x:v>0</x:v>
      </x:c>
      <x:c r="U151" t="str">
        <x:v>Extremely Bad</x:v>
      </x:c>
      <x:c r="V151" t="str">
        <x:v>Yes</x:v>
      </x:c>
      <x:c r="W151" t="str">
        <x:v>SEVERELY_DEFICIENT</x:v>
      </x:c>
      <x:c r="X151" t="str">
        <x:v>REWRITE_REQUIRED</x:v>
      </x:c>
      <x:c r="Y151" t="n">
        <x:v>80</x:v>
      </x:c>
      <x:c r="Z151" t="str">
        <x:v>Success</x:v>
      </x:c>
      <x:c r="AA151"/>
      <x:c r="AB151"/>
      <x:c r="AC151" s="13"/>
      <x:c r="AD151" t="n">
        <x:v>0</x:v>
      </x:c>
      <x:c r="AE151" s="19" t="n">
        <x:v>51054</x:v>
      </x:c>
      <x:c r="AF151" t="str">
        <x:v>deepseek-v4-pro</x:v>
      </x:c>
      <x:c r="AG151" s="20" t="n">
        <x:v>46231.1806034375</x:v>
      </x:c>
      <x:c r="AH151" t="n">
        <x:v>200</x:v>
      </x:c>
      <x:c r="AI151" t="str">
        <x:v>2cf6bbc37b53a2bfdcdbe91d236f2e3eabe419df9ed3b6342b9e33a2076dd227</x:v>
      </x:c>
      <x:c r="AJ151" t="str">
        <x:v>b6aedb528c13fd641180bb42aa44cac60cfc21ad2ed4fb6c6f4c7b2e37cf2fdf</x:v>
      </x:c>
    </x:row>
  </x:sheetData>
  <x:conditionalFormatting sqref="Q2:Q151">
    <x:cfRule type="containsText" dxfId="0" priority="1" operator="containsText" text="Yes"/>
    <x:cfRule type="containsText" dxfId="1" priority="2" operator="containsText" text="No"/>
  </x:conditionalFormatting>
  <x:conditionalFormatting sqref="Z2:Z151">
    <x:cfRule type="containsText" dxfId="2" priority="3" operator="containsText" text="Error"/>
  </x:conditionalFormatting>
  <x:conditionalFormatting sqref="H2:H151">
    <x:cfRule type="dataBar" priority="4">
      <x:dataBar>
        <x:cfvo type="num" val="0"/>
        <x:cfvo type="num" val="100"/>
        <x:color rgb="FF087E8B"/>
      </x:dataBar>
      <x:extLst>
        <x:ext xmlns:x14="http://schemas.microsoft.com/office/spreadsheetml/2009/9/main" uri="{B025F937-C7B1-47D3-B67F-A62EFF666E3E}">
          <x14:id>{31684187-CE30-1D02-026E-DF4908F8B596}</x14:id>
        </x:ext>
      </x:extLst>
    </x:cfRule>
  </x:conditionalFormatting>
  <x:pageMargins left="0.7" right="0.7" top="0.75" bottom="0.75" header="0.3" footer="0.3"/>
  <x:tableParts count="1">
    <x:tablePart xmlns:r="http://schemas.openxmlformats.org/officeDocument/2006/relationships" r:id="R4b46d674537948b2"/>
  </x:tableParts>
  <x:extLst>
    <x:ext xmlns:x14="http://schemas.microsoft.com/office/spreadsheetml/2009/9/main" xmlns:xm="http://schemas.microsoft.com/office/excel/2006/main" uri="{78C0D931-6437-407d-A8EE-F0AAD7539E65}">
      <x14:conditionalFormattings>
        <x14:conditionalFormatting>
          <x14:cfRule type="dataBar" priority="4" id="{31684187-CE30-1D02-026E-DF4908F8B596}">
            <x14:dataBar gradient="1">
              <x14:cfvo type="num">
                <xm:f>0</xm:f>
              </x14:cfvo>
              <x14:cfvo type="num">
                <xm:f>100</xm:f>
              </x14:cfvo>
              <x14:fillColor rgb="FF087E8B"/>
            </x14:dataBar>
          </x14:cfRule>
          <xm:sqref>H2:H151</xm:sqref>
        </x14:conditionalFormatting>
      </x14:conditionalFormattings>
    </x:ext>
  </x:extLst>
</x:worksheet>
</file>

<file path=xl/worksheets/sheet3.xml><?xml version="1.0" encoding="utf-8"?>
<x:worksheet xmlns:x="http://schemas.openxmlformats.org/spreadsheetml/2006/main">
  <x:sheetViews>
    <x:sheetView showGridLines="0" workbookViewId="0"/>
  </x:sheetViews>
  <x:sheetFormatPr defaultRowHeight="15"/>
  <x:cols>
    <x:col min="1" max="1" width="32" hidden="0" customWidth="1"/>
    <x:col min="2" max="2" width="26" hidden="0" customWidth="1"/>
    <x:col min="3" max="3" width="18" hidden="0" customWidth="1"/>
    <x:col min="4" max="4" width="18" hidden="0" customWidth="1"/>
    <x:col min="5" max="5" width="25" hidden="0" customWidth="1"/>
    <x:col min="6" max="6" width="18" hidden="0" customWidth="1"/>
    <x:col min="7" max="7" width="16" hidden="0" customWidth="1"/>
    <x:col min="8" max="8" width="14" hidden="0" customWidth="1"/>
    <x:col min="9" max="9" width="14" hidden="0" customWidth="1"/>
    <x:col min="10" max="10" width="14" hidden="0" customWidth="1"/>
  </x:cols>
  <x:sheetData>
    <x:row r="1" ht="34" customHeight="1">
      <x:c r="A1" s="22" t="str">
        <x:v>Traditional Chinese Review Agent Calibration Report</x:v>
      </x:c>
      <x:c r="B1" s="22" t="str">
        <x:v>Traditional Chinese Review Agent Calibration Report</x:v>
      </x:c>
      <x:c r="C1" s="22" t="str">
        <x:v>Traditional Chinese Review Agent Calibration Report</x:v>
      </x:c>
      <x:c r="D1" s="22" t="str">
        <x:v>Traditional Chinese Review Agent Calibration Report</x:v>
      </x:c>
      <x:c r="E1" s="22" t="str">
        <x:v>Traditional Chinese Review Agent Calibration Report</x:v>
      </x:c>
      <x:c r="F1" s="22" t="str">
        <x:v>Traditional Chinese Review Agent Calibration Report</x:v>
      </x:c>
      <x:c r="G1" s="22" t="str">
        <x:v>Traditional Chinese Review Agent Calibration Report</x:v>
      </x:c>
      <x:c r="H1" s="22" t="str">
        <x:v>Traditional Chinese Review Agent Calibration Report</x:v>
      </x:c>
      <x:c r="I1" s="22" t="str">
        <x:v>Traditional Chinese Review Agent Calibration Report</x:v>
      </x:c>
      <x:c r="J1" s="22" t="str">
        <x:v>Traditional Chinese Review Agent Calibration Report</x:v>
      </x:c>
    </x:row>
    <x:row r="2" ht="22" customHeight="1">
      <x:c r="A2" s="24" t="str">
        <x:v>Generated 2026-07-28T04:24:18.061Z | Model: deepseek-v4-pro | Repeats: 1 | Mode: live</x:v>
      </x:c>
      <x:c r="B2" s="24" t="str">
        <x:v>Generated 2026-07-28T04:24:18.061Z | Model: deepseek-v4-pro | Repeats: 1 | Mode: live</x:v>
      </x:c>
      <x:c r="C2" s="24" t="str">
        <x:v>Generated 2026-07-28T04:24:18.061Z | Model: deepseek-v4-pro | Repeats: 1 | Mode: live</x:v>
      </x:c>
      <x:c r="D2" s="24" t="str">
        <x:v>Generated 2026-07-28T04:24:18.061Z | Model: deepseek-v4-pro | Repeats: 1 | Mode: live</x:v>
      </x:c>
      <x:c r="E2" s="24" t="str">
        <x:v>Generated 2026-07-28T04:24:18.061Z | Model: deepseek-v4-pro | Repeats: 1 | Mode: live</x:v>
      </x:c>
      <x:c r="F2" s="24" t="str">
        <x:v>Generated 2026-07-28T04:24:18.061Z | Model: deepseek-v4-pro | Repeats: 1 | Mode: live</x:v>
      </x:c>
      <x:c r="G2" s="24" t="str">
        <x:v>Generated 2026-07-28T04:24:18.061Z | Model: deepseek-v4-pro | Repeats: 1 | Mode: live</x:v>
      </x:c>
      <x:c r="H2" s="24" t="str">
        <x:v>Generated 2026-07-28T04:24:18.061Z | Model: deepseek-v4-pro | Repeats: 1 | Mode: live</x:v>
      </x:c>
      <x:c r="I2" s="24" t="str">
        <x:v>Generated 2026-07-28T04:24:18.061Z | Model: deepseek-v4-pro | Repeats: 1 | Mode: live</x:v>
      </x:c>
      <x:c r="J2" s="24" t="str">
        <x:v>Generated 2026-07-28T04:24:18.061Z | Model: deepseek-v4-pro | Repeats: 1 | Mode: live</x:v>
      </x:c>
    </x:row>
    <x:row r="4" ht="24" customHeight="1">
      <x:c r="A4" s="34" t="str">
        <x:v>Overall summary</x:v>
      </x:c>
      <x:c r="B4" s="34" t="str">
        <x:v>Overall summary</x:v>
      </x:c>
      <x:c r="D4" s="27" t="str">
        <x:v>Calibration interpretation</x:v>
      </x:c>
      <x:c r="E4" s="27" t="str">
        <x:v>Calibration interpretation</x:v>
      </x:c>
      <x:c r="F4" s="27" t="str">
        <x:v>Calibration interpretation</x:v>
      </x:c>
      <x:c r="G4" s="27" t="str">
        <x:v>Calibration interpretation</x:v>
      </x:c>
      <x:c r="H4" s="27" t="str">
        <x:v>Calibration interpretation</x:v>
      </x:c>
      <x:c r="I4" s="27" t="str">
        <x:v>Calibration interpretation</x:v>
      </x:c>
      <x:c r="J4" s="27" t="str">
        <x:v>Calibration interpretation</x:v>
      </x:c>
    </x:row>
    <x:row r="5" ht="30" customHeight="1">
      <x:c r="A5" s="35" t="str">
        <x:v>Planned drafts</x:v>
      </x:c>
      <x:c r="B5" s="36" t="n">
        <x:f>COUNTA('Drafts'!$B$2:$B$151)</x:f>
        <x:v>150</x:v>
      </x:c>
      <x:c r="D5" s="42" t="str">
        <x:v>Excellent: 21/30 (70.0%) inside 85-100; 9 below and 0 above; mean score 82.7.</x:v>
      </x:c>
      <x:c r="E5" s="42"/>
      <x:c r="F5" s="42"/>
      <x:c r="G5" s="42"/>
      <x:c r="H5" s="42"/>
      <x:c r="I5" s="42"/>
      <x:c r="J5" s="42"/>
    </x:row>
    <x:row r="6" ht="30" customHeight="1">
      <x:c r="A6" s="35" t="str">
        <x:v>Planned test runs</x:v>
      </x:c>
      <x:c r="B6" s="36" t="n">
        <x:f>150</x:f>
        <x:v>150</x:v>
      </x:c>
      <x:c r="D6" s="42" t="str">
        <x:v>Good: 1/30 (3.3%) inside 70-84; 8 below and 21 above; mean score 82.0.</x:v>
      </x:c>
      <x:c r="E6" s="42"/>
      <x:c r="F6" s="42"/>
      <x:c r="G6" s="42"/>
      <x:c r="H6" s="42"/>
      <x:c r="I6" s="42"/>
      <x:c r="J6" s="42"/>
    </x:row>
    <x:row r="7" ht="30" customHeight="1">
      <x:c r="A7" s="35" t="str">
        <x:v>Saved result rows</x:v>
      </x:c>
      <x:c r="B7" s="36" t="n">
        <x:f>COUNTA('Results'!$B$2:$B$151)</x:f>
        <x:v>150</x:v>
      </x:c>
      <x:c r="D7" s="42" t="str">
        <x:v>Normal: 10/30 (33.3%) inside 50-69; 20 below and 0 above; mean score 46.9.</x:v>
      </x:c>
      <x:c r="E7" s="42"/>
      <x:c r="F7" s="42"/>
      <x:c r="G7" s="42"/>
      <x:c r="H7" s="42"/>
      <x:c r="I7" s="42"/>
      <x:c r="J7" s="42"/>
    </x:row>
    <x:row r="8" ht="30" customHeight="1">
      <x:c r="A8" s="35" t="str">
        <x:v>Successful tests</x:v>
      </x:c>
      <x:c r="B8" s="36" t="n">
        <x:f>COUNTIF('Results'!$Z$2:$Z$151,"Success")</x:f>
        <x:v>150</x:v>
      </x:c>
      <x:c r="D8" s="42" t="str">
        <x:v>Bad: 23/30 (76.7%) inside 30-49; 3 below and 4 above; mean score 42.3.</x:v>
      </x:c>
      <x:c r="E8" s="42"/>
      <x:c r="F8" s="42"/>
      <x:c r="G8" s="42"/>
      <x:c r="H8" s="42"/>
      <x:c r="I8" s="42"/>
      <x:c r="J8" s="42"/>
    </x:row>
    <x:row r="9" ht="30" customHeight="1">
      <x:c r="A9" s="35" t="str">
        <x:v>Failed tests</x:v>
      </x:c>
      <x:c r="B9" s="36" t="n">
        <x:f>COUNTIF('Results'!$Z$2:$Z$151,"Error")</x:f>
        <x:v>0</x:v>
      </x:c>
      <x:c r="D9" s="42" t="str">
        <x:v>Extremely Bad: 16/30 (53.3%) inside 0-29; 0 below and 14 above; mean score 29.5.</x:v>
      </x:c>
      <x:c r="E9" s="42"/>
      <x:c r="F9" s="42"/>
      <x:c r="G9" s="42"/>
      <x:c r="H9" s="42"/>
      <x:c r="I9" s="42"/>
      <x:c r="J9" s="42"/>
    </x:row>
    <x:row r="10" ht="30" customHeight="1">
      <x:c r="A10" s="35" t="str">
        <x:v>Inside expected range (count)</x:v>
      </x:c>
      <x:c r="B10" s="36" t="n">
        <x:f>COUNTIFS('Results'!$Z$2:$Z$151,"Success",'Results'!$Q$2:$Q$151,"Yes")</x:f>
        <x:v>71</x:v>
      </x:c>
      <x:c r="D10" s="42" t="str">
        <x:v>Overall scored-draft classification accuracy is 71/150 (47.3%); coverage is 150/150, so all-draft accuracy is 71/150 (47.3%).</x:v>
      </x:c>
      <x:c r="E10" s="42"/>
      <x:c r="F10" s="42"/>
      <x:c r="G10" s="42"/>
      <x:c r="H10" s="42"/>
      <x:c r="I10" s="42"/>
      <x:c r="J10" s="42"/>
    </x:row>
    <x:row r="11">
      <x:c r="A11" s="35" t="str">
        <x:v>Inside expected range (%)</x:v>
      </x:c>
      <x:c r="B11" s="37" t="n">
        <x:f>IF(B8=0,0,B10/B8)</x:f>
        <x:v>0.47333333333333333</x:v>
      </x:c>
    </x:row>
    <x:row r="12">
      <x:c r="A12" s="35" t="str">
        <x:v>Below expected range (count)</x:v>
      </x:c>
      <x:c r="B12" s="36" t="n">
        <x:f>COUNTIFS('Results'!$Z$2:$Z$151,"Success",'Results'!$S$2:$S$151,"&gt;0")</x:f>
        <x:v>40</x:v>
      </x:c>
    </x:row>
    <x:row r="13">
      <x:c r="A13" s="35" t="str">
        <x:v>Below expected range (%)</x:v>
      </x:c>
      <x:c r="B13" s="37" t="n">
        <x:f>IF(B8=0,0,B12/B8)</x:f>
        <x:v>0.26666666666666666</x:v>
      </x:c>
    </x:row>
    <x:row r="14">
      <x:c r="A14" s="35" t="str">
        <x:v>Above expected range (count)</x:v>
      </x:c>
      <x:c r="B14" s="36" t="n">
        <x:f>COUNTIFS('Results'!$Z$2:$Z$151,"Success",'Results'!$T$2:$T$151,"&gt;0")</x:f>
        <x:v>39</x:v>
      </x:c>
    </x:row>
    <x:row r="15">
      <x:c r="A15" s="35" t="str">
        <x:v>Above expected range (%)</x:v>
      </x:c>
      <x:c r="B15" s="37" t="n">
        <x:f>IF(B8=0,0,B14/B8)</x:f>
        <x:v>0.26</x:v>
      </x:c>
    </x:row>
    <x:row r="16">
      <x:c r="A16" s="35" t="str">
        <x:v>Run classification accuracy</x:v>
      </x:c>
      <x:c r="B16" s="37" t="n">
        <x:f>IF(B8=0,0,COUNTIF('Results'!$V$2:$V$151,"Yes")/B8)</x:f>
        <x:v>0.47333333333333333</x:v>
      </x:c>
    </x:row>
    <x:row r="17">
      <x:c r="A17" s="35" t="str">
        <x:v>Scored-draft classification accuracy</x:v>
      </x:c>
      <x:c r="B17" s="37" t="n">
        <x:f>IF(B8=0,"",0.47333333333333333)</x:f>
        <x:v>0.47333333333333333</x:v>
      </x:c>
    </x:row>
    <x:row r="18">
      <x:c r="A18" s="35" t="str">
        <x:v>Draft coverage</x:v>
      </x:c>
      <x:c r="B18" s="37" t="n">
        <x:f>1</x:f>
        <x:v>1</x:v>
      </x:c>
    </x:row>
    <x:row r="19">
      <x:c r="A19" s="35" t="str">
        <x:v>Overall accuracy across all drafts</x:v>
      </x:c>
      <x:c r="B19" s="37" t="n">
        <x:f>0.47333333333333333</x:f>
        <x:v>0.47333333333333333</x:v>
      </x:c>
    </x:row>
    <x:row r="20">
      <x:c r="A20" s="35" t="str">
        <x:v>Mean successful score</x:v>
      </x:c>
      <x:c r="B20" s="38" t="n">
        <x:f>IF(B8=0,"",AVERAGEIF('Results'!$Z$2:$Z$151,"Success",'Results'!$H$2:$H$151))</x:f>
        <x:v>56.67333333333333</x:v>
      </x:c>
    </x:row>
    <x:row r="21">
      <x:c r="A21" s="35" t="str">
        <x:v>Mean distance from expected range</x:v>
      </x:c>
      <x:c r="B21" s="38" t="n">
        <x:f>IF(B8=0,"",AVERAGEIF('Results'!$Z$2:$Z$151,"Success",'Results'!$R$2:$R$151))</x:f>
        <x:v>5.166666666666667</x:v>
      </x:c>
    </x:row>
    <x:row r="22">
      <x:c r="A22" s="35" t="str">
        <x:v>Inversion cases</x:v>
      </x:c>
      <x:c r="B22" s="36" t="n">
        <x:f>25</x:f>
        <x:v>25</x:v>
      </x:c>
    </x:row>
    <x:row r="25" ht="24" customHeight="1">
      <x:c r="A25" s="27" t="str">
        <x:v>Confusion matrix (successful test runs; expected rows vs predicted columns)</x:v>
      </x:c>
      <x:c r="B25" s="27" t="str">
        <x:v>Confusion matrix (successful test runs; expected rows vs predicted columns)</x:v>
      </x:c>
      <x:c r="C25" s="27" t="str">
        <x:v>Confusion matrix (successful test runs; expected rows vs predicted columns)</x:v>
      </x:c>
      <x:c r="D25" s="27" t="str">
        <x:v>Confusion matrix (successful test runs; expected rows vs predicted columns)</x:v>
      </x:c>
      <x:c r="E25" s="27" t="str">
        <x:v>Confusion matrix (successful test runs; expected rows vs predicted columns)</x:v>
      </x:c>
      <x:c r="F25" s="27" t="str">
        <x:v>Confusion matrix (successful test runs; expected rows vs predicted columns)</x:v>
      </x:c>
      <x:c r="G25" s="27" t="str">
        <x:v>Confusion matrix (successful test runs; expected rows vs predicted columns)</x:v>
      </x:c>
    </x:row>
    <x:row r="26">
      <x:c r="A26" s="45" t="str">
        <x:v>Expected / Predicted</x:v>
      </x:c>
      <x:c r="B26" s="45" t="str">
        <x:v>Excellent</x:v>
      </x:c>
      <x:c r="C26" s="45" t="str">
        <x:v>Good</x:v>
      </x:c>
      <x:c r="D26" s="45" t="str">
        <x:v>Normal</x:v>
      </x:c>
      <x:c r="E26" s="45" t="str">
        <x:v>Bad</x:v>
      </x:c>
      <x:c r="F26" s="45" t="str">
        <x:v>Extremely Bad</x:v>
      </x:c>
      <x:c r="G26" s="45" t="str">
        <x:v>Row total</x:v>
      </x:c>
    </x:row>
    <x:row r="27">
      <x:c r="A27" s="46" t="str">
        <x:v>Excellent</x:v>
      </x:c>
      <x:c r="B27" s="47" t="n">
        <x:f>COUNTIFS('Results'!$D$2:$D$151,$A27,'Results'!$U$2:$U$151,B$26,'Results'!$Z$2:$Z$151,"Success")</x:f>
        <x:v>21</x:v>
      </x:c>
      <x:c r="C27" s="47" t="n">
        <x:f>COUNTIFS('Results'!$D$2:$D$151,$A27,'Results'!$U$2:$U$151,C$26,'Results'!$Z$2:$Z$151,"Success")</x:f>
        <x:v>2</x:v>
      </x:c>
      <x:c r="D27" s="47" t="n">
        <x:f>COUNTIFS('Results'!$D$2:$D$151,$A27,'Results'!$U$2:$U$151,D$26,'Results'!$Z$2:$Z$151,"Success")</x:f>
        <x:v>7</x:v>
      </x:c>
      <x:c r="E27" s="47" t="n">
        <x:f>COUNTIFS('Results'!$D$2:$D$151,$A27,'Results'!$U$2:$U$151,E$26,'Results'!$Z$2:$Z$151,"Success")</x:f>
        <x:v>0</x:v>
      </x:c>
      <x:c r="F27" s="47" t="n">
        <x:f>COUNTIFS('Results'!$D$2:$D$151,$A27,'Results'!$U$2:$U$151,F$26,'Results'!$Z$2:$Z$151,"Success")</x:f>
        <x:v>0</x:v>
      </x:c>
      <x:c r="G27" s="47" t="n">
        <x:f>SUM(B27:F27)</x:f>
        <x:v>30</x:v>
      </x:c>
    </x:row>
    <x:row r="28">
      <x:c r="A28" s="46" t="str">
        <x:v>Good</x:v>
      </x:c>
      <x:c r="B28" s="47" t="n">
        <x:f>COUNTIFS('Results'!$D$2:$D$151,$A28,'Results'!$U$2:$U$151,B$26,'Results'!$Z$2:$Z$151,"Success")</x:f>
        <x:v>21</x:v>
      </x:c>
      <x:c r="C28" s="47" t="n">
        <x:f>COUNTIFS('Results'!$D$2:$D$151,$A28,'Results'!$U$2:$U$151,C$26,'Results'!$Z$2:$Z$151,"Success")</x:f>
        <x:v>1</x:v>
      </x:c>
      <x:c r="D28" s="47" t="n">
        <x:f>COUNTIFS('Results'!$D$2:$D$151,$A28,'Results'!$U$2:$U$151,D$26,'Results'!$Z$2:$Z$151,"Success")</x:f>
        <x:v>8</x:v>
      </x:c>
      <x:c r="E28" s="47" t="n">
        <x:f>COUNTIFS('Results'!$D$2:$D$151,$A28,'Results'!$U$2:$U$151,E$26,'Results'!$Z$2:$Z$151,"Success")</x:f>
        <x:v>0</x:v>
      </x:c>
      <x:c r="F28" s="47" t="n">
        <x:f>COUNTIFS('Results'!$D$2:$D$151,$A28,'Results'!$U$2:$U$151,F$26,'Results'!$Z$2:$Z$151,"Success")</x:f>
        <x:v>0</x:v>
      </x:c>
      <x:c r="G28" s="47" t="n">
        <x:f>SUM(B28:F28)</x:f>
        <x:v>30</x:v>
      </x:c>
    </x:row>
    <x:row r="29">
      <x:c r="A29" s="46" t="str">
        <x:v>Normal</x:v>
      </x:c>
      <x:c r="B29" s="47" t="n">
        <x:f>COUNTIFS('Results'!$D$2:$D$151,$A29,'Results'!$U$2:$U$151,B$26,'Results'!$Z$2:$Z$151,"Success")</x:f>
        <x:v>0</x:v>
      </x:c>
      <x:c r="C29" s="47" t="n">
        <x:f>COUNTIFS('Results'!$D$2:$D$151,$A29,'Results'!$U$2:$U$151,C$26,'Results'!$Z$2:$Z$151,"Success")</x:f>
        <x:v>0</x:v>
      </x:c>
      <x:c r="D29" s="47" t="n">
        <x:f>COUNTIFS('Results'!$D$2:$D$151,$A29,'Results'!$U$2:$U$151,D$26,'Results'!$Z$2:$Z$151,"Success")</x:f>
        <x:v>10</x:v>
      </x:c>
      <x:c r="E29" s="47" t="n">
        <x:f>COUNTIFS('Results'!$D$2:$D$151,$A29,'Results'!$U$2:$U$151,E$26,'Results'!$Z$2:$Z$151,"Success")</x:f>
        <x:v>20</x:v>
      </x:c>
      <x:c r="F29" s="47" t="n">
        <x:f>COUNTIFS('Results'!$D$2:$D$151,$A29,'Results'!$U$2:$U$151,F$26,'Results'!$Z$2:$Z$151,"Success")</x:f>
        <x:v>0</x:v>
      </x:c>
      <x:c r="G29" s="47" t="n">
        <x:f>SUM(B29:F29)</x:f>
        <x:v>30</x:v>
      </x:c>
    </x:row>
    <x:row r="30">
      <x:c r="A30" s="46" t="str">
        <x:v>Bad</x:v>
      </x:c>
      <x:c r="B30" s="47" t="n">
        <x:f>COUNTIFS('Results'!$D$2:$D$151,$A30,'Results'!$U$2:$U$151,B$26,'Results'!$Z$2:$Z$151,"Success")</x:f>
        <x:v>0</x:v>
      </x:c>
      <x:c r="C30" s="47" t="n">
        <x:f>COUNTIFS('Results'!$D$2:$D$151,$A30,'Results'!$U$2:$U$151,C$26,'Results'!$Z$2:$Z$151,"Success")</x:f>
        <x:v>0</x:v>
      </x:c>
      <x:c r="D30" s="47" t="n">
        <x:f>COUNTIFS('Results'!$D$2:$D$151,$A30,'Results'!$U$2:$U$151,D$26,'Results'!$Z$2:$Z$151,"Success")</x:f>
        <x:v>4</x:v>
      </x:c>
      <x:c r="E30" s="47" t="n">
        <x:f>COUNTIFS('Results'!$D$2:$D$151,$A30,'Results'!$U$2:$U$151,E$26,'Results'!$Z$2:$Z$151,"Success")</x:f>
        <x:v>23</x:v>
      </x:c>
      <x:c r="F30" s="47" t="n">
        <x:f>COUNTIFS('Results'!$D$2:$D$151,$A30,'Results'!$U$2:$U$151,F$26,'Results'!$Z$2:$Z$151,"Success")</x:f>
        <x:v>3</x:v>
      </x:c>
      <x:c r="G30" s="47" t="n">
        <x:f>SUM(B30:F30)</x:f>
        <x:v>30</x:v>
      </x:c>
    </x:row>
    <x:row r="31">
      <x:c r="A31" s="46" t="str">
        <x:v>Extremely Bad</x:v>
      </x:c>
      <x:c r="B31" s="47" t="n">
        <x:f>COUNTIFS('Results'!$D$2:$D$151,$A31,'Results'!$U$2:$U$151,B$26,'Results'!$Z$2:$Z$151,"Success")</x:f>
        <x:v>0</x:v>
      </x:c>
      <x:c r="C31" s="47" t="n">
        <x:f>COUNTIFS('Results'!$D$2:$D$151,$A31,'Results'!$U$2:$U$151,C$26,'Results'!$Z$2:$Z$151,"Success")</x:f>
        <x:v>0</x:v>
      </x:c>
      <x:c r="D31" s="47" t="n">
        <x:f>COUNTIFS('Results'!$D$2:$D$151,$A31,'Results'!$U$2:$U$151,D$26,'Results'!$Z$2:$Z$151,"Success")</x:f>
        <x:v>0</x:v>
      </x:c>
      <x:c r="E31" s="47" t="n">
        <x:f>COUNTIFS('Results'!$D$2:$D$151,$A31,'Results'!$U$2:$U$151,E$26,'Results'!$Z$2:$Z$151,"Success")</x:f>
        <x:v>14</x:v>
      </x:c>
      <x:c r="F31" s="47" t="n">
        <x:f>COUNTIFS('Results'!$D$2:$D$151,$A31,'Results'!$U$2:$U$151,F$26,'Results'!$Z$2:$Z$151,"Success")</x:f>
        <x:v>16</x:v>
      </x:c>
      <x:c r="G31" s="47" t="n">
        <x:f>SUM(B31:F31)</x:f>
        <x:v>30</x:v>
      </x:c>
    </x:row>
    <x:row r="34" ht="24" customHeight="1">
      <x:c r="A34" s="27" t="str">
        <x:v>Ten largest scoring mismatches</x:v>
      </x:c>
      <x:c r="B34" s="27" t="str">
        <x:v>Ten largest scoring mismatches</x:v>
      </x:c>
      <x:c r="C34" s="27" t="str">
        <x:v>Ten largest scoring mismatches</x:v>
      </x:c>
      <x:c r="D34" s="27" t="str">
        <x:v>Ten largest scoring mismatches</x:v>
      </x:c>
      <x:c r="E34" s="27" t="str">
        <x:v>Ten largest scoring mismatches</x:v>
      </x:c>
      <x:c r="F34" s="27" t="str">
        <x:v>Ten largest scoring mismatches</x:v>
      </x:c>
      <x:c r="G34" s="27" t="str">
        <x:v>Ten largest scoring mismatches</x:v>
      </x:c>
      <x:c r="H34" s="27" t="str">
        <x:v>Ten largest scoring mismatches</x:v>
      </x:c>
    </x:row>
    <x:row r="35">
      <x:c r="A35" s="45" t="str">
        <x:v>Rank</x:v>
      </x:c>
      <x:c r="B35" s="45" t="str">
        <x:v>Draft ID</x:v>
      </x:c>
      <x:c r="C35" s="45" t="str">
        <x:v>Scenario</x:v>
      </x:c>
      <x:c r="D35" s="45" t="str">
        <x:v>Expected</x:v>
      </x:c>
      <x:c r="E35" s="45" t="str">
        <x:v>Predicted</x:v>
      </x:c>
      <x:c r="F35" s="45" t="str">
        <x:v>Expected range</x:v>
      </x:c>
      <x:c r="G35" s="45" t="str">
        <x:v>Average score</x:v>
      </x:c>
      <x:c r="H35" s="9" t="str">
        <x:v>Distance</x:v>
      </x:c>
    </x:row>
    <x:row r="36">
      <x:c r="A36" s="48" t="n">
        <x:v>1</x:v>
      </x:c>
      <x:c r="B36" s="48" t="str">
        <x:v>ZH-EXCELLENT-008</x:v>
      </x:c>
      <x:c r="C36" s="48" t="str">
        <x:v>008</x:v>
      </x:c>
      <x:c r="D36" s="48" t="str">
        <x:v>Excellent</x:v>
      </x:c>
      <x:c r="E36" s="48" t="str">
        <x:v>Normal</x:v>
      </x:c>
      <x:c r="F36" s="48" t="str">
        <x:v>85-100</x:v>
      </x:c>
      <x:c r="G36" s="49" t="n">
        <x:v>59</x:v>
      </x:c>
      <x:c r="H36" s="50" t="n">
        <x:v>26</x:v>
      </x:c>
    </x:row>
    <x:row r="37">
      <x:c r="A37" s="48" t="n">
        <x:v>2</x:v>
      </x:c>
      <x:c r="B37" s="48" t="str">
        <x:v>ZH-EXCELLENT-009</x:v>
      </x:c>
      <x:c r="C37" s="48" t="str">
        <x:v>009</x:v>
      </x:c>
      <x:c r="D37" s="48" t="str">
        <x:v>Excellent</x:v>
      </x:c>
      <x:c r="E37" s="48" t="str">
        <x:v>Normal</x:v>
      </x:c>
      <x:c r="F37" s="48" t="str">
        <x:v>85-100</x:v>
      </x:c>
      <x:c r="G37" s="49" t="n">
        <x:v>59</x:v>
      </x:c>
      <x:c r="H37" s="50" t="n">
        <x:v>26</x:v>
      </x:c>
    </x:row>
    <x:row r="38">
      <x:c r="A38" s="48" t="n">
        <x:v>3</x:v>
      </x:c>
      <x:c r="B38" s="48" t="str">
        <x:v>ZH-EXCELLENT-011</x:v>
      </x:c>
      <x:c r="C38" s="48" t="str">
        <x:v>011</x:v>
      </x:c>
      <x:c r="D38" s="48" t="str">
        <x:v>Excellent</x:v>
      </x:c>
      <x:c r="E38" s="48" t="str">
        <x:v>Normal</x:v>
      </x:c>
      <x:c r="F38" s="48" t="str">
        <x:v>85-100</x:v>
      </x:c>
      <x:c r="G38" s="49" t="n">
        <x:v>59</x:v>
      </x:c>
      <x:c r="H38" s="50" t="n">
        <x:v>26</x:v>
      </x:c>
    </x:row>
    <x:row r="39">
      <x:c r="A39" s="48" t="n">
        <x:v>4</x:v>
      </x:c>
      <x:c r="B39" s="48" t="str">
        <x:v>ZH-EXCELLENT-014</x:v>
      </x:c>
      <x:c r="C39" s="48" t="str">
        <x:v>014</x:v>
      </x:c>
      <x:c r="D39" s="48" t="str">
        <x:v>Excellent</x:v>
      </x:c>
      <x:c r="E39" s="48" t="str">
        <x:v>Normal</x:v>
      </x:c>
      <x:c r="F39" s="48" t="str">
        <x:v>85-100</x:v>
      </x:c>
      <x:c r="G39" s="49" t="n">
        <x:v>59</x:v>
      </x:c>
      <x:c r="H39" s="50" t="n">
        <x:v>26</x:v>
      </x:c>
    </x:row>
    <x:row r="40">
      <x:c r="A40" s="48" t="n">
        <x:v>5</x:v>
      </x:c>
      <x:c r="B40" s="48" t="str">
        <x:v>ZH-EXCELLENT-024</x:v>
      </x:c>
      <x:c r="C40" s="48" t="str">
        <x:v>024</x:v>
      </x:c>
      <x:c r="D40" s="48" t="str">
        <x:v>Excellent</x:v>
      </x:c>
      <x:c r="E40" s="48" t="str">
        <x:v>Normal</x:v>
      </x:c>
      <x:c r="F40" s="48" t="str">
        <x:v>85-100</x:v>
      </x:c>
      <x:c r="G40" s="49" t="n">
        <x:v>59</x:v>
      </x:c>
      <x:c r="H40" s="50" t="n">
        <x:v>26</x:v>
      </x:c>
    </x:row>
    <x:row r="41">
      <x:c r="A41" s="48" t="n">
        <x:v>6</x:v>
      </x:c>
      <x:c r="B41" s="48" t="str">
        <x:v>ZH-EXCELLENT-026</x:v>
      </x:c>
      <x:c r="C41" s="48" t="str">
        <x:v>026</x:v>
      </x:c>
      <x:c r="D41" s="48" t="str">
        <x:v>Excellent</x:v>
      </x:c>
      <x:c r="E41" s="48" t="str">
        <x:v>Normal</x:v>
      </x:c>
      <x:c r="F41" s="48" t="str">
        <x:v>85-100</x:v>
      </x:c>
      <x:c r="G41" s="49" t="n">
        <x:v>59</x:v>
      </x:c>
      <x:c r="H41" s="50" t="n">
        <x:v>26</x:v>
      </x:c>
    </x:row>
    <x:row r="42">
      <x:c r="A42" s="48" t="n">
        <x:v>7</x:v>
      </x:c>
      <x:c r="B42" s="48" t="str">
        <x:v>ZH-EXCELLENT-029</x:v>
      </x:c>
      <x:c r="C42" s="48" t="str">
        <x:v>029</x:v>
      </x:c>
      <x:c r="D42" s="48" t="str">
        <x:v>Excellent</x:v>
      </x:c>
      <x:c r="E42" s="48" t="str">
        <x:v>Normal</x:v>
      </x:c>
      <x:c r="F42" s="48" t="str">
        <x:v>85-100</x:v>
      </x:c>
      <x:c r="G42" s="49" t="n">
        <x:v>59</x:v>
      </x:c>
      <x:c r="H42" s="50" t="n">
        <x:v>26</x:v>
      </x:c>
    </x:row>
    <x:row r="43">
      <x:c r="A43" s="48" t="n">
        <x:v>8</x:v>
      </x:c>
      <x:c r="B43" s="48" t="str">
        <x:v>ZH-EXTREMELY-BAD-029</x:v>
      </x:c>
      <x:c r="C43" s="48" t="str">
        <x:v>029</x:v>
      </x:c>
      <x:c r="D43" s="48" t="str">
        <x:v>Extremely Bad</x:v>
      </x:c>
      <x:c r="E43" s="48" t="str">
        <x:v>Bad</x:v>
      </x:c>
      <x:c r="F43" s="48" t="str">
        <x:v>0-29</x:v>
      </x:c>
      <x:c r="G43" s="49" t="n">
        <x:v>49</x:v>
      </x:c>
      <x:c r="H43" s="50" t="n">
        <x:v>20</x:v>
      </x:c>
    </x:row>
    <x:row r="44">
      <x:c r="A44" s="48" t="n">
        <x:v>9</x:v>
      </x:c>
      <x:c r="B44" s="48" t="str">
        <x:v>ZH-EXTREMELY-BAD-002</x:v>
      </x:c>
      <x:c r="C44" s="48" t="str">
        <x:v>002</x:v>
      </x:c>
      <x:c r="D44" s="48" t="str">
        <x:v>Extremely Bad</x:v>
      </x:c>
      <x:c r="E44" s="48" t="str">
        <x:v>Bad</x:v>
      </x:c>
      <x:c r="F44" s="48" t="str">
        <x:v>0-29</x:v>
      </x:c>
      <x:c r="G44" s="49" t="n">
        <x:v>48</x:v>
      </x:c>
      <x:c r="H44" s="50" t="n">
        <x:v>19</x:v>
      </x:c>
    </x:row>
    <x:row r="45">
      <x:c r="A45" s="48" t="n">
        <x:v>10</x:v>
      </x:c>
      <x:c r="B45" s="48" t="str">
        <x:v>ZH-EXTREMELY-BAD-004</x:v>
      </x:c>
      <x:c r="C45" s="48" t="str">
        <x:v>004</x:v>
      </x:c>
      <x:c r="D45" s="48" t="str">
        <x:v>Extremely Bad</x:v>
      </x:c>
      <x:c r="E45" s="48" t="str">
        <x:v>Bad</x:v>
      </x:c>
      <x:c r="F45" s="48" t="str">
        <x:v>0-29</x:v>
      </x:c>
      <x:c r="G45" s="49" t="n">
        <x:v>48</x:v>
      </x:c>
      <x:c r="H45" s="50" t="n">
        <x:v>19</x:v>
      </x:c>
    </x:row>
    <x:row r="48" ht="24" customHeight="1">
      <x:c r="A48" s="27" t="str">
        <x:v>Lower-quality versions that scored higher</x:v>
      </x:c>
      <x:c r="B48" s="27" t="str">
        <x:v>Lower-quality versions that scored higher</x:v>
      </x:c>
      <x:c r="C48" s="27" t="str">
        <x:v>Lower-quality versions that scored higher</x:v>
      </x:c>
      <x:c r="D48" s="27" t="str">
        <x:v>Lower-quality versions that scored higher</x:v>
      </x:c>
      <x:c r="E48" s="27" t="str">
        <x:v>Lower-quality versions that scored higher</x:v>
      </x:c>
      <x:c r="F48" s="27" t="str">
        <x:v>Lower-quality versions that scored higher</x:v>
      </x:c>
      <x:c r="G48" s="27" t="str">
        <x:v>Lower-quality versions that scored higher</x:v>
      </x:c>
      <x:c r="H48" s="27" t="str">
        <x:v>Lower-quality versions that scored higher</x:v>
      </x:c>
    </x:row>
    <x:row r="49">
      <x:c r="A49" s="9" t="str">
        <x:v>Scenario</x:v>
      </x:c>
      <x:c r="B49" s="10" t="str">
        <x:v>Higher-quality draft</x:v>
      </x:c>
      <x:c r="C49" s="10" t="str">
        <x:v>Higher category</x:v>
      </x:c>
      <x:c r="D49" s="10" t="str">
        <x:v>Higher score</x:v>
      </x:c>
      <x:c r="E49" s="10" t="str">
        <x:v>Lower-quality draft</x:v>
      </x:c>
      <x:c r="F49" s="10" t="str">
        <x:v>Lower category</x:v>
      </x:c>
      <x:c r="G49" s="10" t="str">
        <x:v>Lower score</x:v>
      </x:c>
      <x:c r="H49" s="11" t="str">
        <x:v>Gap</x:v>
      </x:c>
    </x:row>
    <x:row r="50">
      <x:c r="A50" t="str">
        <x:v>024</x:v>
      </x:c>
      <x:c r="B50" t="str">
        <x:v>ZH-EXCELLENT-024</x:v>
      </x:c>
      <x:c r="C50" t="str">
        <x:v>Excellent</x:v>
      </x:c>
      <x:c r="D50" s="18" t="n">
        <x:v>59</x:v>
      </x:c>
      <x:c r="E50" s="18" t="str">
        <x:v>ZH-GOOD-024</x:v>
      </x:c>
      <x:c r="F50" s="18" t="str">
        <x:v>Good</x:v>
      </x:c>
      <x:c r="G50" s="18" t="n">
        <x:v>88</x:v>
      </x:c>
      <x:c r="H50" s="18" t="n">
        <x:v>29</x:v>
      </x:c>
    </x:row>
    <x:row r="51">
      <x:c r="A51" t="str">
        <x:v>009</x:v>
      </x:c>
      <x:c r="B51" t="str">
        <x:v>ZH-EXCELLENT-009</x:v>
      </x:c>
      <x:c r="C51" t="str">
        <x:v>Excellent</x:v>
      </x:c>
      <x:c r="D51" s="18" t="n">
        <x:v>59</x:v>
      </x:c>
      <x:c r="E51" s="18" t="str">
        <x:v>ZH-GOOD-009</x:v>
      </x:c>
      <x:c r="F51" s="18" t="str">
        <x:v>Good</x:v>
      </x:c>
      <x:c r="G51" s="18" t="n">
        <x:v>87</x:v>
      </x:c>
      <x:c r="H51" s="18" t="n">
        <x:v>28</x:v>
      </x:c>
    </x:row>
    <x:row r="52">
      <x:c r="A52" t="str">
        <x:v>027</x:v>
      </x:c>
      <x:c r="B52" t="str">
        <x:v>ZH-EXCELLENT-027</x:v>
      </x:c>
      <x:c r="C52" t="str">
        <x:v>Excellent</x:v>
      </x:c>
      <x:c r="D52" s="18" t="n">
        <x:v>74</x:v>
      </x:c>
      <x:c r="E52" s="18" t="str">
        <x:v>ZH-GOOD-027</x:v>
      </x:c>
      <x:c r="F52" s="18" t="str">
        <x:v>Good</x:v>
      </x:c>
      <x:c r="G52" s="18" t="n">
        <x:v>94</x:v>
      </x:c>
      <x:c r="H52" s="18" t="n">
        <x:v>20</x:v>
      </x:c>
    </x:row>
    <x:row r="53">
      <x:c r="A53" t="str">
        <x:v>021</x:v>
      </x:c>
      <x:c r="B53" t="str">
        <x:v>ZH-EXCELLENT-021</x:v>
      </x:c>
      <x:c r="C53" t="str">
        <x:v>Excellent</x:v>
      </x:c>
      <x:c r="D53" s="18" t="n">
        <x:v>74</x:v>
      </x:c>
      <x:c r="E53" s="18" t="str">
        <x:v>ZH-GOOD-021</x:v>
      </x:c>
      <x:c r="F53" s="18" t="str">
        <x:v>Good</x:v>
      </x:c>
      <x:c r="G53" s="18" t="n">
        <x:v>89</x:v>
      </x:c>
      <x:c r="H53" s="18" t="n">
        <x:v>15</x:v>
      </x:c>
    </x:row>
    <x:row r="54">
      <x:c r="A54" t="str">
        <x:v>019</x:v>
      </x:c>
      <x:c r="B54" t="str">
        <x:v>ZH-NORMAL-019</x:v>
      </x:c>
      <x:c r="C54" t="str">
        <x:v>Normal</x:v>
      </x:c>
      <x:c r="D54" s="18" t="n">
        <x:v>31</x:v>
      </x:c>
      <x:c r="E54" s="18" t="str">
        <x:v>ZH-BAD-019</x:v>
      </x:c>
      <x:c r="F54" s="18" t="str">
        <x:v>Bad</x:v>
      </x:c>
      <x:c r="G54" s="18" t="n">
        <x:v>44</x:v>
      </x:c>
      <x:c r="H54" s="18" t="n">
        <x:v>13</x:v>
      </x:c>
    </x:row>
    <x:row r="55">
      <x:c r="A55" t="str">
        <x:v>027</x:v>
      </x:c>
      <x:c r="B55" t="str">
        <x:v>ZH-BAD-027</x:v>
      </x:c>
      <x:c r="C55" t="str">
        <x:v>Bad</x:v>
      </x:c>
      <x:c r="D55" s="18" t="n">
        <x:v>32</x:v>
      </x:c>
      <x:c r="E55" s="18" t="str">
        <x:v>ZH-EXTREMELY-BAD-027</x:v>
      </x:c>
      <x:c r="F55" s="18" t="str">
        <x:v>Extremely Bad</x:v>
      </x:c>
      <x:c r="G55" s="18" t="n">
        <x:v>44</x:v>
      </x:c>
      <x:c r="H55" s="18" t="n">
        <x:v>12</x:v>
      </x:c>
    </x:row>
    <x:row r="56">
      <x:c r="A56" t="str">
        <x:v>021</x:v>
      </x:c>
      <x:c r="B56" t="str">
        <x:v>ZH-NORMAL-021</x:v>
      </x:c>
      <x:c r="C56" t="str">
        <x:v>Normal</x:v>
      </x:c>
      <x:c r="D56" s="18" t="n">
        <x:v>37</x:v>
      </x:c>
      <x:c r="E56" s="18" t="str">
        <x:v>ZH-BAD-021</x:v>
      </x:c>
      <x:c r="F56" s="18" t="str">
        <x:v>Bad</x:v>
      </x:c>
      <x:c r="G56" s="18" t="n">
        <x:v>47</x:v>
      </x:c>
      <x:c r="H56" s="18" t="n">
        <x:v>10</x:v>
      </x:c>
    </x:row>
    <x:row r="57">
      <x:c r="A57" t="str">
        <x:v>030</x:v>
      </x:c>
      <x:c r="B57" t="str">
        <x:v>ZH-NORMAL-030</x:v>
      </x:c>
      <x:c r="C57" t="str">
        <x:v>Normal</x:v>
      </x:c>
      <x:c r="D57" s="18" t="n">
        <x:v>36</x:v>
      </x:c>
      <x:c r="E57" s="18" t="str">
        <x:v>ZH-BAD-030</x:v>
      </x:c>
      <x:c r="F57" s="18" t="str">
        <x:v>Bad</x:v>
      </x:c>
      <x:c r="G57" s="18" t="n">
        <x:v>46</x:v>
      </x:c>
      <x:c r="H57" s="18" t="n">
        <x:v>10</x:v>
      </x:c>
    </x:row>
    <x:row r="58">
      <x:c r="A58" t="str">
        <x:v>022</x:v>
      </x:c>
      <x:c r="B58" t="str">
        <x:v>ZH-EXCELLENT-022</x:v>
      </x:c>
      <x:c r="C58" t="str">
        <x:v>Excellent</x:v>
      </x:c>
      <x:c r="D58" s="18" t="n">
        <x:v>87</x:v>
      </x:c>
      <x:c r="E58" s="18" t="str">
        <x:v>ZH-GOOD-022</x:v>
      </x:c>
      <x:c r="F58" s="18" t="str">
        <x:v>Good</x:v>
      </x:c>
      <x:c r="G58" s="18" t="n">
        <x:v>96</x:v>
      </x:c>
      <x:c r="H58" s="18" t="n">
        <x:v>9</x:v>
      </x:c>
    </x:row>
    <x:row r="59">
      <x:c r="A59" t="str">
        <x:v>023</x:v>
      </x:c>
      <x:c r="B59" t="str">
        <x:v>ZH-NORMAL-023</x:v>
      </x:c>
      <x:c r="C59" t="str">
        <x:v>Normal</x:v>
      </x:c>
      <x:c r="D59" s="18" t="n">
        <x:v>39</x:v>
      </x:c>
      <x:c r="E59" s="18" t="str">
        <x:v>ZH-BAD-023</x:v>
      </x:c>
      <x:c r="F59" s="18" t="str">
        <x:v>Bad</x:v>
      </x:c>
      <x:c r="G59" s="18" t="n">
        <x:v>47</x:v>
      </x:c>
      <x:c r="H59" s="18" t="n">
        <x:v>8</x:v>
      </x:c>
    </x:row>
    <x:row r="60">
      <x:c r="A60" t="str">
        <x:v>017</x:v>
      </x:c>
      <x:c r="B60" t="str">
        <x:v>ZH-EXCELLENT-017</x:v>
      </x:c>
      <x:c r="C60" t="str">
        <x:v>Excellent</x:v>
      </x:c>
      <x:c r="D60" s="18" t="n">
        <x:v>89</x:v>
      </x:c>
      <x:c r="E60" s="18" t="str">
        <x:v>ZH-GOOD-017</x:v>
      </x:c>
      <x:c r="F60" s="18" t="str">
        <x:v>Good</x:v>
      </x:c>
      <x:c r="G60" s="18" t="n">
        <x:v>96</x:v>
      </x:c>
      <x:c r="H60" s="18" t="n">
        <x:v>7</x:v>
      </x:c>
    </x:row>
    <x:row r="61">
      <x:c r="A61" t="str">
        <x:v>022</x:v>
      </x:c>
      <x:c r="B61" t="str">
        <x:v>ZH-BAD-022</x:v>
      </x:c>
      <x:c r="C61" t="str">
        <x:v>Bad</x:v>
      </x:c>
      <x:c r="D61" s="18" t="n">
        <x:v>19</x:v>
      </x:c>
      <x:c r="E61" s="18" t="str">
        <x:v>ZH-EXTREMELY-BAD-022</x:v>
      </x:c>
      <x:c r="F61" s="18" t="str">
        <x:v>Extremely Bad</x:v>
      </x:c>
      <x:c r="G61" s="18" t="n">
        <x:v>26</x:v>
      </x:c>
      <x:c r="H61" s="18" t="n">
        <x:v>7</x:v>
      </x:c>
    </x:row>
    <x:row r="62">
      <x:c r="A62" t="str">
        <x:v>004</x:v>
      </x:c>
      <x:c r="B62" t="str">
        <x:v>ZH-EXCELLENT-004</x:v>
      </x:c>
      <x:c r="C62" t="str">
        <x:v>Excellent</x:v>
      </x:c>
      <x:c r="D62" s="18" t="n">
        <x:v>89</x:v>
      </x:c>
      <x:c r="E62" s="18" t="str">
        <x:v>ZH-GOOD-004</x:v>
      </x:c>
      <x:c r="F62" s="18" t="str">
        <x:v>Good</x:v>
      </x:c>
      <x:c r="G62" s="18" t="n">
        <x:v>95</x:v>
      </x:c>
      <x:c r="H62" s="18" t="n">
        <x:v>6</x:v>
      </x:c>
    </x:row>
    <x:row r="63">
      <x:c r="A63" t="str">
        <x:v>006</x:v>
      </x:c>
      <x:c r="B63" t="str">
        <x:v>ZH-NORMAL-006</x:v>
      </x:c>
      <x:c r="C63" t="str">
        <x:v>Normal</x:v>
      </x:c>
      <x:c r="D63" s="18" t="n">
        <x:v>40</x:v>
      </x:c>
      <x:c r="E63" s="18" t="str">
        <x:v>ZH-BAD-006</x:v>
      </x:c>
      <x:c r="F63" s="18" t="str">
        <x:v>Bad</x:v>
      </x:c>
      <x:c r="G63" s="18" t="n">
        <x:v>46</x:v>
      </x:c>
      <x:c r="H63" s="18" t="n">
        <x:v>6</x:v>
      </x:c>
    </x:row>
    <x:row r="64">
      <x:c r="A64" t="str">
        <x:v>024</x:v>
      </x:c>
      <x:c r="B64" t="str">
        <x:v>ZH-NORMAL-024</x:v>
      </x:c>
      <x:c r="C64" t="str">
        <x:v>Normal</x:v>
      </x:c>
      <x:c r="D64" s="18" t="n">
        <x:v>48</x:v>
      </x:c>
      <x:c r="E64" s="18" t="str">
        <x:v>ZH-BAD-024</x:v>
      </x:c>
      <x:c r="F64" s="18" t="str">
        <x:v>Bad</x:v>
      </x:c>
      <x:c r="G64" s="18" t="n">
        <x:v>54</x:v>
      </x:c>
      <x:c r="H64" s="18" t="n">
        <x:v>6</x:v>
      </x:c>
    </x:row>
    <x:row r="65">
      <x:c r="A65" t="str">
        <x:v>018</x:v>
      </x:c>
      <x:c r="B65" t="str">
        <x:v>ZH-EXCELLENT-018</x:v>
      </x:c>
      <x:c r="C65" t="str">
        <x:v>Excellent</x:v>
      </x:c>
      <x:c r="D65" s="18" t="n">
        <x:v>89</x:v>
      </x:c>
      <x:c r="E65" s="18" t="str">
        <x:v>ZH-GOOD-018</x:v>
      </x:c>
      <x:c r="F65" s="18" t="str">
        <x:v>Good</x:v>
      </x:c>
      <x:c r="G65" s="18" t="n">
        <x:v>94</x:v>
      </x:c>
      <x:c r="H65" s="18" t="n">
        <x:v>5</x:v>
      </x:c>
    </x:row>
    <x:row r="66">
      <x:c r="A66" t="str">
        <x:v>029</x:v>
      </x:c>
      <x:c r="B66" t="str">
        <x:v>ZH-BAD-029</x:v>
      </x:c>
      <x:c r="C66" t="str">
        <x:v>Bad</x:v>
      </x:c>
      <x:c r="D66" s="18" t="n">
        <x:v>44</x:v>
      </x:c>
      <x:c r="E66" s="18" t="str">
        <x:v>ZH-EXTREMELY-BAD-029</x:v>
      </x:c>
      <x:c r="F66" s="18" t="str">
        <x:v>Extremely Bad</x:v>
      </x:c>
      <x:c r="G66" s="18" t="n">
        <x:v>49</x:v>
      </x:c>
      <x:c r="H66" s="18" t="n">
        <x:v>5</x:v>
      </x:c>
    </x:row>
    <x:row r="67">
      <x:c r="A67" t="str">
        <x:v>006</x:v>
      </x:c>
      <x:c r="B67" t="str">
        <x:v>ZH-NORMAL-006</x:v>
      </x:c>
      <x:c r="C67" t="str">
        <x:v>Normal</x:v>
      </x:c>
      <x:c r="D67" s="18" t="n">
        <x:v>40</x:v>
      </x:c>
      <x:c r="E67" s="18" t="str">
        <x:v>ZH-EXTREMELY-BAD-006</x:v>
      </x:c>
      <x:c r="F67" s="18" t="str">
        <x:v>Extremely Bad</x:v>
      </x:c>
      <x:c r="G67" s="18" t="n">
        <x:v>44</x:v>
      </x:c>
      <x:c r="H67" s="18" t="n">
        <x:v>4</x:v>
      </x:c>
    </x:row>
    <x:row r="68">
      <x:c r="A68" t="str">
        <x:v>014</x:v>
      </x:c>
      <x:c r="B68" t="str">
        <x:v>ZH-NORMAL-014</x:v>
      </x:c>
      <x:c r="C68" t="str">
        <x:v>Normal</x:v>
      </x:c>
      <x:c r="D68" s="18" t="n">
        <x:v>43</x:v>
      </x:c>
      <x:c r="E68" s="18" t="str">
        <x:v>ZH-BAD-014</x:v>
      </x:c>
      <x:c r="F68" s="18" t="str">
        <x:v>Bad</x:v>
      </x:c>
      <x:c r="G68" s="18" t="n">
        <x:v>47</x:v>
      </x:c>
      <x:c r="H68" s="18" t="n">
        <x:v>4</x:v>
      </x:c>
    </x:row>
    <x:row r="69">
      <x:c r="A69" t="str">
        <x:v>029</x:v>
      </x:c>
      <x:c r="B69" t="str">
        <x:v>ZH-NORMAL-029</x:v>
      </x:c>
      <x:c r="C69" t="str">
        <x:v>Normal</x:v>
      </x:c>
      <x:c r="D69" s="18" t="n">
        <x:v>45</x:v>
      </x:c>
      <x:c r="E69" s="18" t="str">
        <x:v>ZH-EXTREMELY-BAD-029</x:v>
      </x:c>
      <x:c r="F69" s="18" t="str">
        <x:v>Extremely Bad</x:v>
      </x:c>
      <x:c r="G69" s="18" t="n">
        <x:v>49</x:v>
      </x:c>
      <x:c r="H69" s="18" t="n">
        <x:v>4</x:v>
      </x:c>
    </x:row>
    <x:row r="70">
      <x:c r="A70" t="str">
        <x:v>013</x:v>
      </x:c>
      <x:c r="B70" t="str">
        <x:v>ZH-EXCELLENT-013</x:v>
      </x:c>
      <x:c r="C70" t="str">
        <x:v>Excellent</x:v>
      </x:c>
      <x:c r="D70" s="18" t="n">
        <x:v>88</x:v>
      </x:c>
      <x:c r="E70" s="18" t="str">
        <x:v>ZH-GOOD-013</x:v>
      </x:c>
      <x:c r="F70" s="18" t="str">
        <x:v>Good</x:v>
      </x:c>
      <x:c r="G70" s="18" t="n">
        <x:v>89</x:v>
      </x:c>
      <x:c r="H70" s="18" t="n">
        <x:v>1</x:v>
      </x:c>
    </x:row>
    <x:row r="71">
      <x:c r="A71" t="str">
        <x:v>013</x:v>
      </x:c>
      <x:c r="B71" t="str">
        <x:v>ZH-NORMAL-013</x:v>
      </x:c>
      <x:c r="C71" t="str">
        <x:v>Normal</x:v>
      </x:c>
      <x:c r="D71" s="18" t="n">
        <x:v>45</x:v>
      </x:c>
      <x:c r="E71" s="18" t="str">
        <x:v>ZH-BAD-013</x:v>
      </x:c>
      <x:c r="F71" s="18" t="str">
        <x:v>Bad</x:v>
      </x:c>
      <x:c r="G71" s="18" t="n">
        <x:v>46</x:v>
      </x:c>
      <x:c r="H71" s="18" t="n">
        <x:v>1</x:v>
      </x:c>
    </x:row>
    <x:row r="72">
      <x:c r="A72" t="str">
        <x:v>016</x:v>
      </x:c>
      <x:c r="B72" t="str">
        <x:v>ZH-BAD-016</x:v>
      </x:c>
      <x:c r="C72" t="str">
        <x:v>Bad</x:v>
      </x:c>
      <x:c r="D72" s="18" t="n">
        <x:v>26</x:v>
      </x:c>
      <x:c r="E72" s="18" t="str">
        <x:v>ZH-EXTREMELY-BAD-016</x:v>
      </x:c>
      <x:c r="F72" s="18" t="str">
        <x:v>Extremely Bad</x:v>
      </x:c>
      <x:c r="G72" s="18" t="n">
        <x:v>27</x:v>
      </x:c>
      <x:c r="H72" s="18" t="n">
        <x:v>1</x:v>
      </x:c>
    </x:row>
    <x:row r="73">
      <x:c r="A73" t="str">
        <x:v>023</x:v>
      </x:c>
      <x:c r="B73" t="str">
        <x:v>ZH-EXCELLENT-023</x:v>
      </x:c>
      <x:c r="C73" t="str">
        <x:v>Excellent</x:v>
      </x:c>
      <x:c r="D73" s="18" t="n">
        <x:v>94</x:v>
      </x:c>
      <x:c r="E73" s="18" t="str">
        <x:v>ZH-GOOD-023</x:v>
      </x:c>
      <x:c r="F73" s="18" t="str">
        <x:v>Good</x:v>
      </x:c>
      <x:c r="G73" s="18" t="n">
        <x:v>95</x:v>
      </x:c>
      <x:c r="H73" s="18" t="n">
        <x:v>1</x:v>
      </x:c>
    </x:row>
    <x:row r="74">
      <x:c r="A74" t="str">
        <x:v>025</x:v>
      </x:c>
      <x:c r="B74" t="str">
        <x:v>ZH-EXCELLENT-025</x:v>
      </x:c>
      <x:c r="C74" t="str">
        <x:v>Excellent</x:v>
      </x:c>
      <x:c r="D74" s="18" t="n">
        <x:v>94</x:v>
      </x:c>
      <x:c r="E74" s="18" t="str">
        <x:v>ZH-GOOD-025</x:v>
      </x:c>
      <x:c r="F74" s="18" t="str">
        <x:v>Good</x:v>
      </x:c>
      <x:c r="G74" s="18" t="n">
        <x:v>95</x:v>
      </x:c>
      <x:c r="H74" s="18" t="n">
        <x:v>1</x:v>
      </x:c>
    </x:row>
    <x:row r="77" ht="24" customHeight="1">
      <x:c r="A77" s="27" t="str">
        <x:v>Repeated errors and suspicious patterns</x:v>
      </x:c>
      <x:c r="B77" s="27" t="str">
        <x:v>Repeated errors and suspicious patterns</x:v>
      </x:c>
      <x:c r="C77" s="27" t="str">
        <x:v>Repeated errors and suspicious patterns</x:v>
      </x:c>
      <x:c r="D77" s="27" t="str">
        <x:v>Repeated errors and suspicious patterns</x:v>
      </x:c>
      <x:c r="E77" s="27" t="str">
        <x:v>Repeated errors and suspicious patterns</x:v>
      </x:c>
      <x:c r="F77" s="27" t="str">
        <x:v>Repeated errors and suspicious patterns</x:v>
      </x:c>
      <x:c r="G77" s="27" t="str">
        <x:v>Repeated errors and suspicious patterns</x:v>
      </x:c>
      <x:c r="H77" s="27" t="str">
        <x:v>Repeated errors and suspicious patterns</x:v>
      </x:c>
      <x:c r="I77" s="27" t="str">
        <x:v>Repeated errors and suspicious patterns</x:v>
      </x:c>
      <x:c r="J77" s="27" t="str">
        <x:v>Repeated errors and suspicious patterns</x:v>
      </x:c>
    </x:row>
    <x:row r="78" ht="28" customHeight="1">
      <x:c r="A78" s="54" t="str">
        <x:v>25 lower-quality/higher-score inversion(s) were detected.</x:v>
      </x:c>
      <x:c r="B78" s="54"/>
      <x:c r="C78" s="54"/>
      <x:c r="D78" s="54"/>
      <x:c r="E78" s="54"/>
      <x:c r="F78" s="54"/>
      <x:c r="G78" s="54"/>
      <x:c r="H78" s="54"/>
      <x:c r="I78" s="54"/>
      <x:c r="J78" s="54"/>
    </x:row>
  </x:sheetData>
  <x:mergeCells>
    <x:mergeCell ref="A1:J1"/>
    <x:mergeCell ref="A2:J2"/>
    <x:mergeCell ref="A4:B4"/>
    <x:mergeCell ref="D4:J4"/>
    <x:mergeCell ref="D5:J5"/>
    <x:mergeCell ref="D6:J6"/>
    <x:mergeCell ref="D7:J7"/>
    <x:mergeCell ref="D8:J8"/>
    <x:mergeCell ref="D9:J9"/>
    <x:mergeCell ref="D10:J10"/>
    <x:mergeCell ref="A25:G25"/>
    <x:mergeCell ref="A34:H34"/>
    <x:mergeCell ref="A48:H48"/>
    <x:mergeCell ref="A77:J77"/>
    <x:mergeCell ref="A78:J7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12" hidden="0" customWidth="1"/>
    <x:col min="4" max="4" width="11" hidden="0" customWidth="1"/>
    <x:col min="5" max="5" width="10" hidden="0" customWidth="1"/>
    <x:col min="6" max="6" width="11" hidden="0" customWidth="1"/>
    <x:col min="7" max="7" width="11" hidden="0" customWidth="1"/>
    <x:col min="8" max="8" width="11" hidden="0" customWidth="1"/>
    <x:col min="9" max="9" width="11" hidden="0" customWidth="1"/>
    <x:col min="10" max="10" width="17" hidden="0" customWidth="1"/>
    <x:col min="11" max="11" width="12" hidden="0" customWidth="1"/>
    <x:col min="12" max="12" width="11" hidden="0" customWidth="1"/>
    <x:col min="13" max="13" width="11" hidden="0" customWidth="1"/>
    <x:col min="14" max="14" width="10" hidden="0" customWidth="1"/>
    <x:col min="15" max="15" width="11" hidden="0" customWidth="1"/>
    <x:col min="16" max="16" width="10" hidden="0" customWidth="1"/>
    <x:col min="17" max="17" width="13" hidden="0" customWidth="1"/>
    <x:col min="18" max="18" width="12" hidden="0" customWidth="1"/>
    <x:col min="19" max="19" width="11" hidden="0" customWidth="1"/>
  </x:cols>
  <x:sheetData>
    <x:row r="1" ht="34" customHeight="1">
      <x:c r="A1" s="22" t="str">
        <x:v>Category Summary</x:v>
      </x:c>
      <x:c r="B1" s="22" t="str">
        <x:v>Category Summary</x:v>
      </x:c>
      <x:c r="C1" s="22" t="str">
        <x:v>Category Summary</x:v>
      </x:c>
      <x:c r="D1" s="22" t="str">
        <x:v>Category Summary</x:v>
      </x:c>
      <x:c r="E1" s="22" t="str">
        <x:v>Category Summary</x:v>
      </x:c>
      <x:c r="F1" s="22" t="str">
        <x:v>Category Summary</x:v>
      </x:c>
      <x:c r="G1" s="22" t="str">
        <x:v>Category Summary</x:v>
      </x:c>
      <x:c r="H1" s="22" t="str">
        <x:v>Category Summary</x:v>
      </x:c>
      <x:c r="I1" s="22" t="str">
        <x:v>Category Summary</x:v>
      </x:c>
      <x:c r="J1" s="22" t="str">
        <x:v>Category Summary</x:v>
      </x:c>
      <x:c r="K1" s="22" t="str">
        <x:v>Category Summary</x:v>
      </x:c>
      <x:c r="L1" s="22" t="str">
        <x:v>Category Summary</x:v>
      </x:c>
      <x:c r="M1" s="22" t="str">
        <x:v>Category Summary</x:v>
      </x:c>
      <x:c r="N1" s="22" t="str">
        <x:v>Category Summary</x:v>
      </x:c>
      <x:c r="O1" s="22" t="str">
        <x:v>Category Summary</x:v>
      </x:c>
      <x:c r="P1" s="22" t="str">
        <x:v>Category Summary</x:v>
      </x:c>
      <x:c r="Q1" s="22" t="str">
        <x:v>Category Summary</x:v>
      </x:c>
      <x:c r="R1" s="22" t="str">
        <x:v>Category Summary</x:v>
      </x:c>
      <x:c r="S1" s="22" t="str">
        <x:v>Category Summary</x:v>
      </x:c>
    </x:row>
    <x:row r="2">
      <x:c r="A2" s="45" t="str">
        <x:v>Category</x:v>
      </x:c>
      <x:c r="B2" s="45" t="str">
        <x:v>Expected min</x:v>
      </x:c>
      <x:c r="C2" s="45" t="str">
        <x:v>Expected max</x:v>
      </x:c>
      <x:c r="D2" s="45" t="str">
        <x:v>Successful</x:v>
      </x:c>
      <x:c r="E2" s="45" t="str">
        <x:v>Failed</x:v>
      </x:c>
      <x:c r="F2" s="45" t="str">
        <x:v>Average</x:v>
      </x:c>
      <x:c r="G2" s="45" t="str">
        <x:v>Median</x:v>
      </x:c>
      <x:c r="H2" s="45" t="str">
        <x:v>Minimum</x:v>
      </x:c>
      <x:c r="I2" s="45" t="str">
        <x:v>Maximum</x:v>
      </x:c>
      <x:c r="J2" s="45" t="str">
        <x:v>Std dev (population)</x:v>
      </x:c>
      <x:c r="K2" s="45" t="str">
        <x:v>Inside count</x:v>
      </x:c>
      <x:c r="L2" s="45" t="str">
        <x:v>Inside %</x:v>
      </x:c>
      <x:c r="M2" s="45" t="str">
        <x:v>Below count</x:v>
      </x:c>
      <x:c r="N2" s="45" t="str">
        <x:v>Below %</x:v>
      </x:c>
      <x:c r="O2" s="45" t="str">
        <x:v>Above count</x:v>
      </x:c>
      <x:c r="P2" s="45" t="str">
        <x:v>Above %</x:v>
      </x:c>
      <x:c r="Q2" s="45" t="str">
        <x:v>Mean distance</x:v>
      </x:c>
      <x:c r="R2" s="45" t="str">
        <x:v>Correct count</x:v>
      </x:c>
      <x:c r="S2" s="45" t="str">
        <x:v>Accuracy</x:v>
      </x:c>
    </x:row>
    <x:row r="3">
      <x:c r="A3" s="57" t="str">
        <x:v>Excellent</x:v>
      </x:c>
      <x:c r="B3" s="47" t="n">
        <x:v>85</x:v>
      </x:c>
      <x:c r="C3" s="47" t="n">
        <x:v>100</x:v>
      </x:c>
      <x:c r="D3" s="47" t="n">
        <x:f>COUNTIFS('Results'!$D$2:$D$151,$A3,'Results'!$Z$2:$Z$151,"Success")</x:f>
        <x:v>30</x:v>
      </x:c>
      <x:c r="E3" s="47" t="n">
        <x:f>COUNTIFS('Results'!$D$2:$D$151,$A3,'Results'!$Z$2:$Z$151,"Error")</x:f>
        <x:v>0</x:v>
      </x:c>
      <x:c r="F3" s="49" t="n">
        <x:f>IF(D3=0,"",SUMIFS('Results'!$H$2:$H$151,'Results'!$D$2:$D$151,$A3,'Results'!$Z$2:$Z$151,"Success")/D3)</x:f>
        <x:v>82.66666666666667</x:v>
      </x:c>
      <x:c r="G3" s="49" t="n">
        <x:f>IF(D3=0,"",MEDIAN(_xlfn._xlws.FILTER('Results'!$H$2:$H$151,('Results'!$D$2:$D$151=$A3)*('Results'!$Z$2:$Z$151="Success"))))</x:f>
        <x:v>89</x:v>
      </x:c>
      <x:c r="H3" s="49" t="n">
        <x:f>IF(D3=0,"",MINIFS('Results'!$H$2:$H$151,'Results'!$D$2:$D$151,$A3,'Results'!$Z$2:$Z$151,"Success"))</x:f>
        <x:v>59</x:v>
      </x:c>
      <x:c r="I3" s="49" t="n">
        <x:f>IF(D3=0,"",MAXIFS('Results'!$H$2:$H$151,'Results'!$D$2:$D$151,$A3,'Results'!$Z$2:$Z$151,"Success"))</x:f>
        <x:v>97</x:v>
      </x:c>
      <x:c r="J3" s="49" t="n">
        <x:f>IF(D3=0,"",STDEV.P(_xlfn._xlws.FILTER('Results'!$H$2:$H$151,('Results'!$D$2:$D$151=$A3)*('Results'!$Z$2:$Z$151="Success"))))</x:f>
        <x:v>14.000793628299157</x:v>
      </x:c>
      <x:c r="K3" s="47" t="n">
        <x:f>COUNTIFS('Results'!$D$2:$D$151,$A3,'Results'!$Z$2:$Z$151,"Success",'Results'!$Q$2:$Q$151,"Yes")</x:f>
        <x:v>21</x:v>
      </x:c>
      <x:c r="L3" s="58" t="n">
        <x:f>IF(D3=0,0,K3/D3)</x:f>
        <x:v>0.7</x:v>
      </x:c>
      <x:c r="M3" s="47" t="n">
        <x:f>COUNTIFS('Results'!$D$2:$D$151,$A3,'Results'!$Z$2:$Z$151,"Success",'Results'!$S$2:$S$151,"&gt;0")</x:f>
        <x:v>9</x:v>
      </x:c>
      <x:c r="N3" s="58" t="n">
        <x:f>IF(D3=0,0,M3/D3)</x:f>
        <x:v>0.3</x:v>
      </x:c>
      <x:c r="O3" s="47" t="n">
        <x:f>COUNTIFS('Results'!$D$2:$D$151,$A3,'Results'!$Z$2:$Z$151,"Success",'Results'!$T$2:$T$151,"&gt;0")</x:f>
        <x:v>0</x:v>
      </x:c>
      <x:c r="P3" s="58" t="n">
        <x:f>IF(D3=0,0,O3/D3)</x:f>
        <x:v>0</x:v>
      </x:c>
      <x:c r="Q3" s="49" t="n">
        <x:f>IF(D3=0,"",SUMIFS('Results'!$R$2:$R$151,'Results'!$D$2:$D$151,$A3,'Results'!$Z$2:$Z$151,"Success")/D3)</x:f>
        <x:v>6.8</x:v>
      </x:c>
      <x:c r="R3" s="47" t="n">
        <x:f>COUNTIFS('Results'!$D$2:$D$151,$A3,'Results'!$Z$2:$Z$151,"Success",'Results'!$V$2:$V$151,"Yes")</x:f>
        <x:v>21</x:v>
      </x:c>
      <x:c r="S3" s="58" t="n">
        <x:f>IF(D3=0,0,R3/D3)</x:f>
        <x:v>0.7</x:v>
      </x:c>
    </x:row>
    <x:row r="4">
      <x:c r="A4" s="57" t="str">
        <x:v>Good</x:v>
      </x:c>
      <x:c r="B4" s="47" t="n">
        <x:v>70</x:v>
      </x:c>
      <x:c r="C4" s="47" t="n">
        <x:v>84</x:v>
      </x:c>
      <x:c r="D4" s="47" t="n">
        <x:f>COUNTIFS('Results'!$D$2:$D$151,$A4,'Results'!$Z$2:$Z$151,"Success")</x:f>
        <x:v>30</x:v>
      </x:c>
      <x:c r="E4" s="47" t="n">
        <x:f>COUNTIFS('Results'!$D$2:$D$151,$A4,'Results'!$Z$2:$Z$151,"Error")</x:f>
        <x:v>0</x:v>
      </x:c>
      <x:c r="F4" s="49" t="n">
        <x:f>IF(D4=0,"",SUMIFS('Results'!$H$2:$H$151,'Results'!$D$2:$D$151,$A4,'Results'!$Z$2:$Z$151,"Success")/D4)</x:f>
        <x:v>82</x:v>
      </x:c>
      <x:c r="G4" s="49" t="n">
        <x:f>IF(D4=0,"",MEDIAN(_xlfn._xlws.FILTER('Results'!$H$2:$H$151,('Results'!$D$2:$D$151=$A4)*('Results'!$Z$2:$Z$151="Success"))))</x:f>
        <x:v>89</x:v>
      </x:c>
      <x:c r="H4" s="49" t="n">
        <x:f>IF(D4=0,"",MINIFS('Results'!$H$2:$H$151,'Results'!$D$2:$D$151,$A4,'Results'!$Z$2:$Z$151,"Success"))</x:f>
        <x:v>59</x:v>
      </x:c>
      <x:c r="I4" s="49" t="n">
        <x:f>IF(D4=0,"",MAXIFS('Results'!$H$2:$H$151,'Results'!$D$2:$D$151,$A4,'Results'!$Z$2:$Z$151,"Success"))</x:f>
        <x:v>96</x:v>
      </x:c>
      <x:c r="J4" s="49" t="n">
        <x:f>IF(D4=0,"",STDEV.P(_xlfn._xlws.FILTER('Results'!$H$2:$H$151,('Results'!$D$2:$D$151=$A4)*('Results'!$Z$2:$Z$151="Success"))))</x:f>
        <x:v>14.436065946094871</x:v>
      </x:c>
      <x:c r="K4" s="47" t="n">
        <x:f>COUNTIFS('Results'!$D$2:$D$151,$A4,'Results'!$Z$2:$Z$151,"Success",'Results'!$Q$2:$Q$151,"Yes")</x:f>
        <x:v>1</x:v>
      </x:c>
      <x:c r="L4" s="58" t="n">
        <x:f>IF(D4=0,0,K4/D4)</x:f>
        <x:v>0.03333333333333333</x:v>
      </x:c>
      <x:c r="M4" s="47" t="n">
        <x:f>COUNTIFS('Results'!$D$2:$D$151,$A4,'Results'!$Z$2:$Z$151,"Success",'Results'!$S$2:$S$151,"&gt;0")</x:f>
        <x:v>8</x:v>
      </x:c>
      <x:c r="N4" s="58" t="n">
        <x:f>IF(D4=0,0,M4/D4)</x:f>
        <x:v>0.26666666666666666</x:v>
      </x:c>
      <x:c r="O4" s="47" t="n">
        <x:f>COUNTIFS('Results'!$D$2:$D$151,$A4,'Results'!$Z$2:$Z$151,"Success",'Results'!$T$2:$T$151,"&gt;0")</x:f>
        <x:v>21</x:v>
      </x:c>
      <x:c r="P4" s="58" t="n">
        <x:f>IF(D4=0,0,O4/D4)</x:f>
        <x:v>0.7</x:v>
      </x:c>
      <x:c r="Q4" s="49" t="n">
        <x:f>IF(D4=0,"",SUMIFS('Results'!$R$2:$R$151,'Results'!$D$2:$D$151,$A4,'Results'!$Z$2:$Z$151,"Success")/D4)</x:f>
        <x:v>7.933333333333334</x:v>
      </x:c>
      <x:c r="R4" s="47" t="n">
        <x:f>COUNTIFS('Results'!$D$2:$D$151,$A4,'Results'!$Z$2:$Z$151,"Success",'Results'!$V$2:$V$151,"Yes")</x:f>
        <x:v>1</x:v>
      </x:c>
      <x:c r="S4" s="58" t="n">
        <x:f>IF(D4=0,0,R4/D4)</x:f>
        <x:v>0.03333333333333333</x:v>
      </x:c>
    </x:row>
    <x:row r="5">
      <x:c r="A5" s="57" t="str">
        <x:v>Normal</x:v>
      </x:c>
      <x:c r="B5" s="47" t="n">
        <x:v>50</x:v>
      </x:c>
      <x:c r="C5" s="47" t="n">
        <x:v>69</x:v>
      </x:c>
      <x:c r="D5" s="47" t="n">
        <x:f>COUNTIFS('Results'!$D$2:$D$151,$A5,'Results'!$Z$2:$Z$151,"Success")</x:f>
        <x:v>30</x:v>
      </x:c>
      <x:c r="E5" s="47" t="n">
        <x:f>COUNTIFS('Results'!$D$2:$D$151,$A5,'Results'!$Z$2:$Z$151,"Error")</x:f>
        <x:v>0</x:v>
      </x:c>
      <x:c r="F5" s="49" t="n">
        <x:f>IF(D5=0,"",SUMIFS('Results'!$H$2:$H$151,'Results'!$D$2:$D$151,$A5,'Results'!$Z$2:$Z$151,"Success")/D5)</x:f>
        <x:v>46.86666666666667</x:v>
      </x:c>
      <x:c r="G5" s="49" t="n">
        <x:f>IF(D5=0,"",MEDIAN(_xlfn._xlws.FILTER('Results'!$H$2:$H$151,('Results'!$D$2:$D$151=$A5)*('Results'!$Z$2:$Z$151="Success"))))</x:f>
        <x:v>45</x:v>
      </x:c>
      <x:c r="H5" s="49" t="n">
        <x:f>IF(D5=0,"",MINIFS('Results'!$H$2:$H$151,'Results'!$D$2:$D$151,$A5,'Results'!$Z$2:$Z$151,"Success"))</x:f>
        <x:v>31</x:v>
      </x:c>
      <x:c r="I5" s="49" t="n">
        <x:f>IF(D5=0,"",MAXIFS('Results'!$H$2:$H$151,'Results'!$D$2:$D$151,$A5,'Results'!$Z$2:$Z$151,"Success"))</x:f>
        <x:v>59</x:v>
      </x:c>
      <x:c r="J5" s="49" t="n">
        <x:f>IF(D5=0,"",STDEV.P(_xlfn._xlws.FILTER('Results'!$H$2:$H$151,('Results'!$D$2:$D$151=$A5)*('Results'!$Z$2:$Z$151="Success"))))</x:f>
        <x:v>7.168139383565461</x:v>
      </x:c>
      <x:c r="K5" s="47" t="n">
        <x:f>COUNTIFS('Results'!$D$2:$D$151,$A5,'Results'!$Z$2:$Z$151,"Success",'Results'!$Q$2:$Q$151,"Yes")</x:f>
        <x:v>10</x:v>
      </x:c>
      <x:c r="L5" s="58" t="n">
        <x:f>IF(D5=0,0,K5/D5)</x:f>
        <x:v>0.3333333333333333</x:v>
      </x:c>
      <x:c r="M5" s="47" t="n">
        <x:f>COUNTIFS('Results'!$D$2:$D$151,$A5,'Results'!$Z$2:$Z$151,"Success",'Results'!$S$2:$S$151,"&gt;0")</x:f>
        <x:v>20</x:v>
      </x:c>
      <x:c r="N5" s="58" t="n">
        <x:f>IF(D5=0,0,M5/D5)</x:f>
        <x:v>0.6666666666666666</x:v>
      </x:c>
      <x:c r="O5" s="47" t="n">
        <x:f>COUNTIFS('Results'!$D$2:$D$151,$A5,'Results'!$Z$2:$Z$151,"Success",'Results'!$T$2:$T$151,"&gt;0")</x:f>
        <x:v>0</x:v>
      </x:c>
      <x:c r="P5" s="58" t="n">
        <x:f>IF(D5=0,0,O5/D5)</x:f>
        <x:v>0</x:v>
      </x:c>
      <x:c r="Q5" s="49" t="n">
        <x:f>IF(D5=0,"",SUMIFS('Results'!$R$2:$R$151,'Results'!$D$2:$D$151,$A5,'Results'!$Z$2:$Z$151,"Success")/D5)</x:f>
        <x:v>4.966666666666667</x:v>
      </x:c>
      <x:c r="R5" s="47" t="n">
        <x:f>COUNTIFS('Results'!$D$2:$D$151,$A5,'Results'!$Z$2:$Z$151,"Success",'Results'!$V$2:$V$151,"Yes")</x:f>
        <x:v>10</x:v>
      </x:c>
      <x:c r="S5" s="58" t="n">
        <x:f>IF(D5=0,0,R5/D5)</x:f>
        <x:v>0.3333333333333333</x:v>
      </x:c>
    </x:row>
    <x:row r="6">
      <x:c r="A6" s="57" t="str">
        <x:v>Bad</x:v>
      </x:c>
      <x:c r="B6" s="47" t="n">
        <x:v>30</x:v>
      </x:c>
      <x:c r="C6" s="47" t="n">
        <x:v>49</x:v>
      </x:c>
      <x:c r="D6" s="47" t="n">
        <x:f>COUNTIFS('Results'!$D$2:$D$151,$A6,'Results'!$Z$2:$Z$151,"Success")</x:f>
        <x:v>30</x:v>
      </x:c>
      <x:c r="E6" s="47" t="n">
        <x:f>COUNTIFS('Results'!$D$2:$D$151,$A6,'Results'!$Z$2:$Z$151,"Error")</x:f>
        <x:v>0</x:v>
      </x:c>
      <x:c r="F6" s="49" t="n">
        <x:f>IF(D6=0,"",SUMIFS('Results'!$H$2:$H$151,'Results'!$D$2:$D$151,$A6,'Results'!$Z$2:$Z$151,"Success")/D6)</x:f>
        <x:v>42.3</x:v>
      </x:c>
      <x:c r="G6" s="49" t="n">
        <x:f>IF(D6=0,"",MEDIAN(_xlfn._xlws.FILTER('Results'!$H$2:$H$151,('Results'!$D$2:$D$151=$A6)*('Results'!$Z$2:$Z$151="Success"))))</x:f>
        <x:v>43.5</x:v>
      </x:c>
      <x:c r="H6" s="49" t="n">
        <x:f>IF(D6=0,"",MINIFS('Results'!$H$2:$H$151,'Results'!$D$2:$D$151,$A6,'Results'!$Z$2:$Z$151,"Success"))</x:f>
        <x:v>19</x:v>
      </x:c>
      <x:c r="I6" s="49" t="n">
        <x:f>IF(D6=0,"",MAXIFS('Results'!$H$2:$H$151,'Results'!$D$2:$D$151,$A6,'Results'!$Z$2:$Z$151,"Success"))</x:f>
        <x:v>59</x:v>
      </x:c>
      <x:c r="J6" s="49" t="n">
        <x:f>IF(D6=0,"",STDEV.P(_xlfn._xlws.FILTER('Results'!$H$2:$H$151,('Results'!$D$2:$D$151=$A6)*('Results'!$Z$2:$Z$151="Success"))))</x:f>
        <x:v>8.691566793929235</x:v>
      </x:c>
      <x:c r="K6" s="47" t="n">
        <x:f>COUNTIFS('Results'!$D$2:$D$151,$A6,'Results'!$Z$2:$Z$151,"Success",'Results'!$Q$2:$Q$151,"Yes")</x:f>
        <x:v>23</x:v>
      </x:c>
      <x:c r="L6" s="58" t="n">
        <x:f>IF(D6=0,0,K6/D6)</x:f>
        <x:v>0.7666666666666667</x:v>
      </x:c>
      <x:c r="M6" s="47" t="n">
        <x:f>COUNTIFS('Results'!$D$2:$D$151,$A6,'Results'!$Z$2:$Z$151,"Success",'Results'!$S$2:$S$151,"&gt;0")</x:f>
        <x:v>3</x:v>
      </x:c>
      <x:c r="N6" s="58" t="n">
        <x:f>IF(D6=0,0,M6/D6)</x:f>
        <x:v>0.1</x:v>
      </x:c>
      <x:c r="O6" s="47" t="n">
        <x:f>COUNTIFS('Results'!$D$2:$D$151,$A6,'Results'!$Z$2:$Z$151,"Success",'Results'!$T$2:$T$151,"&gt;0")</x:f>
        <x:v>4</x:v>
      </x:c>
      <x:c r="P6" s="58" t="n">
        <x:f>IF(D6=0,0,O6/D6)</x:f>
        <x:v>0.13333333333333333</x:v>
      </x:c>
      <x:c r="Q6" s="49" t="n">
        <x:f>IF(D6=0,"",SUMIFS('Results'!$R$2:$R$151,'Results'!$D$2:$D$151,$A6,'Results'!$Z$2:$Z$151,"Success")/D6)</x:f>
        <x:v>1.3666666666666667</x:v>
      </x:c>
      <x:c r="R6" s="47" t="n">
        <x:f>COUNTIFS('Results'!$D$2:$D$151,$A6,'Results'!$Z$2:$Z$151,"Success",'Results'!$V$2:$V$151,"Yes")</x:f>
        <x:v>23</x:v>
      </x:c>
      <x:c r="S6" s="58" t="n">
        <x:f>IF(D6=0,0,R6/D6)</x:f>
        <x:v>0.7666666666666667</x:v>
      </x:c>
    </x:row>
    <x:row r="7">
      <x:c r="A7" s="57" t="str">
        <x:v>Extremely Bad</x:v>
      </x:c>
      <x:c r="B7" s="47" t="n">
        <x:v>0</x:v>
      </x:c>
      <x:c r="C7" s="47" t="n">
        <x:v>29</x:v>
      </x:c>
      <x:c r="D7" s="47" t="n">
        <x:f>COUNTIFS('Results'!$D$2:$D$151,$A7,'Results'!$Z$2:$Z$151,"Success")</x:f>
        <x:v>30</x:v>
      </x:c>
      <x:c r="E7" s="47" t="n">
        <x:f>COUNTIFS('Results'!$D$2:$D$151,$A7,'Results'!$Z$2:$Z$151,"Error")</x:f>
        <x:v>0</x:v>
      </x:c>
      <x:c r="F7" s="49" t="n">
        <x:f>IF(D7=0,"",SUMIFS('Results'!$H$2:$H$151,'Results'!$D$2:$D$151,$A7,'Results'!$Z$2:$Z$151,"Success")/D7)</x:f>
        <x:v>29.533333333333335</x:v>
      </x:c>
      <x:c r="G7" s="49" t="n">
        <x:f>IF(D7=0,"",MEDIAN(_xlfn._xlws.FILTER('Results'!$H$2:$H$151,('Results'!$D$2:$D$151=$A7)*('Results'!$Z$2:$Z$151="Success"))))</x:f>
        <x:v>27.5</x:v>
      </x:c>
      <x:c r="H7" s="49" t="n">
        <x:f>IF(D7=0,"",MINIFS('Results'!$H$2:$H$151,'Results'!$D$2:$D$151,$A7,'Results'!$Z$2:$Z$151,"Success"))</x:f>
        <x:v>8</x:v>
      </x:c>
      <x:c r="I7" s="49" t="n">
        <x:f>IF(D7=0,"",MAXIFS('Results'!$H$2:$H$151,'Results'!$D$2:$D$151,$A7,'Results'!$Z$2:$Z$151,"Success"))</x:f>
        <x:v>49</x:v>
      </x:c>
      <x:c r="J7" s="49" t="n">
        <x:f>IF(D7=0,"",STDEV.P(_xlfn._xlws.FILTER('Results'!$H$2:$H$151,('Results'!$D$2:$D$151=$A7)*('Results'!$Z$2:$Z$151="Success"))))</x:f>
        <x:v>11.01736003869449</x:v>
      </x:c>
      <x:c r="K7" s="47" t="n">
        <x:f>COUNTIFS('Results'!$D$2:$D$151,$A7,'Results'!$Z$2:$Z$151,"Success",'Results'!$Q$2:$Q$151,"Yes")</x:f>
        <x:v>16</x:v>
      </x:c>
      <x:c r="L7" s="58" t="n">
        <x:f>IF(D7=0,0,K7/D7)</x:f>
        <x:v>0.5333333333333333</x:v>
      </x:c>
      <x:c r="M7" s="47" t="n">
        <x:f>COUNTIFS('Results'!$D$2:$D$151,$A7,'Results'!$Z$2:$Z$151,"Success",'Results'!$S$2:$S$151,"&gt;0")</x:f>
        <x:v>0</x:v>
      </x:c>
      <x:c r="N7" s="58" t="n">
        <x:f>IF(D7=0,0,M7/D7)</x:f>
        <x:v>0</x:v>
      </x:c>
      <x:c r="O7" s="47" t="n">
        <x:f>COUNTIFS('Results'!$D$2:$D$151,$A7,'Results'!$Z$2:$Z$151,"Success",'Results'!$T$2:$T$151,"&gt;0")</x:f>
        <x:v>14</x:v>
      </x:c>
      <x:c r="P7" s="58" t="n">
        <x:f>IF(D7=0,0,O7/D7)</x:f>
        <x:v>0.4666666666666667</x:v>
      </x:c>
      <x:c r="Q7" s="49" t="n">
        <x:f>IF(D7=0,"",SUMIFS('Results'!$R$2:$R$151,'Results'!$D$2:$D$151,$A7,'Results'!$Z$2:$Z$151,"Success")/D7)</x:f>
        <x:v>4.766666666666667</x:v>
      </x:c>
      <x:c r="R7" s="47" t="n">
        <x:f>COUNTIFS('Results'!$D$2:$D$151,$A7,'Results'!$Z$2:$Z$151,"Success",'Results'!$V$2:$V$151,"Yes")</x:f>
        <x:v>16</x:v>
      </x:c>
      <x:c r="S7" s="58" t="n">
        <x:f>IF(D7=0,0,R7/D7)</x:f>
        <x:v>0.5333333333333333</x:v>
      </x:c>
    </x:row>
  </x:sheetData>
  <x:mergeCells>
    <x:mergeCell ref="A1:S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1" hidden="0" customWidth="1"/>
    <x:col min="3" max="3" width="18" hidden="0" customWidth="1"/>
    <x:col min="4" max="4" width="9" hidden="0" customWidth="1"/>
    <x:col min="5" max="5" width="13" hidden="0" customWidth="1"/>
    <x:col min="6" max="6" width="25" hidden="0" customWidth="1"/>
    <x:col min="7" max="7" width="54" hidden="0" customWidth="1"/>
    <x:col min="8" max="8" width="11" hidden="0" customWidth="1"/>
    <x:col min="9" max="9" width="17" hidden="0" customWidth="1"/>
    <x:col min="10" max="10" width="24" hidden="0" customWidth="1"/>
  </x:cols>
  <x:sheetData>
    <x:row r="1" ht="34" customHeight="1">
      <x:c r="A1" s="22" t="str">
        <x:v>Error Log</x:v>
      </x:c>
      <x:c r="B1" s="22" t="str">
        <x:v>Error Log</x:v>
      </x:c>
      <x:c r="C1" s="22" t="str">
        <x:v>Error Log</x:v>
      </x:c>
      <x:c r="D1" s="22" t="str">
        <x:v>Error Log</x:v>
      </x:c>
      <x:c r="E1" s="22" t="str">
        <x:v>Error Log</x:v>
      </x:c>
      <x:c r="F1" s="22" t="str">
        <x:v>Error Log</x:v>
      </x:c>
      <x:c r="G1" s="22" t="str">
        <x:v>Error Log</x:v>
      </x:c>
      <x:c r="H1" s="22" t="str">
        <x:v>Error Log</x:v>
      </x:c>
      <x:c r="I1" s="22" t="str">
        <x:v>Error Log</x:v>
      </x:c>
      <x:c r="J1" s="22" t="str">
        <x:v>Error Log</x:v>
      </x:c>
    </x:row>
    <x:row r="2">
      <x:c r="A2" s="9" t="str">
        <x:v>Draft ID</x:v>
      </x:c>
      <x:c r="B2" s="10" t="str">
        <x:v>Scenario</x:v>
      </x:c>
      <x:c r="C2" s="10" t="str">
        <x:v>Category</x:v>
      </x:c>
      <x:c r="D2" s="10" t="str">
        <x:v>Repeat</x:v>
      </x:c>
      <x:c r="E2" s="10" t="str">
        <x:v>Error type</x:v>
      </x:c>
      <x:c r="F2" s="10" t="str">
        <x:v>Error code</x:v>
      </x:c>
      <x:c r="G2" s="10" t="str">
        <x:v>Error message</x:v>
      </x:c>
      <x:c r="H2" s="10" t="str">
        <x:v>Retry count</x:v>
      </x:c>
      <x:c r="I2" s="10" t="str">
        <x:v>Response time (ms)</x:v>
      </x:c>
      <x:c r="J2" s="11" t="str">
        <x:v>Timestamp</x:v>
      </x:c>
    </x:row>
    <x:row r="3">
      <x:c r="A3" s="60" t="str">
        <x:v>No errors are recorded in the current results file.</x:v>
      </x:c>
      <x:c r="B3" s="60" t="str">
        <x:v>No errors are recorded in the current results file.</x:v>
      </x:c>
      <x:c r="C3" s="60" t="str">
        <x:v>No errors are recorded in the current results file.</x:v>
      </x:c>
      <x:c r="D3" s="60" t="str">
        <x:v>No errors are recorded in the current results file.</x:v>
      </x:c>
      <x:c r="E3" s="60" t="str">
        <x:v>No errors are recorded in the current results file.</x:v>
      </x:c>
      <x:c r="F3" s="60" t="str">
        <x:v>No errors are recorded in the current results file.</x:v>
      </x:c>
      <x:c r="G3" s="60" t="str">
        <x:v>No errors are recorded in the current results file.</x:v>
      </x:c>
      <x:c r="H3" s="60" t="str">
        <x:v>No errors are recorded in the current results file.</x:v>
      </x:c>
      <x:c r="I3" s="60" t="str">
        <x:v>No errors are recorded in the current results file.</x:v>
      </x:c>
      <x:c r="J3" s="60" t="str">
        <x:v>No errors are recorded in the current results file.</x:v>
      </x:c>
    </x:row>
  </x:sheetData>
  <x:mergeCells>
    <x:mergeCell ref="A1:J1"/>
    <x:mergeCell ref="A3:J3"/>
  </x:mergeCells>
  <x:pageMargins left="0.7" right="0.7" top="0.75" bottom="0.75" header="0.3" footer="0.3"/>
</x:worksheet>
</file>