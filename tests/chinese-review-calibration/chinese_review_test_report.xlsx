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7479a60530a427a" /></Relationships>
</file>

<file path=xl/workbook.xml><?xml version="1.0" encoding="utf-8"?>
<x:workbook xmlns:x="http://schemas.openxmlformats.org/spreadsheetml/2006/main">
  <x:sheets>
    <x:sheet xmlns:r="http://schemas.openxmlformats.org/officeDocument/2006/relationships" name="Drafts" sheetId="1" r:id="R3ca2ed1f331d4d04"/>
    <x:sheet xmlns:r="http://schemas.openxmlformats.org/officeDocument/2006/relationships" name="Results" sheetId="2" r:id="R74d44111bafd438b"/>
    <x:sheet xmlns:r="http://schemas.openxmlformats.org/officeDocument/2006/relationships" name="Summary" sheetId="3" r:id="Rcba852dcefb745dd"/>
    <x:sheet xmlns:r="http://schemas.openxmlformats.org/officeDocument/2006/relationships" name="Category Summary" sheetId="4" r:id="R28fbdf41e5804c83"/>
    <x:sheet xmlns:r="http://schemas.openxmlformats.org/officeDocument/2006/relationships" name="Error Log" sheetId="5" r:id="R1f634dc3ff8e46b0"/>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00"/>
    <x:numFmt numFmtId="201" formatCode="0"/>
    <x:numFmt numFmtId="202" formatCode="0.0"/>
    <x:numFmt numFmtId="203" formatCode="#,##0"/>
    <x:numFmt numFmtId="204" formatCode="yyyy-mm-dd hh:mm:ss"/>
    <x:numFmt numFmtId="205" formatCode="0.0%"/>
  </x:numFmts>
  <x:fonts count="11">
    <x:font>
      <x:sz val="11"/>
      <x:name val="Carlito"/>
    </x:font>
    <x:font>
      <x:b/>
      <x:sz val="10"/>
      <x:color rgb="FFFFFFFF"/>
      <x:name val="Carlito"/>
    </x:font>
    <x:font>
      <x:b/>
      <x:sz val="18"/>
      <x:color rgb="FFFFFFFF"/>
      <x:name val="Carlito"/>
    </x:font>
    <x:font>
      <x:i/>
      <x:sz val="10"/>
      <x:color rgb="FF374151"/>
      <x:name val="Carlito"/>
    </x:font>
    <x:font>
      <x:b/>
      <x:sz val="11"/>
      <x:color rgb="FFFFFFFF"/>
      <x:name val="Carlito"/>
    </x:font>
    <x:font>
      <x:b/>
      <x:sz val="11"/>
      <x:color rgb="FF374151"/>
      <x:name val="Carlito"/>
    </x:font>
    <x:font>
      <x:b/>
      <x:sz val="11"/>
      <x:color rgb="FF17324D"/>
      <x:name val="Carlito"/>
    </x:font>
    <x:font>
      <x:sz val="11"/>
      <x:color rgb="FF374151"/>
      <x:name val="Carlito"/>
    </x:font>
    <x:font>
      <x:b/>
      <x:sz val="11"/>
      <x:name val="Carlito"/>
    </x:font>
    <x:font>
      <x:sz val="11"/>
      <x:color rgb="FF92400E"/>
      <x:name val="Carlito"/>
    </x:font>
    <x:font>
      <x:b/>
      <x:sz val="11"/>
      <x:color rgb="FF166534"/>
      <x:name val="Carlito"/>
    </x:font>
  </x:fonts>
  <x:fills count="10">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087E8B"/>
      </x:patternFill>
    </x:fill>
    <x:fill>
      <x:patternFill patternType="solid">
        <x:fgColor rgb="FFF3F4F6"/>
      </x:patternFill>
    </x:fill>
    <x:fill>
      <x:patternFill patternType="solid">
        <x:fgColor rgb="FFFFFFFF"/>
      </x:patternFill>
    </x:fill>
    <x:fill>
      <x:patternFill patternType="solid">
        <x:fgColor rgb="FFDDF3F4"/>
      </x:patternFill>
    </x:fill>
    <x:fill>
      <x:patternFill patternType="solid">
        <x:fgColor rgb="FFFEF3C7"/>
      </x:patternFill>
    </x:fill>
    <x:fill>
      <x:patternFill patternType="solid">
        <x:fgColor rgb="FFDCFCE7"/>
      </x:patternFill>
    </x:fill>
  </x:fills>
  <x:borders count="5">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6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x:xf>
    <x:xf numFmtId="201" fontId="0" fillId="0" borderId="0" xfId="0" applyNumberFormat="1" applyFont="1" applyFill="1" applyBorder="1" applyAlignment="1">
      <x:alignment vertical="top"/>
    </x:xf>
    <x:xf numFmtId="200" fontId="0" fillId="0" borderId="0" xfId="0" applyNumberFormat="1" applyFont="1" applyFill="1" applyBorder="1"/>
    <x:xf numFmtId="202" fontId="0" fillId="0" borderId="0" xfId="0" applyNumberFormat="1" applyFont="1" applyFill="1" applyBorder="1"/>
    <x:xf numFmtId="203" fontId="0" fillId="0" borderId="0" xfId="0" applyNumberFormat="1" applyFont="1" applyFill="1" applyBorder="1"/>
    <x:xf numFmtId="204" fontId="0" fillId="0"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vertical="center"/>
    </x:xf>
    <x:xf numFmtId="0" fontId="0" fillId="5" borderId="0" xfId="0" applyNumberFormat="1" applyFont="1" applyFill="1" applyBorder="1"/>
    <x:xf numFmtId="0" fontId="5" fillId="5"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205" fontId="6" fillId="6" borderId="0" xfId="0" applyNumberFormat="1" applyFont="1" applyFill="1" applyBorder="1"/>
    <x:xf numFmtId="202" fontId="6" fillId="6" borderId="0" xfId="0" applyNumberFormat="1" applyFont="1" applyFill="1" applyBorder="1"/>
    <x:xf numFmtId="0" fontId="4" fillId="4" borderId="4" xfId="0" applyNumberFormat="1" applyFont="1" applyFill="1" applyBorder="1" applyAlignment="1">
      <x:alignment vertical="center"/>
    </x:xf>
    <x:xf numFmtId="0" fontId="5" fillId="5" borderId="4" xfId="0" applyNumberFormat="1" applyFont="1" applyFill="1" applyBorder="1"/>
    <x:xf numFmtId="0" fontId="6" fillId="6" borderId="4" xfId="0" applyNumberFormat="1" applyFont="1" applyFill="1" applyBorder="1"/>
    <x:xf numFmtId="205" fontId="6" fillId="6" borderId="4" xfId="0" applyNumberFormat="1" applyFont="1" applyFill="1" applyBorder="1"/>
    <x:xf numFmtId="202" fontId="6" fillId="6" borderId="4" xfId="0" applyNumberFormat="1" applyFont="1" applyFill="1" applyBorder="1"/>
    <x:xf numFmtId="0" fontId="0" fillId="7" borderId="0" xfId="0" applyNumberFormat="1" applyFont="1" applyFill="1" applyBorder="1"/>
    <x:xf numFmtId="0" fontId="7" fillId="7" borderId="0" xfId="0" applyNumberFormat="1" applyFont="1" applyFill="1" applyBorder="1"/>
    <x:xf numFmtId="0" fontId="7" fillId="7" borderId="0" xfId="0" applyNumberFormat="1" applyFont="1" applyFill="1" applyBorder="1" applyAlignment="1">
      <x:alignment wrapText="1"/>
    </x:xf>
    <x:xf numFmtId="0" fontId="7" fillId="7" borderId="0" xfId="0" applyNumberFormat="1" applyFont="1" applyFill="1" applyBorder="1" applyAlignment="1">
      <x:alignment vertical="top" wrapText="1"/>
    </x:xf>
    <x:xf numFmtId="0" fontId="8" fillId="5" borderId="0" xfId="0" applyNumberFormat="1" applyFont="1" applyFill="1" applyBorder="1"/>
    <x:xf numFmtId="201" fontId="0" fillId="0" borderId="0" xfId="0" applyNumberFormat="1" applyFont="1" applyFill="1" applyBorder="1"/>
    <x:xf numFmtId="0" fontId="1" fillId="2" borderId="4" xfId="0" applyNumberFormat="1" applyFont="1" applyFill="1" applyBorder="1" applyAlignment="1">
      <x:alignment vertical="center" wrapText="1"/>
    </x:xf>
    <x:xf numFmtId="0" fontId="8" fillId="5" borderId="4" xfId="0" applyNumberFormat="1" applyFont="1" applyFill="1" applyBorder="1"/>
    <x:xf numFmtId="201" fontId="0" fillId="0" borderId="4" xfId="0" applyNumberFormat="1" applyFont="1" applyFill="1" applyBorder="1"/>
    <x:xf numFmtId="0" fontId="0" fillId="0" borderId="4" xfId="0" applyNumberFormat="1" applyFont="1" applyFill="1" applyBorder="1"/>
    <x:xf numFmtId="202" fontId="0" fillId="0" borderId="4" xfId="0" applyNumberFormat="1" applyFont="1" applyFill="1" applyBorder="1"/>
    <x:xf numFmtId="202" fontId="0" fillId="0" borderId="1" xfId="0" applyNumberFormat="1" applyFont="1" applyFill="1" applyBorder="1"/>
    <x:xf numFmtId="0" fontId="0"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9" fillId="8" borderId="0" xfId="0" applyNumberFormat="1" applyFont="1" applyFill="1" applyBorder="1" applyAlignment="1">
      <x:alignment vertical="top" wrapText="1"/>
    </x:xf>
    <x:xf numFmtId="0" fontId="6" fillId="3" borderId="0" xfId="0" applyNumberFormat="1" applyFont="1" applyFill="1" applyBorder="1"/>
    <x:xf numFmtId="205" fontId="0" fillId="0" borderId="0" xfId="0" applyNumberFormat="1" applyFont="1" applyFill="1" applyBorder="1"/>
    <x:xf numFmtId="0" fontId="6" fillId="3" borderId="4" xfId="0" applyNumberFormat="1" applyFont="1" applyFill="1" applyBorder="1"/>
    <x:xf numFmtId="205" fontId="0" fillId="0" borderId="4" xfId="0" applyNumberFormat="1" applyFont="1" applyFill="1" applyBorder="1"/>
    <x:xf numFmtId="0" fontId="0" fillId="9" borderId="0" xfId="0" applyNumberFormat="1" applyFont="1" applyFill="1" applyBorder="1"/>
    <x:xf numFmtId="0" fontId="10" fillId="9" borderId="0" xfId="0" applyNumberFormat="1" applyFont="1" applyFill="1" applyBorder="1"/>
  </x:cellXfs>
  <x:cellStyles count="1">
    <x:cellStyle name="Normal" xfId="0"/>
  </x:cellStyles>
  <x:dxfs count="3">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8dba9bd8f424c29" /><Relationship Type="http://schemas.openxmlformats.org/officeDocument/2006/relationships/theme" Target="/xl/theme/theme1.xml" Id="R7e550aec973a4c8b" /><Relationship Type="http://schemas.openxmlformats.org/officeDocument/2006/relationships/sharedStrings" Target="/xl/sharedStrings.xml" Id="R47ebe01198234457" /><Relationship Type="http://schemas.openxmlformats.org/officeDocument/2006/relationships/worksheet" Target="/xl/worksheets/sheet1.xml" Id="R3ca2ed1f331d4d04" /><Relationship Type="http://schemas.openxmlformats.org/officeDocument/2006/relationships/worksheet" Target="/xl/worksheets/sheet2.xml" Id="R74d44111bafd438b" /><Relationship Type="http://schemas.openxmlformats.org/officeDocument/2006/relationships/worksheet" Target="/xl/worksheets/sheet3.xml" Id="Rcba852dcefb745dd" /><Relationship Type="http://schemas.openxmlformats.org/officeDocument/2006/relationships/worksheet" Target="/xl/worksheets/sheet4.xml" Id="R28fbdf41e5804c83" /><Relationship Type="http://schemas.openxmlformats.org/officeDocument/2006/relationships/worksheet" Target="/xl/worksheets/sheet5.xml" Id="R1f634dc3ff8e46b0" /></Relationships>
</file>

<file path=xl/tables/table1.xml><?xml version="1.0" encoding="utf-8"?>
<x:table xmlns:x="http://schemas.openxmlformats.org/spreadsheetml/2006/main" id="1" name="ChineseReviewDraftsTable" displayName="ChineseReviewDraftsTable" ref="A1:G151" headerRowCount="1" totalsRowCount="0" totalsRowShown="0">
  <x:tableColumns count="7">
    <x:tableColumn id="1" name="Global order"/>
    <x:tableColumn id="2" name="Draft ID"/>
    <x:tableColumn id="3" name="Scenario ID"/>
    <x:tableColumn id="4" name="Category"/>
    <x:tableColumn id="5" name="Expected minimum"/>
    <x:tableColumn id="6" name="Expected maximum"/>
    <x:tableColumn id="7" name="Complete draft text"/>
  </x:tableColumns>
  <x:tableStyleInfo name="TableStyleMedium2" showFirstColumn="0" showLastColumn="0" showRowStripes="1" showColumnStripes="0"/>
</x:table>
</file>

<file path=xl/tables/table2.xml><?xml version="1.0" encoding="utf-8"?>
<x:table xmlns:x="http://schemas.openxmlformats.org/spreadsheetml/2006/main" id="2" name="ChineseReviewResultsTable" displayName="ChineseReviewResultsTable" ref="A1:AJ151" headerRowCount="1" totalsRowCount="0" totalsRowShown="0">
  <x:tableColumns count="36">
    <x:tableColumn id="1" name="Global order"/>
    <x:tableColumn id="2" name="Draft ID"/>
    <x:tableColumn id="3" name="Scenario ID"/>
    <x:tableColumn id="4" name="Category"/>
    <x:tableColumn id="5" name="Expected minimum"/>
    <x:tableColumn id="6" name="Expected maximum"/>
    <x:tableColumn id="7" name="Repeat"/>
    <x:tableColumn id="8" name="Actual overall score"/>
    <x:tableColumn id="9" name="Factual completeness"/>
    <x:tableColumn id="10" name="Structure"/>
    <x:tableColumn id="11" name="Clarity"/>
    <x:tableColumn id="12" name="Language quality"/>
    <x:tableColumn id="13" name="Professionalism"/>
    <x:tableColumn id="14" name="Attribution"/>
    <x:tableColumn id="15" name="Weighted score"/>
    <x:tableColumn id="16" name="Applied score cap"/>
    <x:tableColumn id="17" name="In expected range"/>
    <x:tableColumn id="18" name="Distance from range"/>
    <x:tableColumn id="19" name="Distance below"/>
    <x:tableColumn id="20" name="Distance above"/>
    <x:tableColumn id="21" name="Predicted category"/>
    <x:tableColumn id="22" name="Category correct"/>
    <x:tableColumn id="23" name="Readiness band"/>
    <x:tableColumn id="24" name="Decision"/>
    <x:tableColumn id="25" name="Pass score"/>
    <x:tableColumn id="26" name="Test status"/>
    <x:tableColumn id="27" name="Error type"/>
    <x:tableColumn id="28" name="Error code"/>
    <x:tableColumn id="29" name="Error message"/>
    <x:tableColumn id="30" name="Retry count"/>
    <x:tableColumn id="31" name="Response time (ms)"/>
    <x:tableColumn id="32" name="Model name"/>
    <x:tableColumn id="33" name="Test timestamp"/>
    <x:tableColumn id="34" name="HTTP status"/>
    <x:tableColumn id="35" name="Draft SHA-256"/>
    <x:tableColumn id="36" name="Reviewer SHA-256"/>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278a9a73b724581" /></Relationships>
</file>

<file path=xl/worksheets/_rels/sheet2.xml.rels>&#65279;<?xml version="1.0" encoding="utf-8"?><Relationships xmlns="http://schemas.openxmlformats.org/package/2006/relationships"><Relationship Type="http://schemas.openxmlformats.org/officeDocument/2006/relationships/table" Target="/xl/tables/table2.xml" Id="R8773fc0f4b3540ef"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26" hidden="0" customWidth="1"/>
    <x:col min="3" max="3" width="12" hidden="0" customWidth="1"/>
    <x:col min="4" max="4" width="18" hidden="0" customWidth="1"/>
    <x:col min="5" max="5" width="14" hidden="0" customWidth="1"/>
    <x:col min="6" max="6" width="14" hidden="0" customWidth="1"/>
    <x:col min="7" max="7" width="92" hidden="0" customWidth="1"/>
  </x:cols>
  <x:sheetData>
    <x:row r="1">
      <x:c r="A1" s="9" t="str">
        <x:v>Global order</x:v>
      </x:c>
      <x:c r="B1" s="10" t="str">
        <x:v>Draft ID</x:v>
      </x:c>
      <x:c r="C1" s="10" t="str">
        <x:v>Scenario ID</x:v>
      </x:c>
      <x:c r="D1" s="10" t="str">
        <x:v>Category</x:v>
      </x:c>
      <x:c r="E1" s="10" t="str">
        <x:v>Expected minimum</x:v>
      </x:c>
      <x:c r="F1" s="10" t="str">
        <x:v>Expected maximum</x:v>
      </x:c>
      <x:c r="G1" s="11" t="str">
        <x:v>Complete draft text</x:v>
      </x:c>
    </x:row>
    <x:row r="2" ht="132" hidden="0" customHeight="1">
      <x:c r="A2" s="15" t="str">
        <x:v>001</x:v>
      </x:c>
      <x:c r="B2" s="12" t="str">
        <x:v>ZH-EXCELLENT-001</x:v>
      </x:c>
      <x:c r="C2" s="15" t="str">
        <x:v>001</x:v>
      </x:c>
      <x:c r="D2" s="12" t="str">
        <x:v>Excellent</x:v>
      </x:c>
      <x:c r="E2" s="16" t="n">
        <x:v>85</x:v>
      </x:c>
      <x:c r="F2" s="16" t="n">
        <x:v>100</x:v>
      </x:c>
      <x:c r="G2" s="14" t="str">
        <x:v>港灣包裝今日（9月8日）公布，將斥資6,800萬港元擴建荃灣柴灣角生產基地，以回應本地餐飲及外賣業對可回收食品包裝的需求。項目會把毗鄰一個18,000平方呎單位併入現有廠房，並增設兩條採用水性塗層技術的紙餐盒生產線。設備全面運作後，整體產能預計增加四成。
工程定於今年10月展開，明年3月試產，5月全面投產。公司表示，施工將分區進行，不會影響現有訂單及送貨安排。新生產線亦會裝設廢氣回收及用水循環系統，目標是把每件產品涉及的揮發性溶劑排放降低三成。
行政總裁梁卓謙表示，公司會優先向本地供應商採購設備和物料，未來12個月並會增聘65名技術、品質管理及物流人員。招聘日將於9月下旬在荃灣舉行，職位詳情會在官方網站公布。工程期間，公司亦會設立查詢熱線，供附近商戶及居民反映噪音、交通或其他施工問題。</x:v>
      </x:c>
    </x:row>
    <x:row r="3" ht="145.1999969482422" hidden="0" customHeight="1">
      <x:c r="A3" s="15" t="str">
        <x:v>002</x:v>
      </x:c>
      <x:c r="B3" s="12" t="str">
        <x:v>ZH-EXCELLENT-002</x:v>
      </x:c>
      <x:c r="C3" s="15" t="str">
        <x:v>002</x:v>
      </x:c>
      <x:c r="D3" s="12" t="str">
        <x:v>Excellent</x:v>
      </x:c>
      <x:c r="E3" s="16" t="n">
        <x:v>85</x:v>
      </x:c>
      <x:c r="F3" s="16" t="n">
        <x:v>100</x:v>
      </x:c>
      <x:c r="G3" s="14" t="str">
        <x:v>深水埗啟航書院與明途基金今日宣布，將於2026/27學年合辦「STEM同行助學計劃」，免費為區內120名基層家庭的中一至中三學生提供課後科學及科技培訓。明途基金撥款180萬港元，支付學費、教材、手提電腦借用及交通津貼，獲取錄學生毋須繳費。
課程由10月持續至翌年3月，為期24周，逢星期六在啟航書院上課。內容包括機械人設計、基礎編程、數據分析及解難訓練。學生會分組完成社區科技專題，並於明年4月的公開成果展介紹作品。校方將安排30名教師、工程師及大專生擔任導師，每組最多四名學生。
申請期由8月4日至22日。申請人須就讀深水埗區中學，獲學校或註冊社工推薦，並能證明有經濟需要。甄選以學習動機為主要考量，不會側重既有科技科成績。申請表可於啟航書院網站下載，亦可經參與學校遞交。校長周慧琳表示，計劃希望減少學生因器材及課程費用而錯失科技教育的機會。</x:v>
      </x:c>
    </x:row>
    <x:row r="4" ht="145.1999969482422" hidden="0" customHeight="1">
      <x:c r="A4" s="15" t="str">
        <x:v>003</x:v>
      </x:c>
      <x:c r="B4" s="12" t="str">
        <x:v>ZH-EXCELLENT-003</x:v>
      </x:c>
      <x:c r="C4" s="15" t="str">
        <x:v>003</x:v>
      </x:c>
      <x:c r="D4" s="12" t="str">
        <x:v>Excellent</x:v>
      </x:c>
      <x:c r="E4" s="16" t="n">
        <x:v>85</x:v>
      </x:c>
      <x:c r="F4" s="16" t="n">
        <x:v>100</x:v>
      </x:c>
      <x:c r="G4" s="14" t="str">
        <x:v>本地初創語港智能（LinguaDock）今日推出粵語人工智能客戶服務平台「粵聲通」，協助零售、餐飲及專業服務中小企處理電話和網上查詢。平台能辨識廣東話、英語及兩者夾雜的日常用語，並根據企業提供的產品資料建立回覆知識庫。遇上投訴、退款，或系統對答案信心不足時，對話和摘要會一併轉交真人員工跟進。
平台支援語音及文字渠道，管理介面可顯示輪候時間、常見問題及轉接原因。語港智能表示，平台早前在20間零售店及服務公司測試12個月，首輪查詢平均處理時間縮短32%，個案獲分派至正確部門的比率為91%。公司指出，數字來自參與企業的內部紀錄，不代表所有客戶都會取得相同成效。
服務月費由1,280港元起，按可同時處理的對話數目分級，企業可由10月10日起登記試用14日。客戶可選擇把資料儲存在香港區域雲端，並自行設定保存期限。企業資料未經同意不會用於訓練共用模型。公司將於9月28日舉行網上示範，介紹系統設定、人工接手流程及私隱管理。</x:v>
      </x:c>
    </x:row>
    <x:row r="5" ht="145.1999969482422" hidden="0" customHeight="1">
      <x:c r="A5" s="15" t="str">
        <x:v>004</x:v>
      </x:c>
      <x:c r="B5" s="12" t="str">
        <x:v>ZH-EXCELLENT-004</x:v>
      </x:c>
      <x:c r="C5" s="15" t="str">
        <x:v>004</x:v>
      </x:c>
      <x:c r="D5" s="12" t="str">
        <x:v>Excellent</x:v>
      </x:c>
      <x:c r="E5" s="16" t="n">
        <x:v>85</x:v>
      </x:c>
      <x:c r="F5" s="16" t="n">
        <x:v>100</x:v>
      </x:c>
      <x:c r="G5" s="14" t="str">
        <x:v>海景區文化協會將於11月14日至15日，在海景海濱長廊及毗鄰市民廣場舉辦首屆「海景週末文化墟」。活動每日由上午11時開放至晚上8時，免費入場，預計兩日錄得約12,000人次。主辦方期望透過表演、手作和飲食，展示區內不同年齡及文化背景居民的創作。
會場設80個攤位，售賣本地工藝、舊物修復品、少數族裔食品及青年創業產品。海濱舞台安排粵劇折子戲、學生樂隊及社區舞蹈演出，兒童亦可參加粵語故事劇場和再造物料工作坊。工作坊全部免費，部分場次須由10月26日起在活動網站預約。飲品攤位會使用可重用杯，每隻收取20元按金，交還後全數退回。
配合活動人流，廣場對出的海濱路將於兩日上午9時至晚上10時分段封閉。免費接駁車每20分鐘往返海景站A出口，兩個入口均設無障礙通道。若天文台在活動開始前兩小時發出八號烈風或暴風信號，當日節目會取消。遇上大雨，主要表演和已預約工作坊將移師海景社區會堂，最新安排會在官方社交專頁公布。</x:v>
      </x:c>
    </x:row>
    <x:row r="6" ht="145.1999969482422" hidden="0" customHeight="1">
      <x:c r="A6" s="15" t="str">
        <x:v>005</x:v>
      </x:c>
      <x:c r="B6" s="12" t="str">
        <x:v>ZH-EXCELLENT-005</x:v>
      </x:c>
      <x:c r="C6" s="15" t="str">
        <x:v>005</x:v>
      </x:c>
      <x:c r="D6" s="12" t="str">
        <x:v>Excellent</x:v>
      </x:c>
      <x:c r="E6" s="16" t="n">
        <x:v>85</x:v>
      </x:c>
      <x:c r="F6" s="16" t="n">
        <x:v>100</x:v>
      </x:c>
      <x:c r="G6" s="14" t="str">
        <x:v>綠峰專線小巴今日宣布，把88M號線「青嶺邨—泊岸站」的試辦期延長三個月至12月31日，原定結束日期為9月30日。營辦商表示，延長試辦有助收集非上班繁忙時段的乘客需求，以及新增站點的使用數據，再決定是否申請轉為恆常服務。全程車費6.5元，以及3元長者和學生優惠均維持不變。
路線由10月2日起增停青嶺市政大樓及東灣醫療中心。星期一至五上午7時至9時30分、下午5時至8時，班次會由每10分鐘一班加密至每8分鐘一班，其他時段維持約15分鐘一班。周末服務時間仍為上午8時至晚上10時，不會增加班次。修訂時間表及車站位置將於9月26日在站牌和營辦商網站公布。
88M自7月1日試辦以來，首11周錄得約36,000人次，平均載客率68%，以青嶺邨開出的早上班次使用率最高。綠峰會在車廂張貼二維碼收集意見，12月中再向地區交通諮詢小組提交客量、準點及投訴資料。營辦商提醒，新增站點或令全程行車時間增加約四分鐘，乘客宜預留時間。</x:v>
      </x:c>
    </x:row>
    <x:row r="7" ht="145.1999969482422" hidden="0" customHeight="1">
      <x:c r="A7" s="15" t="str">
        <x:v>006</x:v>
      </x:c>
      <x:c r="B7" s="12" t="str">
        <x:v>ZH-EXCELLENT-006</x:v>
      </x:c>
      <x:c r="C7" s="15" t="str">
        <x:v>006</x:v>
      </x:c>
      <x:c r="D7" s="12" t="str">
        <x:v>Excellent</x:v>
      </x:c>
      <x:c r="E7" s="16" t="n">
        <x:v>85</x:v>
      </x:c>
      <x:c r="F7" s="16" t="n">
        <x:v>100</x:v>
      </x:c>
      <x:c r="G7" s="14" t="str">
        <x:v>鮮港超市將於10月1日起，在全港12間分店試行可重用外賣餐盒按金計劃，首階段為期六個月。顧客購買熟食、沙律或即製麵食時，可繳付20元按金選用計劃餐盒。餐盒若在30日內交回任何參與分店，櫃位掃描盒身編碼後，按金會退回八達通或原有電子付款帳戶。交還前毋須徹底清洗，但須先倒去剩餘食物。
計劃由鮮港與本地循環餐具營運商「循環盒社」合作推行。回收餐盒會每日送往合資格中央清洗場，接受高溫清洗、消毒和檢查。破裂或不宜再用的餐盒將退出流通，交由物料回收商處理。顧客每次使用可重用餐盒，可即時獲得2元熟食優惠，按金本身不屬購物折扣。
12個試點分布於港島、九龍及新界，各區均有四間分店。完整名單及退還櫃位服務時間將於9月20日在鮮港網站和應用程式公布。公司目標是在半年內取代120,000個即棄餐盒，並把回收率提升至八成，每月會公開借出及歸還數字。試行結束後，公司將根據衞生檢查結果、顧客意見及周轉成本，決定是否擴展至其他分店。</x:v>
      </x:c>
    </x:row>
    <x:row r="8" ht="145.1999969482422" hidden="0" customHeight="1">
      <x:c r="A8" s="15" t="str">
        <x:v>007</x:v>
      </x:c>
      <x:c r="B8" s="12" t="str">
        <x:v>ZH-EXCELLENT-007</x:v>
      </x:c>
      <x:c r="C8" s="15" t="str">
        <x:v>007</x:v>
      </x:c>
      <x:c r="D8" s="12" t="str">
        <x:v>Excellent</x:v>
      </x:c>
      <x:c r="E8" s="16" t="n">
        <x:v>85</x:v>
      </x:c>
      <x:c r="F8" s="16" t="n">
        <x:v>100</x:v>
      </x:c>
      <x:c r="G8" s="14" t="str">
        <x:v>屯門卓峰工業園公布，將投資2,300萬港元，在園內八幢廠房天台安裝合共3,200塊太陽能板。系統總裝機容量達1.8兆瓦，預計每年發電約190萬度，可應付工業園公共照明、升降機及管理設施約六成用電。項目顧問估算，系統每年可減少約720公噸碳排放。
工程由日澄能源承建，11月起分四階段施工，預計明年5月完成接駁及測試，首批兩幢廠房則於明年1月開始供電。施工只在天台及指定機電房進行，租戶可照常營運。需要吊運設備的工序會安排在星期日早上，承建商須提前七日通知受影響租戶。
項目已完成結構負重、消防通道及反光影響評估。太陽能板之間保留最少1.2米維修通道，系統並設遙距監測及自動斷電裝置。電力會優先供園區共用設施使用，餘電按現行接駁安排輸入電網，所得收益撥作下一輪節能工程。卓峰會每季在租戶平台公布發電量、停機時間及減排估算方法，並於明年6月委託獨立工程師驗收。</x:v>
      </x:c>
    </x:row>
    <x:row r="9" ht="145.1999969482422" hidden="0" customHeight="1">
      <x:c r="A9" s="15" t="str">
        <x:v>008</x:v>
      </x:c>
      <x:c r="B9" s="12" t="str">
        <x:v>ZH-EXCELLENT-008</x:v>
      </x:c>
      <x:c r="C9" s="15" t="str">
        <x:v>008</x:v>
      </x:c>
      <x:c r="D9" s="12" t="str">
        <x:v>Excellent</x:v>
      </x:c>
      <x:c r="E9" s="16" t="n">
        <x:v>85</x:v>
      </x:c>
      <x:c r="F9" s="16" t="n">
        <x:v>100</x:v>
      </x:c>
      <x:c r="G9" s="14" t="str">
        <x:v>新界閱讀服務處將於9月7日推出「閱行新界」流動圖書服務，安排三輛電動閱覽車巡迴元朗、北區及大埔共18個地點，先試行六個月。各站每周停靠兩次，每次最少三小時，服務偏遠鄉郊居民、長者、兒童及不便前往固定圖書館的人士。完整時間表將於8月24日在服務處網站、區內學校及屋邨告示板公布。
每輛閱覽車備有約1,500冊中英文書籍，三車合共4,500冊，涵蓋兒童讀物、實用資訊、小說及大字版書籍。持有效會員證的市民可即場借還書籍、領取預約書及續借。未有會員證者可憑香港身份證明和住址資料免費登記。車上亦備有平板電腦，每站均有職員協助市民使用電子書及網上公共服務。
車輛配備輪椅升降台、低身服務桌及助聽系統。服務處目標在半年內接待25,000人次及借出40,000冊次，其後會按各站人流和借閱情況調整路線。八號烈風或暴風信號生效期間，服務將暫停。若黑色暴雨警告在出發前發出，當節班次亦會取消。臨時改動會在出車前至少一小時，經網站及電話錄音熱線公布。</x:v>
      </x:c>
    </x:row>
    <x:row r="10" ht="158.39999389648438" hidden="0" customHeight="1">
      <x:c r="A10" s="15" t="str">
        <x:v>009</x:v>
      </x:c>
      <x:c r="B10" s="12" t="str">
        <x:v>ZH-EXCELLENT-009</x:v>
      </x:c>
      <x:c r="C10" s="15" t="str">
        <x:v>009</x:v>
      </x:c>
      <x:c r="D10" s="12" t="str">
        <x:v>Excellent</x:v>
      </x:c>
      <x:c r="E10" s="16" t="n">
        <x:v>85</x:v>
      </x:c>
      <x:c r="F10" s="16" t="n">
        <x:v>100</x:v>
      </x:c>
      <x:c r="G10" s="14" t="str">
        <x:v>本地環境科技公司清感科技（AirSense）今日發布室內空氣質素感應器AirSense Mini，對象為家庭、小型辦公室及店舖。裝置每分鐘量度PM2.5、二氧化碳、總揮發性有機化合物、溫度和濕度，並以機身燈環顯示即時狀況。連接Wi-Fi後，用戶可透過手機應用程式查看趨勢、設定通風提示及匯出30日紀錄。公司強調，產品只提供環境數據，不能取代醫療或法定檢測。
產品建議零售價899港元，8月25日起接受預訂，9月15日在官方網店及15間指定零售點發售。家庭版的即時讀數、提示及30日儲存功能毋須月費。管理多個位置的商戶可另選每月98元分析服務，集中比較最多十部裝置及下載報表。裝置以USB-C供電，附兩年保養，年度校準可經應用程式預約，每次收費180元。
清感科技早前在50間餐廳和辦公室試用產品三個月，並按意見簡化提示設定及加入離線警報。帳戶資料與感應紀錄分開儲存，用戶可隨時刪除雲端數據，亦可選擇只在手機保留紀錄。公司將於9月首兩個周末在九龍灣體驗中心示範產品，預約詳情於8月25日公布。</x:v>
      </x:c>
    </x:row>
    <x:row r="11" ht="158.39999389648438" hidden="0" customHeight="1">
      <x:c r="A11" s="15" t="str">
        <x:v>010</x:v>
      </x:c>
      <x:c r="B11" s="12" t="str">
        <x:v>ZH-EXCELLENT-010</x:v>
      </x:c>
      <x:c r="C11" s="15" t="str">
        <x:v>010</x:v>
      </x:c>
      <x:c r="D11" s="12" t="str">
        <x:v>Excellent</x:v>
      </x:c>
      <x:c r="E11" s="16" t="n">
        <x:v>85</x:v>
      </x:c>
      <x:c r="F11" s="16" t="n">
        <x:v>100</x:v>
      </x:c>
      <x:c r="G11" s="14" t="str">
        <x:v>經緯物流（Meridian Logistics）今日宣布，葵青配送中心第二期擴建工程已經完成，新增120,000平方呎倉庫樓面，中心總面積增至420,000平方呎。新區將於10月2日投入營運，整體貨板儲存量可增加35%至58,000板位，主要服務電商、零售補貨及快速消費品客戶。項目投資額為1.6億港元，涵蓋建築改裝、自動分揀設備及倉庫管理系統。
新增分揀線每小時最高可處理9,000件包裹，系統會以條碼核對目的地和重量，異常件則轉送人工檢查區。現有客戶的庫存會在9月至11月分批遷入新區，搬運安排於非繁忙時段進行，服務毋須中斷。擴建亦增設110個倉務、系統維護、車隊調度及客戶服務職位，其中七成已完成招聘。
新區另預留25,000平方呎興建溫控倉，預計明年1月啟用，供需要攝氏2至8度儲存的貨物使用。這部分不包括在10月新增的常溫容量內。行政總裁何志朗表示，公司暫不因擴建調整基本倉租，個別客戶的收費仍按儲量和服務組合協議。經緯會在新區運作首季後公布準時出庫率、設備使用率及能源消耗，以評估擴建成效。</x:v>
      </x:c>
    </x:row>
    <x:row r="12" ht="145.1999969482422" hidden="0" customHeight="1">
      <x:c r="A12" s="15" t="str">
        <x:v>011</x:v>
      </x:c>
      <x:c r="B12" s="12" t="str">
        <x:v>ZH-EXCELLENT-011</x:v>
      </x:c>
      <x:c r="C12" s="15" t="str">
        <x:v>011</x:v>
      </x:c>
      <x:c r="D12" s="12" t="str">
        <x:v>Excellent</x:v>
      </x:c>
      <x:c r="E12" s="16" t="n">
        <x:v>85</x:v>
      </x:c>
      <x:c r="F12" s="16" t="n">
        <x:v>100</x:v>
      </x:c>
      <x:c r="G12" s="14" t="str">
        <x:v>聲橋社區協會將於2026年8月3日至11月28日推出「流動聽力站」，以隔音檢查車巡迴九龍東12個屋苑，免費為60歲或以上居民提供基礎聽力篩查。首站設於晴橋邨，各屋苑逢星期一、三及六上午10時至下午4時提供服務，每日30個名額。參加者可由7月20日起經網站或電話預約，剩餘名額接受即場登記。
每次檢查約25分鐘，由註冊聽力學家了解病歷及用藥情況，再進行耳道觀察和純音測試，並即場解釋結果。協會強調，篩查並非醫療診斷。若發現中度或以上聽力下降、耳痛或單側異常，團隊會在取得參加者同意後，轉介至合作診所跟進。
計劃獲明音基金撥款68萬元，另設兩場照顧者講座，並提供廣東話、英語及圖像版護耳資料。協會預計四個月內服務1,080人，並以不記名數據研究長者使用聽力服務的障礙。個人檢查結果只保存六個月。完整巡迴時間表及無障礙上車安排已載於協會網站。</x:v>
      </x:c>
    </x:row>
    <x:row r="13" ht="145.1999969482422" hidden="0" customHeight="1">
      <x:c r="A13" s="15" t="str">
        <x:v>012</x:v>
      </x:c>
      <x:c r="B13" s="12" t="str">
        <x:v>ZH-EXCELLENT-012</x:v>
      </x:c>
      <x:c r="C13" s="15" t="str">
        <x:v>012</x:v>
      </x:c>
      <x:c r="D13" s="12" t="str">
        <x:v>Excellent</x:v>
      </x:c>
      <x:c r="E13" s="16" t="n">
        <x:v>85</x:v>
      </x:c>
      <x:c r="F13" s="16" t="n">
        <x:v>100</x:v>
      </x:c>
      <x:c r="G13" s="14" t="str">
        <x:v>翠庭苑業主委員會公布，屋苑三座樓宇合共六部升降機，將於2026年8月10日至12月18日分階段更新，以改善設備老化及近年故障增加的情況。工程總值1,260萬元，由屋苑維修儲備支付，涵蓋更換曳引摩打、控制板、門感應器及緊急通訊系統，機廂亦會加裝節能照明及樓層語音提示。
承辦商每次只會停用同一座的一部升降機，另一部維持服務。一般施工時間為星期一至六上午9時至下午6時，鑽鑿等較嘈雜工序只在上午10時至下午5時進行。首階段由翠庭一座東面升降機開始，每部升降機預計停用約三星期，並須通過獨立安全檢驗才重開。
安居物業已聯絡登記使用輪椅或行動不便的住戶。工程期間，住戶可預約樓層陪同行動、電動上落樓梯機，以及藥物和基本日用品代送服務。工程進度會在大堂告示、屋苑應用程式及每周五更新的專頁公布，緊急需要可致電24小時服務熱線。項目已預留兩星期緩衝期，如測試或零件付運延誤，業主委員會會至少七日前通知受影響住戶。</x:v>
      </x:c>
    </x:row>
    <x:row r="14" ht="145.1999969482422" hidden="0" customHeight="1">
      <x:c r="A14" s="15" t="str">
        <x:v>013</x:v>
      </x:c>
      <x:c r="B14" s="12" t="str">
        <x:v>ZH-EXCELLENT-013</x:v>
      </x:c>
      <x:c r="C14" s="15" t="str">
        <x:v>013</x:v>
      </x:c>
      <x:c r="D14" s="12" t="str">
        <x:v>Excellent</x:v>
      </x:c>
      <x:c r="E14" s="16" t="n">
        <x:v>85</x:v>
      </x:c>
      <x:c r="F14" s="16" t="n">
        <x:v>100</x:v>
      </x:c>
      <x:c r="G14" s="14" t="str">
        <x:v>海織酒店宣布，由西九龍一幢1958年紡織貨倉活化而成的「織港館」，將於2026年9月15日開幕，8月1日起接受訂房。酒店以三年時間及1.8億元投資修復大樓，保留紅磚外牆、鋸齒形屋頂和原有貨運路軌，同時加固結構並增設無障礙通道。
新翼設48間客房、一個免費向公眾開放的小型紡織展廊，以及採用本地食材的餐廳。展廊首展包括72件由昔日工人及區內家庭借出的工具、布辦和口述歷史，全部已取得借用及展示授權。六名香港設計師和14個本地工藝單位亦參與項目，把回收木梭及舊廠窗框改造成房內家具。所有涉及逃生及承重的部件則採用新材料。
項目新增20個全職職位，並與城織學院合作，每月舉辦兩場廣東話導賞。酒店表示，工程已通過消防、樓宇及酒店牌照檢查。住客接送區設於貨倉道內側，旅遊巴須預約時段，以免增加附近交通負荷。9月15日至10月14日期間完成入住的客房，其收入5%會撥作展品保育及口述歷史整理，款項總額將於年底公布。</x:v>
      </x:c>
    </x:row>
    <x:row r="15" ht="145.1999969482422" hidden="0" customHeight="1">
      <x:c r="A15" s="15" t="str">
        <x:v>014</x:v>
      </x:c>
      <x:c r="B15" s="12" t="str">
        <x:v>ZH-EXCELLENT-014</x:v>
      </x:c>
      <x:c r="C15" s="15" t="str">
        <x:v>014</x:v>
      </x:c>
      <x:c r="D15" s="12" t="str">
        <x:v>Excellent</x:v>
      </x:c>
      <x:c r="E15" s="16" t="n">
        <x:v>85</x:v>
      </x:c>
      <x:c r="F15" s="16" t="n">
        <x:v>100</x:v>
      </x:c>
      <x:c r="G15" s="14" t="str">
        <x:v>浪升體育基金將於2026年10月3日至4日，在將軍澳啟航運動場舉辦首屆「浪升青年足球盃」，共有16支學校及社區U15隊伍參賽，涉及240名男女球員。首日舉行四組循環賽，次日進行八強至決賽。每隊可註冊15人，球員須於2011年1月1日或之後出生，並提交家長同意書及健康聲明。
報名期由7月20日至8月14日，參賽費全免。若申請超額，主辦方會按地區分布及隊伍男女比例甄選，結果於8月21日公布。兩日賽事均由上午9時舉行至下午6時，觀眾免費入場。場內設飲水站、急救室及兩個無障礙觀賽區。基金亦會在賽前為教練安排運動急救及公平競技工作坊，球證由新域足球裁判會派出。
冠軍隊可獲3萬元器材資助，款項須於半年內用於青少年訓練並提交單據。若天氣或場地狀況令賽事無法安全進行，整項賽事會順延至10月10日至11日，主辦方將於每日早上6時前經網站及短訊公布。基金表示，活動由海峰社區基金贊助，但贊助機構不會參與甄選或影響賽果。</x:v>
      </x:c>
    </x:row>
    <x:row r="16" ht="158.39999389648438" hidden="0" customHeight="1">
      <x:c r="A16" s="15" t="str">
        <x:v>015</x:v>
      </x:c>
      <x:c r="B16" s="12" t="str">
        <x:v>ZH-EXCELLENT-015</x:v>
      </x:c>
      <x:c r="C16" s="15" t="str">
        <x:v>015</x:v>
      </x:c>
      <x:c r="D16" s="12" t="str">
        <x:v>Excellent</x:v>
      </x:c>
      <x:c r="E16" s="16" t="n">
        <x:v>85</x:v>
      </x:c>
      <x:c r="F16" s="16" t="n">
        <x:v>100</x:v>
      </x:c>
      <x:c r="G16" s="14" t="str">
        <x:v>北角城市記憶館將於2026年8月20日推出免費網上平台「北角生活數碼檔案」，首階段公開8,400項1945年至2000年間的相片、街道圖、店舖單據、錄音及口述歷史。為期18個月的整理和數碼化工程獲遠帆文化基金撥款320萬元，另有420名居民及昔日商戶借出或捐贈資料。
平台提供繁體中文及英文介面，使用者可按年份、街道和主題搜尋。已取得授權的項目可下載高解像檔案作非商業用途，其餘項目受版權或受訪者私隱所限，只供網上瀏覽節錄。每項資料均由兩名研究員核對日期、人物及來源，尚未完全確認的內容會清楚標示。公眾亦可提交更正及補充證據，交由編輯小組每月審議。
平台啟用當日，記憶館會舉行兩場免費工作坊，分別於下午2時至3時15分，以及下午3時45分至5時進行，示範搜尋、保存家庭照片及錄製長者訪談。每場40人，8月1日起接受網上登記。捐贈者的電話及住址不會公開，原始授權書會與檔案分開加密保存。第二階段擬於2027年初加入戰後工業及渡海交通專題，上載數量會視權利核實進度公布。</x:v>
      </x:c>
    </x:row>
    <x:row r="17" ht="158.39999389648438" hidden="0" customHeight="1">
      <x:c r="A17" s="15" t="str">
        <x:v>016</x:v>
      </x:c>
      <x:c r="B17" s="12" t="str">
        <x:v>ZH-EXCELLENT-016</x:v>
      </x:c>
      <x:c r="C17" s="15" t="str">
        <x:v>016</x:v>
      </x:c>
      <x:c r="D17" s="12" t="str">
        <x:v>Excellent</x:v>
      </x:c>
      <x:c r="E17" s="16" t="n">
        <x:v>85</x:v>
      </x:c>
      <x:c r="F17" s="16" t="n">
        <x:v>100</x:v>
      </x:c>
      <x:c r="G17" s="14" t="str">
        <x:v>本地連鎖店金穗烘焙宣布，由2026年9月1日起在全線18間分店實施新的致敏原標示制度，涵蓋120款現製及預先包裝麵包、蛋糕和小食。包裝及貨架牌會以圖示標明含麩質穀物、奶、蛋、花生、木本堅果、大豆、芝麻或亞硫酸鹽八類成分，旁邊的二維碼則連接完整配料、配方更新日期及常見問題。
制度經過九個月盤點及測試，並由獨立食物安全顧問覆核。中央工場和分店共286名員工須在8月底前完成配料核對、器具分隔及顧客查詢培訓。金穗指出，大部分產品在共用工場和焗爐製作，即使配方沒有加入某種致敏原，製作過程仍可能接觸微量成分。因此，相關貨架會展示「共用生產環境」提示，產品不會宣稱完全不含致敏原。嚴重過敏顧客應先向值班主管查詢，並按個人醫療建議決定是否購買。
配方若有改動，電子資料會即日更新，實體標籤最遲在下一批產品更換，舊包裝則須加貼修訂標籤後才可出售。公司設三個月過渡監察期，每周抽查標示。顧客亦可透過收據上的專線報告錯漏，經核實有問題的產品會即時停售及更正。</x:v>
      </x:c>
    </x:row>
    <x:row r="18" ht="145.1999969482422" hidden="0" customHeight="1">
      <x:c r="A18" s="15" t="str">
        <x:v>017</x:v>
      </x:c>
      <x:c r="B18" s="12" t="str">
        <x:v>ZH-EXCELLENT-017</x:v>
      </x:c>
      <x:c r="C18" s="15" t="str">
        <x:v>017</x:v>
      </x:c>
      <x:c r="D18" s="12" t="str">
        <x:v>Excellent</x:v>
      </x:c>
      <x:c r="E18" s="16" t="n">
        <x:v>85</x:v>
      </x:c>
      <x:c r="F18" s="16" t="n">
        <x:v>100</x:v>
      </x:c>
      <x:c r="G18" s="14" t="str">
        <x:v>同心信貸合作社與東岸商戶聯盟將於2026年8月26日下午2時至5時30分，在觀塘創業匯中心合辦免費小企業現金流工作坊，協助僱員不多於20人的本地商戶及早識別短期資金缺口。工作坊以廣東話進行，設80個名額，由註冊會計師林佩珊及合作社風險管理主管周永康主講。
課程內容包括編製13星期滾動現金流預測、縮短收款周期、比較貸款實際成本，以及識別偽冒付款通知和更改供應商戶口等詐騙手法。參加者會使用虛構零售店個案練習，毋須提交公司銀行結單、客戶名單或營業數據。場地設輪椅通道及即時文字字幕，有需要人士應在報名時註明。
報名期由7月22日至8月19日。如申請超額，主辦方會優先取錄20人以下企業，每間企業最多兩人，結果於8月21日以電郵通知。主辦方強調，活動不會現場推銷貸款，講者只會以統一例子說明融資費用，亦不會按出席者資料進行信貸評估。講義及試算表會在活動後七日內免費上載，未獲名額者亦可下載，查詢可聯絡東岸商戶聯盟秘書處。</x:v>
      </x:c>
    </x:row>
    <x:row r="19" ht="132" hidden="0" customHeight="1">
      <x:c r="A19" s="15" t="str">
        <x:v>018</x:v>
      </x:c>
      <x:c r="B19" s="12" t="str">
        <x:v>ZH-EXCELLENT-018</x:v>
      </x:c>
      <x:c r="C19" s="15" t="str">
        <x:v>018</x:v>
      </x:c>
      <x:c r="D19" s="12" t="str">
        <x:v>Excellent</x:v>
      </x:c>
      <x:c r="E19" s="16" t="n">
        <x:v>85</x:v>
      </x:c>
      <x:c r="F19" s="16" t="n">
        <x:v>100</x:v>
      </x:c>
      <x:c r="G19" s="14" t="str">
        <x:v>城南工程處將於2026年8月17日至11月6日，為連接河畔道及港盛商場的河閘行人天橋進行保養，工程費用840萬元。項目包括重鋪橋面防水層、更換伸縮接縫、翻新鋼架防銹塗層，以及把原有燈具更換為LED照明。
承辦商會分段圍封施工，上午5時至晚上11時保留最少1.5米闊通道。每逢星期一至四晚上11時至翌晨5時，天橋會全段關閉，以便搬運大型物料。另有兩次周末全日封橋，日期分別為9月12至13日及10月17至18日。封閉期間，行人可改用河畔道地面燈號過路處，路程增加約280米。替代路線全程設下斜路緣，輪椅及嬰兒車均可使用。
工程處會在天橋兩端、巴士站及商場入口設方向牌，繁忙時間另派人員協助。嘈雜工序不得在凌晨1時後進行，承辦商亦須使用隔音屏並每日清走碎料。若八號或以上熱帶氣旋警告、黑色暴雨警告或安全檢測影響進度，封橋日期或會改動，當局將至少48小時前在現場及網站公布。緊急改動則會透過商場廣播及區內短訊平台通知。</x:v>
      </x:c>
    </x:row>
    <x:row r="20" ht="145.1999969482422" hidden="0" customHeight="1">
      <x:c r="A20" s="15" t="str">
        <x:v>019</x:v>
      </x:c>
      <x:c r="B20" s="12" t="str">
        <x:v>ZH-EXCELLENT-019</x:v>
      </x:c>
      <x:c r="C20" s="15" t="str">
        <x:v>019</x:v>
      </x:c>
      <x:c r="D20" s="12" t="str">
        <x:v>Excellent</x:v>
      </x:c>
      <x:c r="E20" s="16" t="n">
        <x:v>85</x:v>
      </x:c>
      <x:c r="F20" s="16" t="n">
        <x:v>100</x:v>
      </x:c>
      <x:c r="G20" s="14" t="str">
        <x:v>民生設施署將於2026年9月7日至2027年2月28日，在和景街市試行「市集通」免費公共Wi-Fi，供檔戶、顧客及熟食中心使用者連接網絡。署方在濕貨區、熟食中心及公共座位安裝36個接達點。每部裝置每次可連線60分鐘，限時後可重新連接，不設每日次數上限。為兼顧多人使用，每部裝置的下載速度上限為20Mbps。
使用者只須選擇MarketLink-Free並同意服務條款，毋須提供姓名、電話或電郵。系統會為保安及故障調查記錄裝置技術識別碼、連線時間及流量，不會保存瀏覽內容。資料經加密後保存，30日後自動刪除。網絡不展示商業廣告，但會阻擋已知惡意網站。涉及付款、醫療或其他敏感資料時，署方仍建議使用可信任的私人網絡。
試驗獲智慧社區基金撥款190萬元，涵蓋安裝、六個月維護及獨立網絡安全檢查。計劃首兩周逢星期一和三上午10時至下午1時設數碼支援站，協助長者連線。署方會根據覆蓋率、繁忙時段速度、用戶問卷及事故數目評估成效，再決定是否延續服務。技術問題可向街市服務處報告。</x:v>
      </x:c>
    </x:row>
    <x:row r="21" ht="158.39999389648438" hidden="0" customHeight="1">
      <x:c r="A21" s="15" t="str">
        <x:v>020</x:v>
      </x:c>
      <x:c r="B21" s="12" t="str">
        <x:v>ZH-EXCELLENT-020</x:v>
      </x:c>
      <x:c r="C21" s="15" t="str">
        <x:v>020</x:v>
      </x:c>
      <x:c r="D21" s="12" t="str">
        <x:v>Excellent</x:v>
      </x:c>
      <x:c r="E21" s="16" t="n">
        <x:v>85</x:v>
      </x:c>
      <x:c r="F21" s="16" t="n">
        <x:v>100</x:v>
      </x:c>
      <x:c r="G21" s="14" t="str">
        <x:v>電灣能源宣布，位於東臨工業區的VoltBay電動車充電樞紐將於2026年10月12日啟用，場站每日24小時開放。場內設24個充電車位，包括16個最高輸出120kW的直流快充位，以及8個22kW交流充電位。其中兩個車位加闊，並配置低位操作屏，方便輪椅使用者。
直流和交流充電每度電分別收費3.2元及2.4元。充電完成後設15分鐘寬限期，其後每分鐘收取1元佔位費。應用程式會在充電完成前10分鐘及完成時提示用戶。駕駛者可透過VoltBay應用程式預約最長30分鐘的到場時段，亦可即場使用感應式信用卡付款，毋須登記成為會員。
項目投資4,800萬元，車棚設有180塊太陽能板，按設計估算可供應場站全年約12%用電，其餘由公共電網提供。場內電池系統用於繁忙時間調節負荷，不是停電時的全面後備。職員每日由上午7時至晚上11時當值，其餘時段可經對講機聯絡24小時支援中心。開幕首七日充電費八折，佔位費不設折扣。公司表示，設備已完成負載及消防測試，日後會每月在網站公布可用率和故障處理時間。</x:v>
      </x:c>
    </x:row>
    <x:row r="22" ht="132" hidden="0" customHeight="1">
      <x:c r="A22" s="15" t="str">
        <x:v>021</x:v>
      </x:c>
      <x:c r="B22" s="12" t="str">
        <x:v>ZH-EXCELLENT-021</x:v>
      </x:c>
      <x:c r="C22" s="15" t="str">
        <x:v>021</x:v>
      </x:c>
      <x:c r="D22" s="12" t="str">
        <x:v>Excellent</x:v>
      </x:c>
      <x:c r="E22" s="16" t="n">
        <x:v>85</x:v>
      </x:c>
      <x:c r="F22" s="16" t="n">
        <x:v>100</x:v>
      </x:c>
      <x:c r="G22" s="14" t="str">
        <x:v>東港大學城市氣候研究中心今日（2026年7月20日）公布一項為期一年的城市熱島研究。團隊由2025年5月至2026年4月，在港灣東、北嶺、河畔、新橋、海榮及青嶼六區設置120個溫濕度感應器，並配合流動測量車和衛星影像，分析不同時段的地面及街道氣溫。
研究發現，下午3時至5時最為炎熱。樓宇密集而樹蔭不足的商業地段，平均氣溫較海旁及綠化地帶高2.8攝氏度，個別沒有遮蔭的路口差距達4.1度。中心建議優先在巴士站及長者設施附近增設樹蔭和飲水點，並在公營建築試用淺色隔熱屋頂。
校方已把匿名化數據及研究方法上載至公開平台，供社區團體及規劃人員下載。研究中心亦會在8月至10月與六區居民舉行諮詢會，評估首批改善地點。項目由大學可持續城市基金資助，完整報告已通過校外同行審閱。</x:v>
      </x:c>
    </x:row>
    <x:row r="23" ht="132" hidden="0" customHeight="1">
      <x:c r="A23" s="15" t="str">
        <x:v>022</x:v>
      </x:c>
      <x:c r="B23" s="12" t="str">
        <x:v>ZH-EXCELLENT-022</x:v>
      </x:c>
      <x:c r="C23" s="15" t="str">
        <x:v>022</x:v>
      </x:c>
      <x:c r="D23" s="12" t="str">
        <x:v>Excellent</x:v>
      </x:c>
      <x:c r="E23" s="16" t="n">
        <x:v>85</x:v>
      </x:c>
      <x:c r="F23" s="16" t="n">
        <x:v>100</x:v>
      </x:c>
      <x:c r="G23" s="14" t="str">
        <x:v>安步社區服務社與城安消防協會今日（2026年7月16日）在青嶺邨宣布，推出「家居防火同行」教育計劃。兩個機構將於8月至12月在20個公共屋邨舉行60場免費工作坊，預計服務3,000個家庭。
工作坊內容包括濃煙下逃生、火警鐘及滅火氈使用、鋰電池充電風險，以及協助長者和行動不便人士制定撤離安排。每場由註冊消防工程人員及受訓社工帶領，參加者可即場演練，並獲發中、英文及尼泊爾文家居檢查表。主辦機構亦會為300戶獨居長者提供預約上門風險評估，但有關服務不會取代法定消防檢查。
首批工作坊由7月22日起接受網上及電話報名，居民可致電3108 6620查詢。計劃獲安居社區基金撥款180萬元，成效會按參加者的演練表現及三個月後的家居改善情況評估，總結報告預定明年2月公開。</x:v>
      </x:c>
    </x:row>
    <x:row r="24" ht="118.80000305175781" hidden="0" customHeight="1">
      <x:c r="A24" s="15" t="str">
        <x:v>023</x:v>
      </x:c>
      <x:c r="B24" s="12" t="str">
        <x:v>ZH-EXCELLENT-023</x:v>
      </x:c>
      <x:c r="C24" s="15" t="str">
        <x:v>023</x:v>
      </x:c>
      <x:c r="D24" s="12" t="str">
        <x:v>Excellent</x:v>
      </x:c>
      <x:c r="E24" s="16" t="n">
        <x:v>85</x:v>
      </x:c>
      <x:c r="F24" s="16" t="n">
        <x:v>100</x:v>
      </x:c>
      <x:c r="G24" s="14" t="str">
        <x:v>環織資源有限公司今日（2026年7月24日）宣布，8月1日起在本港建立紡織品收集及再造網絡。首階段會在8個商場及12個屋苑設置共40個密封回收箱，接收已清潔和乾爽的衣物、床單、毛巾及布袋。鞋履、濕衣、地氈及受化學品污染的布料不獲接收。
每個回收箱附有二維碼，供使用者查閱收運日期及批次去向。物料會每周運往新田工業區分揀中心，狀況良好的衣物交由三間社福機構重用，破損布料則按棉、聚酯纖維及混紡成分分類，再製成隔音棉或再生紗。
公司投資2,400萬元建立網絡，目標首年回收300公噸紡織品。合作物業不會向居民收費。公司承諾每季公布收集量、重用比例、再造比例及棄置量，並由獨立審核機構核對。回收地點和接收守則已上載至官方網站。</x:v>
      </x:c>
    </x:row>
    <x:row r="25" ht="118.80000305175781" hidden="0" customHeight="1">
      <x:c r="A25" s="15" t="str">
        <x:v>024</x:v>
      </x:c>
      <x:c r="B25" s="12" t="str">
        <x:v>ZH-EXCELLENT-024</x:v>
      </x:c>
      <x:c r="C25" s="15" t="str">
        <x:v>024</x:v>
      </x:c>
      <x:c r="D25" s="12" t="str">
        <x:v>Excellent</x:v>
      </x:c>
      <x:c r="E25" s="16" t="n">
        <x:v>85</x:v>
      </x:c>
      <x:c r="F25" s="16" t="n">
        <x:v>100</x:v>
      </x:c>
      <x:c r="G25" s="14" t="str">
        <x:v>匠途協會今日（2026年7月28日）聯同18間本地中小企，推出為期12個月的「手藝承傳學徒計劃」，為18至30歲青年提供60個有津貼學徒名額。培訓涵蓋木工、金工、霓虹招牌修復及舞台道具製作四個範疇，10月6日開課。
學員每月可獲15,000元培訓津貼，七成時間在配對企業接受實務訓練，其餘時間由職業培訓導師教授安全、繪圖、物料管理及報價知識。每名學員均由一名合資格師傅及一名就業顧問跟進。完成1,400小時訓練和作品評核後，學員可獲業界認可證書。合作企業亦承諾為表現合格者提供至少一次正式職位面試。
申請期為8月1日至15日，申請人毋須具備相關學歷或經驗，入圍者須參加能力體驗及面談。計劃獲創藝人才基金撥款1,080萬元，參與企業另行承擔工具和保險費用。協會將於計劃結束後公布留任率及學員去向。</x:v>
      </x:c>
    </x:row>
    <x:row r="26" ht="132" hidden="0" customHeight="1">
      <x:c r="A26" s="15" t="str">
        <x:v>025</x:v>
      </x:c>
      <x:c r="B26" s="12" t="str">
        <x:v>ZH-EXCELLENT-025</x:v>
      </x:c>
      <x:c r="C26" s="15" t="str">
        <x:v>025</x:v>
      </x:c>
      <x:c r="D26" s="12" t="str">
        <x:v>Excellent</x:v>
      </x:c>
      <x:c r="E26" s="16" t="n">
        <x:v>85</x:v>
      </x:c>
      <x:c r="F26" s="16" t="n">
        <x:v>100</x:v>
      </x:c>
      <x:c r="G26" s="14" t="str">
        <x:v>網上零售平台迅達購今日（2026年7月30日）宣布，8月5日起把即日送貨服務由六個配送區擴展至十個，新增北嶺、河畔、新橋及海榮，覆蓋範圍內約42萬個住宅和商業地址。
顧客在當日下午2時前完成付款，可選擇晚上6時至10時收貨。每張訂單運費38元，購物滿500元免運費。首階段約12,000款標有「即日達」的商品適用，冷藏食品、大型傢俬、預訂貨品及第三方跨境商品不包括在內。顧客可在結帳頁輸入地址確認服務資格，並追蹤訂單。
為擴展服務，迅達購在三區增設微型配送站，並添置24輛電動貨車，預計每日最高可處理6,500張即日訂單。遇上八號或以上熱帶氣旋警告、黑色暴雨警告或道路封閉，平台會暫停相關時段，顧客可改期或獲全數退回運費。公司會在服務運作三個月後公布準時率及投訴數據。</x:v>
      </x:c>
    </x:row>
    <x:row r="27" ht="132" hidden="0" customHeight="1">
      <x:c r="A27" s="15" t="str">
        <x:v>026</x:v>
      </x:c>
      <x:c r="B27" s="12" t="str">
        <x:v>ZH-EXCELLENT-026</x:v>
      </x:c>
      <x:c r="C27" s="15" t="str">
        <x:v>026</x:v>
      </x:c>
      <x:c r="D27" s="12" t="str">
        <x:v>Excellent</x:v>
      </x:c>
      <x:c r="E27" s="16" t="n">
        <x:v>85</x:v>
      </x:c>
      <x:c r="F27" s="16" t="n">
        <x:v>100</x:v>
      </x:c>
      <x:c r="G27" s="14" t="str">
        <x:v>銀匙社企與樂齡同行基金今日（2026年8月3日）公布長者膳食配送合作計劃。計劃於9月1日至明年2月28日在港灣東、北嶺、河畔及新橋四區試行，為500名經評估屬低收入，並屬獨居或雙老家庭的65歲以上居民，每周提供五份午餐。
餐膳由12間持牌社區餐廳按註冊營養師設計的四周循環餐單烹調，設普通、軟餐及糖尿病友善三種選擇。每份餐膳經基金補貼後收費10元，送餐及保溫不另收費。受訓配送員逢星期一至五上午11時至下午1時上門。若長者連續兩次未有應門，團隊會按事先同意的程序聯絡照顧者或社工。
申請人須由社福機構、醫療人員或屋邨辦事處轉介，8月10日起可登記。基金為半年試點投入420萬元，支付餐費、配送、營養評估及保險。兩個機構會以送達率、膳食滿意度和營養風險變化評估成效，結果預定明年4月公布。</x:v>
      </x:c>
    </x:row>
    <x:row r="28" ht="132" hidden="0" customHeight="1">
      <x:c r="A28" s="15" t="str">
        <x:v>027</x:v>
      </x:c>
      <x:c r="B28" s="12" t="str">
        <x:v>ZH-EXCELLENT-027</x:v>
      </x:c>
      <x:c r="C28" s="15" t="str">
        <x:v>027</x:v>
      </x:c>
      <x:c r="D28" s="12" t="str">
        <x:v>Excellent</x:v>
      </x:c>
      <x:c r="E28" s="16" t="n">
        <x:v>85</x:v>
      </x:c>
      <x:c r="F28" s="16" t="n">
        <x:v>100</x:v>
      </x:c>
      <x:c r="G28" s="14" t="str">
        <x:v>星灣文化事務處今日（2026年8月6日）公布「極光海濱光影匯」，活動將於8月21日至9月6日，連續三個周末逢星期五至日，在星灣海濱長廊免費上演。每晚7時30分及8時30分各有一場18分鐘節目，以建築投影、低空激光和音樂呈現港口由漁業、造船到綠色航運的虛構故事，並展出八組本地藝術家與學生合製的燈光裝置。
活動毋須預約，每場可容納4,000人，額滿後暫停進場。主辦方建議觀眾使用港鐵星灣站D出口，附近不設活動專用泊車位。活動日下午5時至晚上10時，海濱東段會實施單向步行，單車徑暫停開放。所有激光均按安全標準避開民居、道路和航道。
若天文台在下午5時仍發出三號或以上熱帶氣旋警告、紅色或黑色暴雨警告，當晚節目取消。每逢星期六首場設粵語口述影像，無障礙觀賞區可於活動前七日登記。</x:v>
      </x:c>
    </x:row>
    <x:row r="29" ht="118.80000305175781" hidden="0" customHeight="1">
      <x:c r="A29" s="15" t="str">
        <x:v>028</x:v>
      </x:c>
      <x:c r="B29" s="12" t="str">
        <x:v>ZH-EXCELLENT-028</x:v>
      </x:c>
      <x:c r="C29" s="15" t="str">
        <x:v>028</x:v>
      </x:c>
      <x:c r="D29" s="12" t="str">
        <x:v>Excellent</x:v>
      </x:c>
      <x:c r="E29" s="16" t="n">
        <x:v>85</x:v>
      </x:c>
      <x:c r="F29" s="16" t="n">
        <x:v>100</x:v>
      </x:c>
      <x:c r="G29" s="14" t="str">
        <x:v>智能裝置生產商新域製造今日（2026年7月20日）宣布，在宏橋工業園建立自動化機械人生產線。項目總投資1.2億元，預計11月完成驗收並投入商業生產，主要生產家居能源感應器。
新線設38台協作及檢測機械人，負責電路板裝嵌、外殼鎖固、視覺檢測和包裝。公司估計，生產線全面運作後，每月產能可由25萬件增至40萬件，增幅六成。產品瑕疵率亦可由1.7%降至約1.1%，即減少約35%。
廠內140名現職員工會分批接受至少80小時的程式設定、保養及安全培訓。公司承諾不會因這次自動化計劃裁員，部分重複工序職位會轉為設備監控及品質分析。新線七成電力將由園區認證的可再生能源供應，實際能源及產能數據會在運作六個月後公布。投資由公司儲備及綠色設備貸款各佔一半，首批產品預定12月付運。</x:v>
      </x:c>
    </x:row>
    <x:row r="30" ht="132" hidden="0" customHeight="1">
      <x:c r="A30" s="15" t="str">
        <x:v>029</x:v>
      </x:c>
      <x:c r="B30" s="12" t="str">
        <x:v>ZH-EXCELLENT-029</x:v>
      </x:c>
      <x:c r="C30" s="15" t="str">
        <x:v>029</x:v>
      </x:c>
      <x:c r="D30" s="12" t="str">
        <x:v>Excellent</x:v>
      </x:c>
      <x:c r="E30" s="16" t="n">
        <x:v>85</x:v>
      </x:c>
      <x:c r="F30" s="16" t="n">
        <x:v>100</x:v>
      </x:c>
      <x:c r="G30" s="14" t="str">
        <x:v>守線科技協會今日（2026年7月27日）宣布，由8月1日起營運中小企網絡事故支援熱線3188 7711，全年無休、每日24小時為本港僱用少於100人的企業提供初步應變協助。
服務涵蓋勒索軟件、釣魚電郵、帳戶被盜及懷疑資料外洩。12名輪班事故分析員會先協助企業隔離受影響裝置、保存紀錄、重設存取權限及評估通報需要。每宗個案首兩小時的遙距分流和指引免費。若需到場鑑證、系統復修或法律意見，職員須先提供書面服務範圍及報價，由企業自行決定是否購買。求助者亦可透過協會網站提交加密表格，涉及緊急人身風險仍應致電999。
協會只會在企業同意或法律規定下，向警方及監管機構披露資料。個案紀錄會在結案90日後刪除，匿名統計則用於季度威脅報告。熱線獲商業數碼韌性基金資助兩年，首季目標處理600宗查詢，服務成效及收費個案比例會公開。</x:v>
      </x:c>
    </x:row>
    <x:row r="31" ht="132" hidden="0" customHeight="1">
      <x:c r="A31" s="15" t="str">
        <x:v>030</x:v>
      </x:c>
      <x:c r="B31" s="12" t="str">
        <x:v>ZH-EXCELLENT-030</x:v>
      </x:c>
      <x:c r="C31" s="15" t="str">
        <x:v>030</x:v>
      </x:c>
      <x:c r="D31" s="12" t="str">
        <x:v>Excellent</x:v>
      </x:c>
      <x:c r="E31" s="16" t="n">
        <x:v>85</x:v>
      </x:c>
      <x:c r="F31" s="16" t="n">
        <x:v>100</x:v>
      </x:c>
      <x:c r="G31" s="14" t="str">
        <x:v>善港基金今日（2026年7月18日）公布6月12日水災援助基金首份收支報告。截至7月15日，基金共收到2,860萬元捐款，已撥付2,140萬元，餘下720萬元將用於第二階段家居及小商戶復修補助，申請期至8月31日。
已撥款項中，1,200萬元以每戶1萬元緊急現金形式，發放予港灣東、河畔及新橋共1,200個受影響家庭。另有650萬元用於維修13間社區中心、幼兒設施及長者服務站，240萬元支付清潔用品、臨時床具和運輸，50萬元用於付款平台、個案核實及核數等行政開支，佔總捐款1.75%。
獨立核數師啟衡會計師事務所已核對銀行紀錄、受助名單及抽樣單據，未發現未經授權支出。公開帳目為保障私隱不列受助者姓名，但網站設有按地區、用途及日期分類的交易總表。基金承諾每季更新帳目，下一份經審閱報告於9月30日發布。計劃明年3月結束後，未使用款項會按捐款條款轉撥同類災害援助。</x:v>
      </x:c>
    </x:row>
    <x:row r="32" ht="105.5999984741211" hidden="0" customHeight="1">
      <x:c r="A32" s="15" t="str">
        <x:v>031</x:v>
      </x:c>
      <x:c r="B32" s="12" t="str">
        <x:v>ZH-GOOD-001</x:v>
      </x:c>
      <x:c r="C32" s="15" t="str">
        <x:v>001</x:v>
      </x:c>
      <x:c r="D32" s="12" t="str">
        <x:v>Good</x:v>
      </x:c>
      <x:c r="E32" s="16" t="n">
        <x:v>70</x:v>
      </x:c>
      <x:c r="F32" s="16" t="n">
        <x:v>84</x:v>
      </x:c>
      <x:c r="G32" s="14" t="str">
        <x:v>港灣包裝宣布投資6,800萬港元，擴建荃灣柴灣角食品包裝廠，以回應餐飲及外賣市場對可回收包裝的需求。計劃將增加18,000平方呎生產空間，並增設兩條採用水性塗層的紙餐盒生產線，預計全廠產能可提升約四成。
工程10月展開，明年3月試產，5月全面運作。公司表示，施工會分階段進行，現有客戶的供貨不會受到明顯影響。新設備亦設廢氣回收及循環用水裝置，目標把溶劑排放減少三成。
行政總裁梁卓謙表示，擴建同時會增加本地就業。公司預計一年內增聘65名技術、品質管理及物流人員，並於9月底舉行招聘活動。工程期間亦會提供查詢渠道，處理附近商戶的意見，活動地點及熱線詳情稍後公布。</x:v>
      </x:c>
    </x:row>
    <x:row r="33" ht="105.5999984741211" hidden="0" customHeight="1">
      <x:c r="A33" s="15" t="str">
        <x:v>032</x:v>
      </x:c>
      <x:c r="B33" s="12" t="str">
        <x:v>ZH-GOOD-002</x:v>
      </x:c>
      <x:c r="C33" s="15" t="str">
        <x:v>002</x:v>
      </x:c>
      <x:c r="D33" s="12" t="str">
        <x:v>Good</x:v>
      </x:c>
      <x:c r="E33" s="16" t="n">
        <x:v>70</x:v>
      </x:c>
      <x:c r="F33" s="16" t="n">
        <x:v>84</x:v>
      </x:c>
      <x:c r="G33" s="14" t="str">
        <x:v>啟航書院與明途基金將於新學年合辦課後STEM助學計劃，為深水埗區中一至中三學生提供120個名額。基金投入180萬元，支付課堂、教材、電腦借用及部分交通開支，參加者毋須另繳學費。
計劃10月開始，為期24周，主要於星期六上課。學生會學習機械人、編程、數據分析及解難方法，並製作與社區有關的科技項目，作品預計明年4月公開展出。校方安排30名教師、工程師及大專生協助，每組約四名學生。
申請期由8月4日至22日。學生須獲學校或社工推薦，並提交家庭經濟需要資料。甄選會重視學習動機，不會只看科技科目成績。表格可於學校網站下載或交往參與學校，交通津貼發放方法及成果展地點仍待確認。</x:v>
      </x:c>
    </x:row>
    <x:row r="34" ht="118.80000305175781" hidden="0" customHeight="1">
      <x:c r="A34" s="15" t="str">
        <x:v>033</x:v>
      </x:c>
      <x:c r="B34" s="12" t="str">
        <x:v>ZH-GOOD-003</x:v>
      </x:c>
      <x:c r="C34" s="15" t="str">
        <x:v>003</x:v>
      </x:c>
      <x:c r="D34" s="12" t="str">
        <x:v>Good</x:v>
      </x:c>
      <x:c r="E34" s="16" t="n">
        <x:v>70</x:v>
      </x:c>
      <x:c r="F34" s="16" t="n">
        <x:v>84</x:v>
      </x:c>
      <x:c r="G34" s="14" t="str">
        <x:v>語港智能（LinguaDock）推出人工智能客戶服務工具「粵聲通」，主要供香港零售、餐飲及服務業中小企使用。平台可處理廣東話、英語及中英夾雜的電話和文字查詢，企業亦可上載產品資料建立答案。遇上退款、投訴等較複雜個案時，系統會把對話轉交真人員工。
後台報表會顯示等候時間、熱門問題及轉接個案。公司表示，平台過去12個月在20間企業試用，平均處理時間縮短32%，分派正確率達91%。不過，有關結果來自測試企業，實際表現仍取決於資料完整程度及使用情況。
服務月費由1,280元起，10月10日開放登記，並提供14日試用。用戶可選擇把資料儲存在香港區域雲端及設定保留期，公司稱未經同意不會把企業內容用於訓練共用模型。9月底將舉行網上介紹會，參加連結稍後公布。</x:v>
      </x:c>
    </x:row>
    <x:row r="35" ht="118.80000305175781" hidden="0" customHeight="1">
      <x:c r="A35" s="15" t="str">
        <x:v>034</x:v>
      </x:c>
      <x:c r="B35" s="12" t="str">
        <x:v>ZH-GOOD-004</x:v>
      </x:c>
      <x:c r="C35" s="15" t="str">
        <x:v>004</x:v>
      </x:c>
      <x:c r="D35" s="12" t="str">
        <x:v>Good</x:v>
      </x:c>
      <x:c r="E35" s="16" t="n">
        <x:v>70</x:v>
      </x:c>
      <x:c r="F35" s="16" t="n">
        <x:v>84</x:v>
      </x:c>
      <x:c r="G35" s="14" t="str">
        <x:v>海景區文化協會將於11月14及15日，在海濱長廊及市民廣場舉行「海景週末文化墟」。活動每日由上午11時至晚上8時開放，免費入場，主辦方估計兩日約有12,000人次參與。
文化墟設80個攤位，售賣手作、舊物修復品、不同文化食品及青年創業產品。節目包括粵劇、學生樂隊、社區舞蹈、兒童故事劇場和環保工作坊。工作坊免費，部分場次須由10月26日起網上預約。飲品攤位使用可重用杯，先收取20元，交還杯具後退回。
活動期間，海濱路會分段封閉，海景站A出口約每20分鐘有一班接駁車。場地設無障礙入口。遇上大雨，部分節目會移至海景社區會堂，八號風球下活動取消。最新安排及完整節目次序會在社交平台公布。</x:v>
      </x:c>
    </x:row>
    <x:row r="36" ht="118.80000305175781" hidden="0" customHeight="1">
      <x:c r="A36" s="15" t="str">
        <x:v>035</x:v>
      </x:c>
      <x:c r="B36" s="12" t="str">
        <x:v>ZH-GOOD-005</x:v>
      </x:c>
      <x:c r="C36" s="15" t="str">
        <x:v>005</x:v>
      </x:c>
      <x:c r="D36" s="12" t="str">
        <x:v>Good</x:v>
      </x:c>
      <x:c r="E36" s="16" t="n">
        <x:v>70</x:v>
      </x:c>
      <x:c r="F36" s="16" t="n">
        <x:v>84</x:v>
      </x:c>
      <x:c r="G36" s="14" t="str">
        <x:v>綠峰專線小巴宣布，把88M青嶺邨至泊岸站的試辦期延長至12月31日，較原定9月底多三個月。全程車費維持6.5元，長者及學生3元優惠不變。營辦商希望藉延長期觀察非繁忙時段客量，再決定路線是否長期營運。
由10月2日起，路線增停青嶺市政大樓及東灣醫療中心。平日上午7時至9時30分、下午5時至8時，班次由每10分鐘一班加密至約每8分鐘一班，其餘時段維持約15分鐘一班，周末安排大致不變。新增站點預計令全程行車時間增加約四分鐘。
路線自7月試辦，首11周錄得約36,000人次，平均載客率68%，以青嶺邨開出的早上班次較多人乘搭。營辦商會以車內二維碼收集意見，年底整理客量及準時資料。新時間表和站位於9月26日起在站牌及網站公布。</x:v>
      </x:c>
    </x:row>
    <x:row r="37" ht="132" hidden="0" customHeight="1">
      <x:c r="A37" s="15" t="str">
        <x:v>036</x:v>
      </x:c>
      <x:c r="B37" s="12" t="str">
        <x:v>ZH-GOOD-006</x:v>
      </x:c>
      <x:c r="C37" s="15" t="str">
        <x:v>006</x:v>
      </x:c>
      <x:c r="D37" s="12" t="str">
        <x:v>Good</x:v>
      </x:c>
      <x:c r="E37" s="16" t="n">
        <x:v>70</x:v>
      </x:c>
      <x:c r="F37" s="16" t="n">
        <x:v>84</x:v>
      </x:c>
      <x:c r="G37" s="14" t="str">
        <x:v>鮮港超市將於10月1日起，在12間分店試行可重用餐盒計劃，為期六個月。顧客購買熟食、沙律或即製麵食時，可繳付20元按金轉用計劃餐盒。餐盒在30日內交回任何參與分店並完成掃描後，款項會退回八達通或原有電子付款帳戶。交還前須倒清食物，但毋須自行消毒。
合作機構循環盒社會每日收集餐盒，送往中央設施高溫清洗及檢查。未能繼續使用的餐盒會交回收商處理。顧客每次選用可重用餐盒，可另獲2元熟食優惠，優惠與20元按金分開計算。
參與分店遍及港九新界，名單將於9月20日在公司網站及應用程式公布。鮮港目標在半年內減少120,000個即棄餐盒，回收率達八成，並會定期公布使用量。試驗後，公司會按衞生、成本及顧客意見決定是否增加分店。各店退盒櫃位時間或有不同，完整安排稍後公布。</x:v>
      </x:c>
    </x:row>
    <x:row r="38" ht="118.80000305175781" hidden="0" customHeight="1">
      <x:c r="A38" s="15" t="str">
        <x:v>037</x:v>
      </x:c>
      <x:c r="B38" s="12" t="str">
        <x:v>ZH-GOOD-007</x:v>
      </x:c>
      <x:c r="C38" s="15" t="str">
        <x:v>007</x:v>
      </x:c>
      <x:c r="D38" s="12" t="str">
        <x:v>Good</x:v>
      </x:c>
      <x:c r="E38" s="16" t="n">
        <x:v>70</x:v>
      </x:c>
      <x:c r="F38" s="16" t="n">
        <x:v>84</x:v>
      </x:c>
      <x:c r="G38" s="14" t="str">
        <x:v>卓峰工業園計劃投資2,300萬元，在屯門園區八幢廠房天台安裝3,200塊太陽能板，總裝機容量為1.8兆瓦。項目預計每年生產190萬度電，可供應公共照明、升降機及管理設施約六成用電，並減少約720公噸碳排放。
日澄能源將由11月起分階段施工，預計明年5月完成，首兩幢大樓最快於1月供電。工程主要在天台及機電房進行，不會要求租戶停業。大型吊運多安排於星期日，受影響公司會提前七日收到通知。
園方已完成天台負重和消防通道評估，系統亦設遙距監察及自動斷電。電力會先供公共位置使用，餘電才輸入電網，收益用於其他節能項目。卓峰會每季公布發電資料，完工後交由獨立工程師驗收。實際吊運日期仍可能因天氣稍作調整，租戶須留意平台通知。</x:v>
      </x:c>
    </x:row>
    <x:row r="39" ht="145.1999969482422" hidden="0" customHeight="1">
      <x:c r="A39" s="15" t="str">
        <x:v>038</x:v>
      </x:c>
      <x:c r="B39" s="12" t="str">
        <x:v>ZH-GOOD-008</x:v>
      </x:c>
      <x:c r="C39" s="15" t="str">
        <x:v>008</x:v>
      </x:c>
      <x:c r="D39" s="12" t="str">
        <x:v>Good</x:v>
      </x:c>
      <x:c r="E39" s="16" t="n">
        <x:v>70</x:v>
      </x:c>
      <x:c r="F39" s="16" t="n">
        <x:v>84</x:v>
      </x:c>
      <x:c r="G39" s="14" t="str">
        <x:v>新界閱讀服務處將於9月7日起，安排三輛電動流動圖書車走訪元朗、北區及大埔18個站點，先試行六個月。各站每星期服務兩次，每次至少三小時，方便鄉郊居民、長者及兒童借閱。詳細停站時間會於8月24日在網上公布，並張貼於學校和屋邨。
三輛車合共備有4,500本中英文書籍，包括兒童書、小說、實用資訊和大字版讀物。會員可借還、續借或領取預約書籍。未入會的市民可帶同身份及住址資料免費登記。車上亦有平板電腦，職員會協助市民使用電子書和部分網上服務。
車輛設輪椅升降台、較低服務桌及助聽設備。服務處期望半年內錄得25,000人次到訪及借出40,000冊次，再按使用量檢討路線。八號風球及黑雨期間，部分班次可能取消，消息會經網站和電話熱線公布，熱線號碼隨時間表一併發布。</x:v>
      </x:c>
    </x:row>
    <x:row r="40" ht="145.1999969482422" hidden="0" customHeight="1">
      <x:c r="A40" s="15" t="str">
        <x:v>039</x:v>
      </x:c>
      <x:c r="B40" s="12" t="str">
        <x:v>ZH-GOOD-009</x:v>
      </x:c>
      <x:c r="C40" s="15" t="str">
        <x:v>009</x:v>
      </x:c>
      <x:c r="D40" s="12" t="str">
        <x:v>Good</x:v>
      </x:c>
      <x:c r="E40" s="16" t="n">
        <x:v>70</x:v>
      </x:c>
      <x:c r="F40" s="16" t="n">
        <x:v>84</x:v>
      </x:c>
      <x:c r="G40" s="14" t="str">
        <x:v>清感科技（AirSense）推出AirSense Mini室內空氣感應器，供住宅、小型辦公室及店舖使用。裝置每分鐘讀取PM2.5、二氧化碳、揮發性有機化合物、溫度及濕度，並以燈環顯示目前狀況。連接Wi-Fi後，用戶可在手機查看趨勢、接收通風提醒及下載30日紀錄。公司提醒，相關讀數不是醫療診斷或正式環境檢測。
產品售價899元，8月25日起接受預訂，9月15日在網店及15個零售點發售。一般用戶毋須月費即可使用基本功能。商戶若要同時管理最多十部裝置及下載分析報表，可選用每月98元服務。裝置以USB-C供電，附兩年保養，年度校準每次收費180元。
產品曾在50間餐廳及辦公室試用三個月，公司按意見調整提示設定。用戶可刪除雲端紀錄，或把資料只保留在手機。9月初會在九龍灣舉行周末示範，確實時段稍後開放預約。</x:v>
      </x:c>
    </x:row>
    <x:row r="41" ht="132" hidden="0" customHeight="1">
      <x:c r="A41" s="15" t="str">
        <x:v>040</x:v>
      </x:c>
      <x:c r="B41" s="12" t="str">
        <x:v>ZH-GOOD-010</x:v>
      </x:c>
      <x:c r="C41" s="15" t="str">
        <x:v>010</x:v>
      </x:c>
      <x:c r="D41" s="12" t="str">
        <x:v>Good</x:v>
      </x:c>
      <x:c r="E41" s="16" t="n">
        <x:v>70</x:v>
      </x:c>
      <x:c r="F41" s="16" t="n">
        <x:v>84</x:v>
      </x:c>
      <x:c r="G41" s="14" t="str">
        <x:v>經緯物流（Meridian Logistics）葵青配送中心新增的120,000平方呎倉區，將於10月2日投入運作，中心總面積增至420,000平方呎。貨板容量提升35%至58,000個板位，主要供電商、零售補貨及快速消費品客戶使用。第二期項目投資1.6億元，包括改建、自動分揀設備和倉庫管理系統。
新分揀線每小時最多處理9,000件包裹，以條碼核對目的地及重量，異常件交由人手檢查。現有客戶的存貨會於9月至11月分批搬入，公司稱會安排在出貨較少的時段進行，服務毋須暫停。新增110個職位中，約七成已完成招聘。
另有25,000平方呎預留作攝氏2至8度溫控倉，明年1月啟用，不計入10月新增的常溫容量。行政總裁何志朗表示，基本倉租暫時不變，不同客戶仍按儲量及服務議價。公司會在運作首季後公布部分營運指標，實際發布日期未定。</x:v>
      </x:c>
    </x:row>
    <x:row r="42" ht="118.80000305175781" hidden="0" customHeight="1">
      <x:c r="A42" s="15" t="str">
        <x:v>041</x:v>
      </x:c>
      <x:c r="B42" s="12" t="str">
        <x:v>ZH-GOOD-011</x:v>
      </x:c>
      <x:c r="C42" s="15" t="str">
        <x:v>011</x:v>
      </x:c>
      <x:c r="D42" s="12" t="str">
        <x:v>Good</x:v>
      </x:c>
      <x:c r="E42" s="16" t="n">
        <x:v>70</x:v>
      </x:c>
      <x:c r="F42" s="16" t="n">
        <x:v>84</x:v>
      </x:c>
      <x:c r="G42" s="14" t="str">
        <x:v>聲橋社區協會宣布，「流動聽力站」將於8月3日至11月28日巡迴九龍東12個屋苑，免費為60歲或以上居民提供聽力篩查。首站設於晴橋邨，各站逢星期一、三及六上午10時至下午4時服務，每日30個名額。居民可由7月20日起網上或電話預約，有餘額時亦接受即場登記。
註冊聽力學家會先查問病歷，再觀察耳道和進行純音測試，全程約25分鐘，完成後解釋初步結果。若發現聽力明顯下降，職員可在參加者同意後安排轉介。協會提醒，服務只屬篩查，不能代替醫生診斷。
計劃獲明音基金資助68萬元，目標服務1,080人，另會舉辦護耳講座。巡迴日期將上載至協會網站，講座日期則尚未列入這次公布。</x:v>
      </x:c>
    </x:row>
    <x:row r="43" ht="105.5999984741211" hidden="0" customHeight="1">
      <x:c r="A43" s="15" t="str">
        <x:v>042</x:v>
      </x:c>
      <x:c r="B43" s="12" t="str">
        <x:v>ZH-GOOD-012</x:v>
      </x:c>
      <x:c r="C43" s="15" t="str">
        <x:v>012</x:v>
      </x:c>
      <x:c r="D43" s="12" t="str">
        <x:v>Good</x:v>
      </x:c>
      <x:c r="E43" s="16" t="n">
        <x:v>70</x:v>
      </x:c>
      <x:c r="F43" s="16" t="n">
        <x:v>84</x:v>
      </x:c>
      <x:c r="G43" s="14" t="str">
        <x:v>翠庭苑將由8月10日起，分階段更新三座樓宇共六部升降機，工程預計12月18日完成。項目費用1,260萬元，由屋苑維修儲備支付，內容包括更換摩打、控制板、門感應器及緊急通訊裝置，機廂亦會換上較省電的照明。
每部升降機預計停用約三星期，承辦商會保留同座另一部升降機運作，並在完成檢驗後才恢復服務。首部停用的是一座東面升降機。一般工程於星期一至六上午9時至下午6時進行，較嘈雜工序會縮短施工時段，以減少滋擾。
安居物業會為行動不便住戶提供須預約的電動上落樓梯機及樓層陪同服務。每周進度會在大堂及屋苑應用程式公布，管理處亦設24小時熱線。業主委員會表示，工程已預留緩衝時間，若零件運送影響進度，會提早通知居民。</x:v>
      </x:c>
    </x:row>
    <x:row r="44" ht="105.5999984741211" hidden="0" customHeight="1">
      <x:c r="A44" s="15" t="str">
        <x:v>043</x:v>
      </x:c>
      <x:c r="B44" s="12" t="str">
        <x:v>ZH-GOOD-013</x:v>
      </x:c>
      <x:c r="C44" s="15" t="str">
        <x:v>013</x:v>
      </x:c>
      <x:c r="D44" s="12" t="str">
        <x:v>Good</x:v>
      </x:c>
      <x:c r="E44" s="16" t="n">
        <x:v>70</x:v>
      </x:c>
      <x:c r="F44" s="16" t="n">
        <x:v>84</x:v>
      </x:c>
      <x:c r="G44" s="14" t="str">
        <x:v>海織酒店位於西九龍的新翼「織港館」將於9月15日開幕，客房由8月1日起接受預訂。新翼由一座1958年紡織貨倉改建，工程歷時三年，投資1.8億元，保留紅磚牆、鋸齒形屋頂及部分舊路軌。
館內設48間客房、餐廳和免費開放的小型展廊。首展包括昔日工人及居民借出的72件工具、布辦和訪談資料。酒店邀請本地設計師及工藝單位製作部分家具，大樓亦已加固並改善無障礙設施。
項目新增20個全職職位，酒店並會與城織學院每月合辦兩次廣東話導賞。酒店表示，工程已完成安全和牌照檢查，旅遊巴進入接送區前須預約。開幕首月客房收入的5%會用於展品保育及整理口述歷史，實際款項年底公布。</x:v>
      </x:c>
    </x:row>
    <x:row r="45" ht="132" hidden="0" customHeight="1">
      <x:c r="A45" s="15" t="str">
        <x:v>044</x:v>
      </x:c>
      <x:c r="B45" s="12" t="str">
        <x:v>ZH-GOOD-014</x:v>
      </x:c>
      <x:c r="C45" s="15" t="str">
        <x:v>014</x:v>
      </x:c>
      <x:c r="D45" s="12" t="str">
        <x:v>Good</x:v>
      </x:c>
      <x:c r="E45" s="16" t="n">
        <x:v>70</x:v>
      </x:c>
      <x:c r="F45" s="16" t="n">
        <x:v>84</x:v>
      </x:c>
      <x:c r="G45" s="14" t="str">
        <x:v>浪升體育基金將於10月3及4日，在將軍澳啟航運動場舉行青年足球盃，邀請16支學校及社區U15隊伍參賽，涉及約240名男女球員。首日為分組賽，次日舉行淘汰賽及決賽。每隊可報15人，球員須於2011年1月1日或之後出生，並提交家長同意書。
報名期由7月20日至8月14日，參賽費全免。若申請超額，主辦方會參考隊伍所在地區及男女比例甄選。兩日比賽均由上午9時至下午6時進行，公眾可免費入場，現場設飲水、急救及無障礙觀賽位置。教練亦可參加急救及公平競技工作坊。
冠軍隊可獲3萬元器材資助，用於青少年訓練。若天氣不適合比賽，賽事會改於10月10及11日舉行，主辦方將在早上經網站及短訊通知。</x:v>
      </x:c>
    </x:row>
    <x:row r="46" ht="105.5999984741211" hidden="0" customHeight="1">
      <x:c r="A46" s="15" t="str">
        <x:v>045</x:v>
      </x:c>
      <x:c r="B46" s="12" t="str">
        <x:v>ZH-GOOD-015</x:v>
      </x:c>
      <x:c r="C46" s="15" t="str">
        <x:v>015</x:v>
      </x:c>
      <x:c r="D46" s="12" t="str">
        <x:v>Good</x:v>
      </x:c>
      <x:c r="E46" s="16" t="n">
        <x:v>70</x:v>
      </x:c>
      <x:c r="F46" s="16" t="n">
        <x:v>84</x:v>
      </x:c>
      <x:c r="G46" s="14" t="str">
        <x:v>北角城市記憶館將於8月20日啟用「北角生活數碼檔案」，供公眾免費瀏覽8,400項1945年至2000年間的相片、地圖、單據、錄音及口述歷史。這項18個月計劃獲遠帆文化基金資助320萬元，資料來自420名居民和昔日商戶。
平台提供繁體中文及英文介面，可按年份、街道或主題搜尋。部分已獲授權的高解像檔案可供非商業下載，涉及版權或私隱的項目只展示節錄。館方表示，研究員會核對資料來源，未能確認的日期亦會標示，使用者可提交更正。
平台推出當日將舉辦兩場工作坊，內容包括保存家庭照片及訪問長者，每場40人，8月1日起網上登記。館方不會公開資料提供者的住址和電話。明年初亦計劃增加工業及渡海交通專題，新增項目數目尚未公布。</x:v>
      </x:c>
    </x:row>
    <x:row r="47" ht="118.80000305175781" hidden="0" customHeight="1">
      <x:c r="A47" s="15" t="str">
        <x:v>046</x:v>
      </x:c>
      <x:c r="B47" s="12" t="str">
        <x:v>ZH-GOOD-016</x:v>
      </x:c>
      <x:c r="C47" s="15" t="str">
        <x:v>016</x:v>
      </x:c>
      <x:c r="D47" s="12" t="str">
        <x:v>Good</x:v>
      </x:c>
      <x:c r="E47" s="16" t="n">
        <x:v>70</x:v>
      </x:c>
      <x:c r="F47" s="16" t="n">
        <x:v>84</x:v>
      </x:c>
      <x:c r="G47" s="14" t="str">
        <x:v>金穗烘焙將由9月1日起，在18間分店為120款麵包、蛋糕及小食採用新的致敏原標籤。包裝和貨架牌會以圖示標明麩質穀物、奶、蛋、花生、木本堅果、大豆、芝麻及亞硫酸鹽。顧客亦可掃描二維碼查看完整配料和更新日期。
公司用九個月整理配方，並邀請獨立食物安全顧問覆核。中央工場和分店共286名員工會在8月底前接受培訓。金穗提醒，大部分產品在共用工場及焗爐生產，即使沒有直接加入某項致敏成分，仍可能有交叉接觸風險，嚴重過敏人士應先向職員查詢。
配方改動後，網上資料會先更新，實體標籤則在下一批產品更換。公司在首三個月每周抽查，顧客可透過熱線報告錯漏。經核實有問題的產品會先暫停出售，再作更正。</x:v>
      </x:c>
    </x:row>
    <x:row r="48" ht="118.80000305175781" hidden="0" customHeight="1">
      <x:c r="A48" s="15" t="str">
        <x:v>047</x:v>
      </x:c>
      <x:c r="B48" s="12" t="str">
        <x:v>ZH-GOOD-017</x:v>
      </x:c>
      <x:c r="C48" s="15" t="str">
        <x:v>017</x:v>
      </x:c>
      <x:c r="D48" s="12" t="str">
        <x:v>Good</x:v>
      </x:c>
      <x:c r="E48" s="16" t="n">
        <x:v>70</x:v>
      </x:c>
      <x:c r="F48" s="16" t="n">
        <x:v>84</x:v>
      </x:c>
      <x:c r="G48" s="14" t="str">
        <x:v>同心信貸合作社與東岸商戶聯盟將於8月26日下午2時至5時30分，在觀塘創業匯中心舉行免費現金流工作坊，主要供僱員不多於20人的小企業參加。活動設80個名額，以廣東話授課。
會計師林佩珊及合作社風險管理主管周永康會講解13星期現金流預測、收款管理、貸款成本及常見付款詐騙。參加者使用虛構店舖資料練習，毋須提交公司銀行或客戶資料。場地設輪椅通道和即時字幕，有需要人士可在報名表提出。
網上報名期由7月22日至8月19日，每間企業最多兩人。若申請超額，小企業獲優先取錄，結果以電郵通知。主辦方表示不會在活動中推銷貸款，課後一星期內會上載講義和試算表，未獲名額者亦可免費下載。</x:v>
      </x:c>
    </x:row>
    <x:row r="49" ht="118.80000305175781" hidden="0" customHeight="1">
      <x:c r="A49" s="15" t="str">
        <x:v>048</x:v>
      </x:c>
      <x:c r="B49" s="12" t="str">
        <x:v>ZH-GOOD-018</x:v>
      </x:c>
      <x:c r="C49" s="15" t="str">
        <x:v>018</x:v>
      </x:c>
      <x:c r="D49" s="12" t="str">
        <x:v>Good</x:v>
      </x:c>
      <x:c r="E49" s="16" t="n">
        <x:v>70</x:v>
      </x:c>
      <x:c r="F49" s="16" t="n">
        <x:v>84</x:v>
      </x:c>
      <x:c r="G49" s="14" t="str">
        <x:v>城南工程處將於8月17日至11月6日，維修連接河畔道及港盛商場的河閘行人天橋，工程費用840萬元。項目包括重鋪橋面防水層、更換伸縮接縫、為鋼架翻新防銹塗層，以及換上LED照明。
日間工程會分段進行，並保留最少1.5米闊通道。逢星期一至四晚上11時至翌晨5時，大型物料運送期間，天橋須全段關閉。9月12至13日及10月17至18日兩個周末亦會全日封橋。市民可改用河畔道地面燈號過路處，路程增加約280米，替代路線適合輪椅及嬰兒車。
工程處會設指示牌，繁忙時段安排人員協助，並使用隔音屏減少噪音。如惡劣天氣或檢測令日期有變，當局會在現場和網站預早公布，緊急改動另經商場廣播通知。</x:v>
      </x:c>
    </x:row>
    <x:row r="50" ht="132" hidden="0" customHeight="1">
      <x:c r="A50" s="15" t="str">
        <x:v>049</x:v>
      </x:c>
      <x:c r="B50" s="12" t="str">
        <x:v>ZH-GOOD-019</x:v>
      </x:c>
      <x:c r="C50" s="15" t="str">
        <x:v>019</x:v>
      </x:c>
      <x:c r="D50" s="12" t="str">
        <x:v>Good</x:v>
      </x:c>
      <x:c r="E50" s="16" t="n">
        <x:v>70</x:v>
      </x:c>
      <x:c r="F50" s="16" t="n">
        <x:v>84</x:v>
      </x:c>
      <x:c r="G50" s="14" t="str">
        <x:v>民生設施署將由9月7日至明年2月28日，在和景街市試行「市集通」免費Wi-Fi。濕貨區、熟食中心及公共座位共設36個接達點，每次連線可使用60分鐘，限時後可再次連接，不設每日上限。每部裝置下載速度限制為20Mbps，以免繁忙時段由少數使用者佔用網絡。
市民選擇MarketLink-Free並同意條款即可上網，毋須登記姓名、電話或電郵。系統只記錄技術識別碼、連線時間及流量，供保安和維修使用，不會儲存瀏覽內容。資料加密保存30日。網絡沒有商業廣告，並會封鎖已知惡意網站。處理付款等敏感資料時，市民仍應使用可信任網絡。
計劃獲190萬元資助，首兩周逢星期一及三設支援站協助長者。署方會在六個月後評估覆蓋、速度及用戶意見，再決定是否延續服務。</x:v>
      </x:c>
    </x:row>
    <x:row r="51" ht="105.5999984741211" hidden="0" customHeight="1">
      <x:c r="A51" s="15" t="str">
        <x:v>050</x:v>
      </x:c>
      <x:c r="B51" s="12" t="str">
        <x:v>ZH-GOOD-020</x:v>
      </x:c>
      <x:c r="C51" s="15" t="str">
        <x:v>020</x:v>
      </x:c>
      <x:c r="D51" s="12" t="str">
        <x:v>Good</x:v>
      </x:c>
      <x:c r="E51" s="16" t="n">
        <x:v>70</x:v>
      </x:c>
      <x:c r="F51" s="16" t="n">
        <x:v>84</x:v>
      </x:c>
      <x:c r="G51" s="14" t="str">
        <x:v>電灣能源在東臨工業區興建的VoltBay充電樞紐，將於10月12日啟用，場站每日24小時開放，共設24個車位。當中16個為最高120kW直流快充位，另外8個提供22kW交流充電，兩個加闊車位配有較低的操作屏。
直流充電每度電收費3.2元，交流為2.4元。充電完成後有15分鐘離場時間，之後每分鐘收取1元佔位費。車主可用應用程式預約30分鐘到場時段，亦可即場以感應式信用卡付款，毋須預先入會。
項目投資4,800萬元，車棚太陽能板預計供應全年約12%用電，電池系統則在繁忙時段調節負荷。職員由上午7時至晚上11時在場，深夜可經對講機聯絡支援中心。開幕首星期充電費八折，佔位費照常，運作數據其後按月公布。</x:v>
      </x:c>
    </x:row>
    <x:row r="52" ht="105.5999984741211" hidden="0" customHeight="1">
      <x:c r="A52" s="15" t="str">
        <x:v>051</x:v>
      </x:c>
      <x:c r="B52" s="12" t="str">
        <x:v>ZH-GOOD-021</x:v>
      </x:c>
      <x:c r="C52" s="15" t="str">
        <x:v>021</x:v>
      </x:c>
      <x:c r="D52" s="12" t="str">
        <x:v>Good</x:v>
      </x:c>
      <x:c r="E52" s="16" t="n">
        <x:v>70</x:v>
      </x:c>
      <x:c r="F52" s="16" t="n">
        <x:v>84</x:v>
      </x:c>
      <x:c r="G52" s="14" t="str">
        <x:v>東港大學發表城市熱島研究。團隊由去年5月至今年4月，在港灣東等六區設置120個感應器，並配合測量車及衛星影像，了解不同地點的氣溫差異。
研究顯示，下午3時至5時最炎熱。樓宇密集而樹蔭較少的商業地段，平均較海旁及綠化地帶高2.8度，個別沒有遮蔭的路口相差4.1度。研究人員建議，先在巴士站和長者設施附近增加樹蔭及飲水點，公營建築亦可試用淺色屋頂。
校方已公開研究數據，並會於8月至10月在六區諮詢居民，以選定首批改善位置。規劃部門及社區團體均可使用同一批資料，進一步找出炎熱地點。</x:v>
      </x:c>
    </x:row>
    <x:row r="53" ht="118.80000305175781" hidden="0" customHeight="1">
      <x:c r="A53" s="15" t="str">
        <x:v>052</x:v>
      </x:c>
      <x:c r="B53" s="12" t="str">
        <x:v>ZH-GOOD-022</x:v>
      </x:c>
      <x:c r="C53" s="15" t="str">
        <x:v>022</x:v>
      </x:c>
      <x:c r="D53" s="12" t="str">
        <x:v>Good</x:v>
      </x:c>
      <x:c r="E53" s="16" t="n">
        <x:v>70</x:v>
      </x:c>
      <x:c r="F53" s="16" t="n">
        <x:v>84</x:v>
      </x:c>
      <x:c r="G53" s="14" t="str">
        <x:v>安步社區服務社與城安消防協會將於8月至12月，在20個公共屋邨舉辦60場免費防火工作坊，預計有3,000個家庭參與。
課程涵蓋濃煙逃生、火警鐘和滅火氈使用、鋰電池充電，以及家中長者或行動不便人士的撤離安排。消防工程人員與社工會帶領演練，參加者可取得多種語言的家居檢查表。另有300戶獨居長者可預約上門風險評估，但服務不會取代法定消防檢查。
計劃由7月22日起接受網上或電話報名，查詢可致電3108 6620。主辦機構會跟進住戶的改善情況及整體成效，結果預計明年初公布。各屋邨場次須按報名資料查閱。</x:v>
      </x:c>
    </x:row>
    <x:row r="54" ht="105.5999984741211" hidden="0" customHeight="1">
      <x:c r="A54" s="15" t="str">
        <x:v>053</x:v>
      </x:c>
      <x:c r="B54" s="12" t="str">
        <x:v>ZH-GOOD-023</x:v>
      </x:c>
      <x:c r="C54" s="15" t="str">
        <x:v>023</x:v>
      </x:c>
      <x:c r="D54" s="12" t="str">
        <x:v>Good</x:v>
      </x:c>
      <x:c r="E54" s="16" t="n">
        <x:v>70</x:v>
      </x:c>
      <x:c r="F54" s="16" t="n">
        <x:v>84</x:v>
      </x:c>
      <x:c r="G54" s="14" t="str">
        <x:v>環織資源將於8月1日起，在8個商場及12個屋苑設置40個紡織品回收箱。回收箱接收已洗淨和乾爽的衣物、床單、毛巾及布袋，鞋履、濕衣、地氈和受化學品污染的布料不收。
物料每星期送往新田分揀，可再穿的衣物交予三間社福機構，破損布料則按纖維成分再製成隔音棉或再生紗。箱上的二維碼可供使用者查看收運日期及批次去向。
公司目標首年回收300公噸紡織品，並會每季公布收集、重用、再造及未能處理的數量。居民毋須付費，各地點採用同一套接收守則，方便市民了解哪些物品可以回收。</x:v>
      </x:c>
    </x:row>
    <x:row r="55" ht="105.5999984741211" hidden="0" customHeight="1">
      <x:c r="A55" s="15" t="str">
        <x:v>054</x:v>
      </x:c>
      <x:c r="B55" s="12" t="str">
        <x:v>ZH-GOOD-024</x:v>
      </x:c>
      <x:c r="C55" s="15" t="str">
        <x:v>024</x:v>
      </x:c>
      <x:c r="D55" s="12" t="str">
        <x:v>Good</x:v>
      </x:c>
      <x:c r="E55" s="16" t="n">
        <x:v>70</x:v>
      </x:c>
      <x:c r="F55" s="16" t="n">
        <x:v>84</x:v>
      </x:c>
      <x:c r="G55" s="14" t="str">
        <x:v>匠途協會與18間中小企合辦一年制手藝學徒計劃，為18至30歲青年提供60個名額，培訓範疇包括木工、金工、霓虹招牌修復及舞台道具。課程10月6日開始，學員每月可獲15,000元培訓津貼。
學員大部分時間在企業跟隨師傅實習，其餘課堂學習安全、繪圖及物料管理。完成指定時數和作品評核後，可取得業界證書。表現合格者會獲合作企業安排一次職位面試，但面試不等同獲聘。
申請期為8月1日至15日，毋須相關學歷或經驗，入圍者仍須參加能力體驗和面談。每名學員均有師傅及就業顧問跟進，學習和求職階段都有人提供協助。</x:v>
      </x:c>
    </x:row>
    <x:row r="56" ht="105.5999984741211" hidden="0" customHeight="1">
      <x:c r="A56" s="15" t="str">
        <x:v>055</x:v>
      </x:c>
      <x:c r="B56" s="12" t="str">
        <x:v>ZH-GOOD-025</x:v>
      </x:c>
      <x:c r="C56" s="15" t="str">
        <x:v>025</x:v>
      </x:c>
      <x:c r="D56" s="12" t="str">
        <x:v>Good</x:v>
      </x:c>
      <x:c r="E56" s="16" t="n">
        <x:v>70</x:v>
      </x:c>
      <x:c r="F56" s="16" t="n">
        <x:v>84</x:v>
      </x:c>
      <x:c r="G56" s="14" t="str">
        <x:v>迅達購將於8月5日起，把即日送貨服務由六區擴展至十區，新增北嶺、河畔、新橋及海榮。顧客在下午2時前完成付款，可選擇晚上6時至10時收貨。運費38元，購物滿500元免運費。
服務適用於約12,000款標有「即日達」的商品，不包括冷藏食品、大型傢俬、預訂貨品及跨境商品。公司增設三個配送站及24輛電動貨車，預計每日最多處理6,500張即日訂單。地址是否符合資格，須在結帳頁確認。
八號風球、黑雨或封路期間，服務會暫停，顧客可改期或取回運費。公司將於服務運作三個月後公布準時及投訴數字，再檢視配送表現。</x:v>
      </x:c>
    </x:row>
    <x:row r="57" ht="105.5999984741211" hidden="0" customHeight="1">
      <x:c r="A57" s="15" t="str">
        <x:v>056</x:v>
      </x:c>
      <x:c r="B57" s="12" t="str">
        <x:v>ZH-GOOD-026</x:v>
      </x:c>
      <x:c r="C57" s="15" t="str">
        <x:v>026</x:v>
      </x:c>
      <x:c r="D57" s="12" t="str">
        <x:v>Good</x:v>
      </x:c>
      <x:c r="E57" s="16" t="n">
        <x:v>70</x:v>
      </x:c>
      <x:c r="F57" s="16" t="n">
        <x:v>84</x:v>
      </x:c>
      <x:c r="G57" s="14" t="str">
        <x:v>銀匙社企與樂齡同行基金將於9月起，在港灣東、北嶺、河畔及新橋試行長者送餐計劃。半年內會服務500名經評估的低收入獨居或雙老家庭長者，逢星期一至五每人獲送一份午餐。每份收費10元，不另收送餐費。
12間持牌餐廳會按營養師餐單，供應普通餐、軟餐及糖尿病友善餐。配送員平日上午11時至下午1時上門，若長者連續沒有應門，便會聯絡已登記的照顧者或社工。
計劃8月10日起接受社福機構、醫療人員或屋邨辦事處轉介，申請人須年滿65歲。基金投入420萬元，其後會根據送達率、滿意度及膳食意見評估成效。</x:v>
      </x:c>
    </x:row>
    <x:row r="58" ht="105.5999984741211" hidden="0" customHeight="1">
      <x:c r="A58" s="15" t="str">
        <x:v>057</x:v>
      </x:c>
      <x:c r="B58" s="12" t="str">
        <x:v>ZH-GOOD-027</x:v>
      </x:c>
      <x:c r="C58" s="15" t="str">
        <x:v>027</x:v>
      </x:c>
      <x:c r="D58" s="12" t="str">
        <x:v>Good</x:v>
      </x:c>
      <x:c r="E58" s="16" t="n">
        <x:v>70</x:v>
      </x:c>
      <x:c r="F58" s="16" t="n">
        <x:v>84</x:v>
      </x:c>
      <x:c r="G58" s="14" t="str">
        <x:v>星灣文化事務處將於8月21日至9月6日，逢星期五至日在星灣海濱長廊舉行光影匯。每晚7時30分及8時30分各有一場18分鐘表演，免費入場。節目以投影、激光及音樂講述港口發展，沿途另展出八組藝術家與學生作品。
每場最多容納4,000人，毋須預約，額滿便暫停進場。活動日下午5時起，海濱東段改為單向步行，單車徑暫停開放。星期六首場設粵語口述影像，無障礙區可預先登記。
三號風球或紅、黑雨警告下，當晚節目取消。主辦方建議市民乘港鐵前往，附近不設活動專用泊車位，使用公共交通會較方便。</x:v>
      </x:c>
    </x:row>
    <x:row r="59" ht="105.5999984741211" hidden="0" customHeight="1">
      <x:c r="A59" s="15" t="str">
        <x:v>058</x:v>
      </x:c>
      <x:c r="B59" s="12" t="str">
        <x:v>ZH-GOOD-028</x:v>
      </x:c>
      <x:c r="C59" s="15" t="str">
        <x:v>028</x:v>
      </x:c>
      <x:c r="D59" s="12" t="str">
        <x:v>Good</x:v>
      </x:c>
      <x:c r="E59" s="16" t="n">
        <x:v>70</x:v>
      </x:c>
      <x:c r="F59" s="16" t="n">
        <x:v>84</x:v>
      </x:c>
      <x:c r="G59" s="14" t="str">
        <x:v>新域製造投資1.2億元，在宏橋工業園興建機械人生產線，預計11月完成驗收及投產，主要製造家居能源感應器。
生產線設38台機械人，處理電路板裝嵌、外殼鎖固、視覺檢測及包裝。公司估計，月產量可由25萬件增至40萬件，瑕疵率則由1.7%降至約1.1%。現有140名員工會接受至少80小時培訓，轉做設備監察、保養及品質工作。公司表示，不會因這次自動化計劃裁員。
新線七成電力來自認證可再生能源，首批產品預計12月付運。公司會在運作六個月後公布能源及產能數據，再交代實際產量。</x:v>
      </x:c>
    </x:row>
    <x:row r="60" ht="105.5999984741211" hidden="0" customHeight="1">
      <x:c r="A60" s="15" t="str">
        <x:v>059</x:v>
      </x:c>
      <x:c r="B60" s="12" t="str">
        <x:v>ZH-GOOD-029</x:v>
      </x:c>
      <x:c r="C60" s="15" t="str">
        <x:v>029</x:v>
      </x:c>
      <x:c r="D60" s="12" t="str">
        <x:v>Good</x:v>
      </x:c>
      <x:c r="E60" s="16" t="n">
        <x:v>70</x:v>
      </x:c>
      <x:c r="F60" s="16" t="n">
        <x:v>84</x:v>
      </x:c>
      <x:c r="G60" s="14" t="str">
        <x:v>守線科技協會將於8月1日起營運24小時網絡事故熱線3188 7711，協助僱員少於100人的本港中小企處理勒索軟件、釣魚電郵、帳戶被盜及懷疑資料外洩。
12名分析員輪班提供初步指引，包括隔離受影響裝置、保存紀錄和重設權限。每宗個案首兩小時遙距協助免費。若需到場鑑證、系統復修或法律意見，服務會先報價，再由企業決定。企業亦可使用網上加密表格求助。
個案紀錄一般在結案90日後刪除，只有企業同意或法律規定時，協會才會向有關機構披露資料。熱線獲基金資助兩年，首季目標處理600宗查詢。涉及人身安全的緊急情況，仍須致電999。</x:v>
      </x:c>
    </x:row>
    <x:row r="61" ht="105.5999984741211" hidden="0" customHeight="1">
      <x:c r="A61" s="15" t="str">
        <x:v>060</x:v>
      </x:c>
      <x:c r="B61" s="12" t="str">
        <x:v>ZH-GOOD-030</x:v>
      </x:c>
      <x:c r="C61" s="15" t="str">
        <x:v>030</x:v>
      </x:c>
      <x:c r="D61" s="12" t="str">
        <x:v>Good</x:v>
      </x:c>
      <x:c r="E61" s="16" t="n">
        <x:v>70</x:v>
      </x:c>
      <x:c r="F61" s="16" t="n">
        <x:v>84</x:v>
      </x:c>
      <x:c r="G61" s="14" t="str">
        <x:v>善港基金公布6月水災援助基金首份帳目。截至7月15日，基金收到2,860萬元，已使用2,140萬元，餘下720萬元用於第二階段家居及小商戶復修，申請期至8月31日。
已使用款項中，1,200萬元向港灣東、河畔及新橋1,200戶家庭發放，每戶一萬元。另有650萬元維修13個社區服務設施，240萬元購買清潔用品、臨時床具及支付運輸費，行政開支則為50萬元。
獨立會計師已核對銀行紀錄及抽樣單據，沒有發現未獲批准的支出。網站不公開受助者姓名，但提供按地區及用途整理的交易資料。基金會在9月底再發布報告，並繼續更新帳目。</x:v>
      </x:c>
    </x:row>
    <x:row r="62" ht="79.19999694824219" hidden="0" customHeight="1">
      <x:c r="A62" s="15" t="str">
        <x:v>061</x:v>
      </x:c>
      <x:c r="B62" s="12" t="str">
        <x:v>ZH-NORMAL-001</x:v>
      </x:c>
      <x:c r="C62" s="15" t="str">
        <x:v>001</x:v>
      </x:c>
      <x:c r="D62" s="12" t="str">
        <x:v>Normal</x:v>
      </x:c>
      <x:c r="E62" s="16" t="n">
        <x:v>50</x:v>
      </x:c>
      <x:c r="F62" s="16" t="n">
        <x:v>69</x:v>
      </x:c>
      <x:c r="G62" s="14" t="str">
        <x:v>港灣包裝先公布9月底會辦招聘活動，未來一年打算增聘數十人，同時荃灣柴灣角廠房也要擴建。公司會投資6,800萬元，增加兩條紙餐盒生產線，原因是外賣包裝需求上升，完成後產量預計多四成。
工程10月開始，明年3月試產，5月正式運作。施工會分開進行，所以送貨維持原來安排。新線採用水性塗層和循環用水，排放希望可以減少。附近商戶日後可查詢噪音和交通問題，不過擴建面積及查詢方法沒有一同公布，安排仍要再等資料。</x:v>
      </x:c>
    </x:row>
    <x:row r="63" ht="79.19999694824219" hidden="0" customHeight="1">
      <x:c r="A63" s="15" t="str">
        <x:v>062</x:v>
      </x:c>
      <x:c r="B63" s="12" t="str">
        <x:v>ZH-NORMAL-002</x:v>
      </x:c>
      <x:c r="C63" s="15" t="str">
        <x:v>002</x:v>
      </x:c>
      <x:c r="D63" s="12" t="str">
        <x:v>Normal</x:v>
      </x:c>
      <x:c r="E63" s="16" t="n">
        <x:v>50</x:v>
      </x:c>
      <x:c r="F63" s="16" t="n">
        <x:v>69</x:v>
      </x:c>
      <x:c r="G63" s="14" t="str">
        <x:v>啟航書院會在8月先收申請，對象是深水埗中一至中三學生，申請人要由學校或社工推薦，也要提交家庭資料。明途基金撥款支持計劃，提供120個名額，學生不用交學費，電腦和交通方面亦有部分幫助。
課程10月起逢星期六上課，大約半年，內容有機械人、編程及數據，最後要做一個社區科技作品，明年再展示。導師由教師、工程師和大專生擔任，每組有幾名學生。校方說甄選不是只看成績，學習動機也重要，表格可在網上取得或經學校遞交。</x:v>
      </x:c>
    </x:row>
    <x:row r="64" ht="79.19999694824219" hidden="0" customHeight="1">
      <x:c r="A64" s="15" t="str">
        <x:v>063</x:v>
      </x:c>
      <x:c r="B64" s="12" t="str">
        <x:v>ZH-NORMAL-003</x:v>
      </x:c>
      <x:c r="C64" s="15" t="str">
        <x:v>003</x:v>
      </x:c>
      <x:c r="D64" s="12" t="str">
        <x:v>Normal</x:v>
      </x:c>
      <x:c r="E64" s="16" t="n">
        <x:v>50</x:v>
      </x:c>
      <x:c r="F64" s="16" t="n">
        <x:v>69</x:v>
      </x:c>
      <x:c r="G64" s="14" t="str">
        <x:v>語港智能會在9月底先做網上示範，10月起讓企業登記「粵聲通」，月費由1,280元起，另有短期試用。這個人工智能平台給零售、餐飲和服務中小企使用，廣東話、英文電話及文字查詢都可以處理，商戶要先把產品資料放入系統。
退款和投訴會轉真人，信心不足的回答亦由系統分流。公司找過一些店舖試用一年，處理時間減少約三成，分派正確率有九成多。資料可放在香港雲端，企業決定保存多久。後台會顯示輪候及熱門問題，幾種功能集中在同一個畫面，使用上大致可以理解。</x:v>
      </x:c>
    </x:row>
    <x:row r="65" ht="79.19999694824219" hidden="0" customHeight="1">
      <x:c r="A65" s="15" t="str">
        <x:v>064</x:v>
      </x:c>
      <x:c r="B65" s="12" t="str">
        <x:v>ZH-NORMAL-004</x:v>
      </x:c>
      <x:c r="C65" s="15" t="str">
        <x:v>004</x:v>
      </x:c>
      <x:c r="D65" s="12" t="str">
        <x:v>Normal</x:v>
      </x:c>
      <x:c r="E65" s="16" t="n">
        <x:v>50</x:v>
      </x:c>
      <x:c r="F65" s="16" t="n">
        <x:v>69</x:v>
      </x:c>
      <x:c r="G65" s="14" t="str">
        <x:v>海景海濱11月中會舉行兩日文化墟，每日由上午11時至晚上8時，免費入場。文化協會估計約有一萬人到場。場內設數十個手作、食品及青年產品攤位，亦有粵劇和學生樂隊表演。
部分工作坊要到10月底網上預約。飲品杯先付20元，交還後退款。活動當日海濱路由早上起分段封閉，海景站約每20分鐘有接駁車。大雨時部分節目移到社區會堂，八號風球則取消。場地有無障礙通道，但入口位置到場才較清楚，節目改動也由主辦方再更新。</x:v>
      </x:c>
    </x:row>
    <x:row r="66" ht="79.19999694824219" hidden="0" customHeight="1">
      <x:c r="A66" s="15" t="str">
        <x:v>065</x:v>
      </x:c>
      <x:c r="B66" s="12" t="str">
        <x:v>ZH-NORMAL-005</x:v>
      </x:c>
      <x:c r="C66" s="15" t="str">
        <x:v>005</x:v>
      </x:c>
      <x:c r="D66" s="12" t="str">
        <x:v>Normal</x:v>
      </x:c>
      <x:c r="E66" s="16" t="n">
        <x:v>50</x:v>
      </x:c>
      <x:c r="F66" s="16" t="n">
        <x:v>69</x:v>
      </x:c>
      <x:c r="G66" s="14" t="str">
        <x:v>綠峰表示，88M青嶺邨至泊岸站小巴會延長試行，原本秋天停止的安排暫時不實行。早上班次較多人乘搭，但營辦商仍想觀察其他時段，路線會否長期保留還未決定。
秋天起，小巴會增停市政大樓和一個醫療地點，繁忙時間班次會密一些，加站後全程也會較長。周末服務維持原來安排，繁忙時間的實際班次要查看新時間表。公司年底再提交乘客資料，站牌稍後更新。對平日趕車的乘客來說，仍要重新預留時間。</x:v>
      </x:c>
    </x:row>
    <x:row r="67" ht="66" hidden="0" customHeight="1">
      <x:c r="A67" s="15" t="str">
        <x:v>066</x:v>
      </x:c>
      <x:c r="B67" s="12" t="str">
        <x:v>ZH-NORMAL-006</x:v>
      </x:c>
      <x:c r="C67" s="15" t="str">
        <x:v>006</x:v>
      </x:c>
      <x:c r="D67" s="12" t="str">
        <x:v>Normal</x:v>
      </x:c>
      <x:c r="E67" s="16" t="n">
        <x:v>50</x:v>
      </x:c>
      <x:c r="F67" s="16" t="n">
        <x:v>69</x:v>
      </x:c>
      <x:c r="G67" s="14" t="str">
        <x:v>鮮港將在部分分店試用可重用餐盒，計劃於秋天開始，參與分店名單稍後才在網上公布。顧客買熟食時可先付按金取盒，之後交回參與分店，款項以電子方式退還。期限和可否跨店交還，要在結帳資料再看清楚。
使用餐盒另有小額優惠，按金和減價會一加一減地計算。交回前要倒走食物，其後由合作機構處理，顧客在家不用做太多。公司想藉試驗減少即棄餐盒，完結後再決定是否擴大。沙律及麵食有沒有餐盒，仍要按各分店供應。</x:v>
      </x:c>
    </x:row>
    <x:row r="68" ht="66" hidden="0" customHeight="1">
      <x:c r="A68" s="15" t="str">
        <x:v>067</x:v>
      </x:c>
      <x:c r="B68" s="12" t="str">
        <x:v>ZH-NORMAL-007</x:v>
      </x:c>
      <x:c r="C68" s="15" t="str">
        <x:v>007</x:v>
      </x:c>
      <x:c r="D68" s="12" t="str">
        <x:v>Normal</x:v>
      </x:c>
      <x:c r="E68" s="16" t="n">
        <x:v>50</x:v>
      </x:c>
      <x:c r="F68" s="16" t="n">
        <x:v>69</x:v>
      </x:c>
      <x:c r="G68" s="14" t="str">
        <x:v>卓峰工業園預計明年1月先有兩幢廠房使用太陽能，整項工程由11月分階段展開，到5月才完成。園內八幢廠房天台會安裝3,200塊太陽能板，投資2,300萬元，估計可供公共照明和升降機約六成用電，但實際仍要等運作後才知道。
設備吊運多在星期日進行，租戶可照常營業，收到通知後要避開相關位置。天台已做負重及消防評估，電力先供公共地方，餘下才輸入電網。園方會公布發電數字，完工後找工程師驗收，減排估算約為七百多公噸。</x:v>
      </x:c>
    </x:row>
    <x:row r="69" ht="79.19999694824219" hidden="0" customHeight="1">
      <x:c r="A69" s="15" t="str">
        <x:v>068</x:v>
      </x:c>
      <x:c r="B69" s="12" t="str">
        <x:v>ZH-NORMAL-008</x:v>
      </x:c>
      <x:c r="C69" s="15" t="str">
        <x:v>008</x:v>
      </x:c>
      <x:c r="D69" s="12" t="str">
        <x:v>Normal</x:v>
      </x:c>
      <x:c r="E69" s="16" t="n">
        <x:v>50</x:v>
      </x:c>
      <x:c r="F69" s="16" t="n">
        <x:v>69</x:v>
      </x:c>
      <x:c r="G69" s="14" t="str">
        <x:v>新界閱讀服務處將於秋天試行流動圖書車，先到元朗和其他新界地區，讓偏遠居民在指定日子借書。站點時間要到8月尾才張貼，每處一星期到訪數次，停留多久則不完全一樣。
車上有中英文書，包括兒童讀物和大字版書籍。會員可借還書，未入會居民要帶資料到場辦理，再由職員查看。車內亦有平板電腦，職員會協助使用電子書，輪椅上落也有設備。打風或大雨時班次可能改動，消息會放上網站。服務試行一段時間後再看哪些站較多人，路線未必維持原樣。</x:v>
      </x:c>
    </x:row>
    <x:row r="70" ht="92.4000015258789" hidden="0" customHeight="1">
      <x:c r="A70" s="15" t="str">
        <x:v>069</x:v>
      </x:c>
      <x:c r="B70" s="12" t="str">
        <x:v>ZH-NORMAL-009</x:v>
      </x:c>
      <x:c r="C70" s="15" t="str">
        <x:v>009</x:v>
      </x:c>
      <x:c r="D70" s="12" t="str">
        <x:v>Normal</x:v>
      </x:c>
      <x:c r="E70" s="16" t="n">
        <x:v>50</x:v>
      </x:c>
      <x:c r="F70" s="16" t="n">
        <x:v>69</x:v>
      </x:c>
      <x:c r="G70" s="14" t="str">
        <x:v>清感科技將於秋天推出AirSense Mini，並會先在九龍灣示範。產品供住宅及小店查看室內空氣，機身燈色會隨狀況轉變，也量度粉塵、氣體、溫度和濕度。連接網絡後，用戶要在手機內再找不同讀數和通風提示。
用戶可查看一段時間的紀錄，亦可刪除雲端資料。產品售價數百元，家庭基本功能不另收月費，商戶同時查看多部裝置則要付服務費。公司曾在一些餐廳試用，之後調整提示。產品只提供環境資料，保養和校準分開處理，預訂與正式發售也相隔一段時間。</x:v>
      </x:c>
    </x:row>
    <x:row r="71" ht="79.19999694824219" hidden="0" customHeight="1">
      <x:c r="A71" s="15" t="str">
        <x:v>070</x:v>
      </x:c>
      <x:c r="B71" s="12" t="str">
        <x:v>ZH-NORMAL-010</x:v>
      </x:c>
      <x:c r="C71" s="15" t="str">
        <x:v>010</x:v>
      </x:c>
      <x:c r="D71" s="12" t="str">
        <x:v>Normal</x:v>
      </x:c>
      <x:c r="E71" s="16" t="n">
        <x:v>50</x:v>
      </x:c>
      <x:c r="F71" s="16" t="n">
        <x:v>69</x:v>
      </x:c>
      <x:c r="G71" s="14" t="str">
        <x:v>經緯物流先提到新增職位，葵青配送中心第二期則於10月初啟用，目前大部分人手已經聘請。工程投資1.6億元，增加12萬平方呎，令中心總面積達42萬平方呎。
新倉主要存放電商和零售貨物，板位增加約三成，分揀機每小時處理數千件包裹，條碼有問題才交人手查看。現有客戶的貨物由9月至11月分批搬遷，公司稱服務毋須停止。另一個溫控區明年才開放，不計入這次常溫容量。基本倉租暫時不變，個別價格仍各自商議，首季後才再看整體表現。</x:v>
      </x:c>
    </x:row>
    <x:row r="72" ht="79.19999694824219" hidden="0" customHeight="1">
      <x:c r="A72" s="15" t="str">
        <x:v>071</x:v>
      </x:c>
      <x:c r="B72" s="12" t="str">
        <x:v>ZH-NORMAL-011</x:v>
      </x:c>
      <x:c r="C72" s="15" t="str">
        <x:v>011</x:v>
      </x:c>
      <x:c r="D72" s="12" t="str">
        <x:v>Normal</x:v>
      </x:c>
      <x:c r="E72" s="16" t="n">
        <x:v>50</x:v>
      </x:c>
      <x:c r="F72" s="16" t="n">
        <x:v>69</x:v>
      </x:c>
      <x:c r="G72" s="14" t="str">
        <x:v>聲橋把護耳講座也放入計劃，居民要再上網查看日期及巡迴資料。計劃由8月3日至11月28日進行，隔音車先到晴橋邨，之後走訪九龍東其他屋苑，合共12個。60歲以上居民可免費參加，每日30個名額，7月20日起經電話或網站報名，現場有餘額也會接收。
檢查約25分鐘，先問病歷及用藥，再觀察耳道和播放聲音測試。職員完成後解釋初步結果，但不等同醫生診斷。有問題的人會安排轉介，結果說完後再由另一邊跟進。計劃預計服務1,080人，由明音基金撥款68萬元。</x:v>
      </x:c>
    </x:row>
    <x:row r="73" ht="79.19999694824219" hidden="0" customHeight="1">
      <x:c r="A73" s="15" t="str">
        <x:v>072</x:v>
      </x:c>
      <x:c r="B73" s="12" t="str">
        <x:v>ZH-NORMAL-012</x:v>
      </x:c>
      <x:c r="C73" s="15" t="str">
        <x:v>012</x:v>
      </x:c>
      <x:c r="D73" s="12" t="str">
        <x:v>Normal</x:v>
      </x:c>
      <x:c r="E73" s="16" t="n">
        <x:v>50</x:v>
      </x:c>
      <x:c r="F73" s="16" t="n">
        <x:v>69</x:v>
      </x:c>
      <x:c r="G73" s="14" t="str">
        <x:v>行動不便住戶可先聯絡管理處，預約樓梯機或職員陪同上落，再等候安排。翠庭苑三座共六部升降機，工程由8月10日做到12月18日，每次停用一部，同座另一部仍然運作。首部是一座東面升降機，每部大約停三星期。
工程費1,260萬元，由維修儲備支付，會更換摩打、控制板、門感應器和部分照明。施工由平日至星期六早上進行到傍晚，鑽鑿則縮短時段，居民要留意不同時間。進度會張貼在大堂及手機程式，零件如有延誤，管理處再另行通知。</x:v>
      </x:c>
    </x:row>
    <x:row r="74" ht="79.19999694824219" hidden="0" customHeight="1">
      <x:c r="A74" s="15" t="str">
        <x:v>073</x:v>
      </x:c>
      <x:c r="B74" s="12" t="str">
        <x:v>ZH-NORMAL-013</x:v>
      </x:c>
      <x:c r="C74" s="15" t="str">
        <x:v>013</x:v>
      </x:c>
      <x:c r="D74" s="12" t="str">
        <x:v>Normal</x:v>
      </x:c>
      <x:c r="E74" s="16" t="n">
        <x:v>50</x:v>
      </x:c>
      <x:c r="F74" s="16" t="n">
        <x:v>69</x:v>
      </x:c>
      <x:c r="G74" s="14" t="str">
        <x:v>開幕首月會抽出客房收入5%保育展品，而客房由8月1日起先接受預訂。織港館要到9月15日才在西九龍開幕，它由一座1958年紡織貨倉改建，工程做了三年，紅磚外牆和舊屋頂保留下來。
館內有48間客房、餐廳及免費展廊。展廊放置工人和居民借出的工具、布辦及訪問資料，酒店亦說每月會有廣東話導賞。旅遊巴要預約才可進入接送區，項目新增約20個職位。客房、展覽及交通幾項安排一起公布，資料算是集中但次序有些分散。</x:v>
      </x:c>
    </x:row>
    <x:row r="75" ht="79.19999694824219" hidden="0" customHeight="1">
      <x:c r="A75" s="15" t="str">
        <x:v>074</x:v>
      </x:c>
      <x:c r="B75" s="12" t="str">
        <x:v>ZH-NORMAL-014</x:v>
      </x:c>
      <x:c r="C75" s="15" t="str">
        <x:v>014</x:v>
      </x:c>
      <x:c r="D75" s="12" t="str">
        <x:v>Normal</x:v>
      </x:c>
      <x:c r="E75" s="16" t="n">
        <x:v>50</x:v>
      </x:c>
      <x:c r="F75" s="16" t="n">
        <x:v>69</x:v>
      </x:c>
      <x:c r="G75" s="14" t="str">
        <x:v>浪升足球盃冠軍可獲3萬元器材資助，而參賽隊伍毋須付費。賽事於10月3及4日在將軍澳啟航運動場舉行，對象是U15學校和社區隊，共16隊，每隊最多15名球員。
首日踢分組賽，次日由八強一路進行至決賽。隊伍會按地區和男女比例甄選，報名期由7月20日至8月14日，球員須於2011年1月1日或之後出生。觀眾免費入場，現場有飲水和急救設施。若天氣不適合，賽事改至10月10及11日，當日早上再經網站或短訊通知。</x:v>
      </x:c>
    </x:row>
    <x:row r="76" ht="92.4000015258789" hidden="0" customHeight="1">
      <x:c r="A76" s="15" t="str">
        <x:v>075</x:v>
      </x:c>
      <x:c r="B76" s="12" t="str">
        <x:v>ZH-NORMAL-015</x:v>
      </x:c>
      <x:c r="C76" s="15" t="str">
        <x:v>015</x:v>
      </x:c>
      <x:c r="D76" s="12" t="str">
        <x:v>Normal</x:v>
      </x:c>
      <x:c r="E76" s="16" t="n">
        <x:v>50</x:v>
      </x:c>
      <x:c r="F76" s="16" t="n">
        <x:v>69</x:v>
      </x:c>
      <x:c r="G76" s="14" t="str">
        <x:v>兩場工作坊由8月1日起接受報名，每場40人，不過活動要到平台推出當日下午才舉行。北角城市記憶館將於8月20日上載首批8,400項舊資料，年代由1945年至2000年，包括相片、地圖、單據及口述訪問，平台免費並設中英文介面。
資料由420名居民和商戶借出或捐贈，整理工作用了18個月，獲基金320萬元資助。涉及版權或私隱的項目只展示節錄，取得授權的才可下載高解像版本。研究員核對後，市民仍可提交證據更正。平台明年還會加入工業和渡海交通內容。</x:v>
      </x:c>
    </x:row>
    <x:row r="77" ht="79.19999694824219" hidden="0" customHeight="1">
      <x:c r="A77" s="15" t="str">
        <x:v>076</x:v>
      </x:c>
      <x:c r="B77" s="12" t="str">
        <x:v>ZH-NORMAL-016</x:v>
      </x:c>
      <x:c r="C77" s="15" t="str">
        <x:v>016</x:v>
      </x:c>
      <x:c r="D77" s="12" t="str">
        <x:v>Normal</x:v>
      </x:c>
      <x:c r="E77" s="16" t="n">
        <x:v>50</x:v>
      </x:c>
      <x:c r="F77" s="16" t="n">
        <x:v>69</x:v>
      </x:c>
      <x:c r="G77" s="14" t="str">
        <x:v>金穗在首三個月會每星期抽查標籤，發現錯漏的產品先停售。新標示9月1日起在18間店使用，涉及約120款麵包、蛋糕和小食。貨架以圖示列出奶、蛋、花生等成分，完整材料則要用手機掃碼查看。
由於工場共用不少焗爐，即使產品沒有加入某種材料，製作時仍可能接觸。嚴重過敏顧客最好自行向店員查詢。公司表示，之前已盤點九個月，員工也接受培訓。配方改動時會先更新網頁，實體標籤到下一批才更換，前後可能有一段時間不完全相同。</x:v>
      </x:c>
    </x:row>
    <x:row r="78" ht="79.19999694824219" hidden="0" customHeight="1">
      <x:c r="A78" s="15" t="str">
        <x:v>077</x:v>
      </x:c>
      <x:c r="B78" s="12" t="str">
        <x:v>ZH-NORMAL-017</x:v>
      </x:c>
      <x:c r="C78" s="15" t="str">
        <x:v>017</x:v>
      </x:c>
      <x:c r="D78" s="12" t="str">
        <x:v>Normal</x:v>
      </x:c>
      <x:c r="E78" s="16" t="n">
        <x:v>50</x:v>
      </x:c>
      <x:c r="F78" s="16" t="n">
        <x:v>69</x:v>
      </x:c>
      <x:c r="G78" s="14" t="str">
        <x:v>講義會在課後一星期放上網。這個工作坊由同心信貸及東岸商戶聯盟合辦，8月26日下午在觀塘創業匯舉行，提供80個免費名額，以廣東話講解小企業現金流。
一名會計師及合作社主管會介紹13星期預測、收款、借貸成本和付款騙案。練習使用虛構店舖，參加者不用交出自己的銀行結單。僱員20人以下企業優先，每間最多兩人，7月22日至8月19日網上登記，結果之後用電郵通知。場地提供字幕，輪椅也可以進入。</x:v>
      </x:c>
    </x:row>
    <x:row r="79" ht="79.19999694824219" hidden="0" customHeight="1">
      <x:c r="A79" s="15" t="str">
        <x:v>078</x:v>
      </x:c>
      <x:c r="B79" s="12" t="str">
        <x:v>ZH-NORMAL-018</x:v>
      </x:c>
      <x:c r="C79" s="15" t="str">
        <x:v>018</x:v>
      </x:c>
      <x:c r="D79" s="12" t="str">
        <x:v>Normal</x:v>
      </x:c>
      <x:c r="E79" s="16" t="n">
        <x:v>50</x:v>
      </x:c>
      <x:c r="F79" s="16" t="n">
        <x:v>69</x:v>
      </x:c>
      <x:c r="G79" s="14" t="str">
        <x:v>封橋時，行人要改到河畔道燈號過路處，多走約280米，輪椅及嬰兒車也應可使用。河閘行人天橋由8月17日維修至11月6日，連接港盛商場，840萬元工程主要處理防水層、接縫、鋼架及LED燈。
日間保留1.5米通道，逢星期一至四晚上11時至翌晨5時全段封閉運送材料。另外，9月12至13日及10月17至18日也全日封橋，日期較多要分開留意。現場有方向牌，繁忙時間有人協助，隔音屏用來減少噪音。如天氣或檢測影響，日期可能再改，網站、現場及商場會分別作出通知。</x:v>
      </x:c>
    </x:row>
    <x:row r="80" ht="79.19999694824219" hidden="0" customHeight="1">
      <x:c r="A80" s="15" t="str">
        <x:v>079</x:v>
      </x:c>
      <x:c r="B80" s="12" t="str">
        <x:v>ZH-NORMAL-019</x:v>
      </x:c>
      <x:c r="C80" s="15" t="str">
        <x:v>019</x:v>
      </x:c>
      <x:c r="D80" s="12" t="str">
        <x:v>Normal</x:v>
      </x:c>
      <x:c r="E80" s="16" t="n">
        <x:v>50</x:v>
      </x:c>
      <x:c r="F80" s="16" t="n">
        <x:v>69</x:v>
      </x:c>
      <x:c r="G80" s="14" t="str">
        <x:v>試行首兩星期逢星期一和三，和景街市會有人協助長者連接免費Wi-Fi。服務名為「市集通」，由9月7日試行至明年2月底，濕貨區、熟食中心及座位附近都有接達點。
每次上網60分鐘，到時後可以重新連接，每部裝置速度最多20Mbps。使用者不用填姓名或電話，只須同意條款，但裝置識別碼及連線時間會保存約30日，瀏覽內容則表示不會保留。付款時，街市又建議市民使用自己的可信網絡。計劃獲190萬元資助，完成後再按使用人數和速度決定是否繼續。</x:v>
      </x:c>
    </x:row>
    <x:row r="81" ht="79.19999694824219" hidden="0" customHeight="1">
      <x:c r="A81" s="15" t="str">
        <x:v>080</x:v>
      </x:c>
      <x:c r="B81" s="12" t="str">
        <x:v>ZH-NORMAL-020</x:v>
      </x:c>
      <x:c r="C81" s="15" t="str">
        <x:v>020</x:v>
      </x:c>
      <x:c r="D81" s="12" t="str">
        <x:v>Normal</x:v>
      </x:c>
      <x:c r="E81" s="16" t="n">
        <x:v>50</x:v>
      </x:c>
      <x:c r="F81" s="16" t="n">
        <x:v>69</x:v>
      </x:c>
      <x:c r="G81" s="14" t="str">
        <x:v>開幕首七日充電費八折，但佔位費仍照常收取。VoltBay將於10月12日在東臨工業區開放，場站全日服務，共有24個充電位，快充和交流位置都有，兩種充電分開計價。
直流充電每度3.2元，交流每度2.4元，完成後超過15分鐘便開始收佔位費。車主可用手機預約時段，也可到場拍卡，不一定先成為會員。太陽能供應一部分電力，電池在繁忙時段協助調節。職員由上午7時至晚上11時在場，其餘時段以對講機找支援人員。</x:v>
      </x:c>
    </x:row>
    <x:row r="82" ht="66" hidden="0" customHeight="1">
      <x:c r="A82" s="15" t="str">
        <x:v>081</x:v>
      </x:c>
      <x:c r="B82" s="12" t="str">
        <x:v>ZH-NORMAL-021</x:v>
      </x:c>
      <x:c r="C82" s="15" t="str">
        <x:v>021</x:v>
      </x:c>
      <x:c r="D82" s="12" t="str">
        <x:v>Normal</x:v>
      </x:c>
      <x:c r="E82" s="16" t="n">
        <x:v>50</x:v>
      </x:c>
      <x:c r="F82" s="16" t="n">
        <x:v>69</x:v>
      </x:c>
      <x:c r="G82" s="14" t="str">
        <x:v>東港大學最近公布城市熱島調查，在六區放置120個感應器，前後大約研究一年。結果說下午比較熱，商業地段平均比海旁高約2.8度，最嚴重的是一些沒有遮蔭的街口，但沒有逐一列出位置。
大學建議在巴士站和長者設施附近增加樹蔭及飲水點，居民會在秋天前後開會選擇地點，實際改善工程要再安排。數據已放上網，市民可自行下載。研究希望幫助規劃，也想令社區找出較熱地方，作用有幾方面但仍待落實。</x:v>
      </x:c>
    </x:row>
    <x:row r="83" ht="79.19999694824219" hidden="0" customHeight="1">
      <x:c r="A83" s="15" t="str">
        <x:v>082</x:v>
      </x:c>
      <x:c r="B83" s="12" t="str">
        <x:v>ZH-NORMAL-022</x:v>
      </x:c>
      <x:c r="C83" s="15" t="str">
        <x:v>022</x:v>
      </x:c>
      <x:c r="D83" s="12" t="str">
        <x:v>Normal</x:v>
      </x:c>
      <x:c r="E83" s="16" t="n">
        <x:v>50</x:v>
      </x:c>
      <x:c r="F83" s="16" t="n">
        <x:v>69</x:v>
      </x:c>
      <x:c r="G83" s="14" t="str">
        <x:v>安步社區服務社下月起在公共屋邨舉辦防火工作坊，一直做到年底，共有60場，涉及20個屋邨。課堂免費，內容包括逃生、火警鐘、滅火氈、充電安全，以及家中長者如何撤離。
消防人員和社工會做示範，參加者可取得幾種語言的家居檢查表。報名在7月下旬開始，各屋邨日期要自行再查。部分長者可安排上門查看，但這不是政府檢查，名額也未按地區分開。活動預計幫助3,000個家庭，成效明年再作跟進。</x:v>
      </x:c>
    </x:row>
    <x:row r="84" ht="79.19999694824219" hidden="0" customHeight="1">
      <x:c r="A84" s="15" t="str">
        <x:v>083</x:v>
      </x:c>
      <x:c r="B84" s="12" t="str">
        <x:v>ZH-NORMAL-023</x:v>
      </x:c>
      <x:c r="C84" s="15" t="str">
        <x:v>023</x:v>
      </x:c>
      <x:c r="D84" s="12" t="str">
        <x:v>Normal</x:v>
      </x:c>
      <x:c r="E84" s="16" t="n">
        <x:v>50</x:v>
      </x:c>
      <x:c r="F84" s="16" t="n">
        <x:v>69</x:v>
      </x:c>
      <x:c r="G84" s="14" t="str">
        <x:v>環織資源8月會在商場及屋苑放置40個舊衣回收箱，分布在多個地點。市民可投入乾淨衣物、床單、毛巾和布袋，鞋履及濕衣不要放入。
物品每星期送到新田，狀況較好的交給社福機構，破損的按布料分類再造。箱上的二維碼可查看收運批次，但不是逐件物品追蹤。公司希望一年回收300公噸，其後按季公布數字，居民不用付費。至於無法回收的布料，仍要交由公司再處理。</x:v>
      </x:c>
    </x:row>
    <x:row r="85" ht="79.19999694824219" hidden="0" customHeight="1">
      <x:c r="A85" s="15" t="str">
        <x:v>084</x:v>
      </x:c>
      <x:c r="B85" s="12" t="str">
        <x:v>ZH-NORMAL-024</x:v>
      </x:c>
      <x:c r="C85" s="15" t="str">
        <x:v>024</x:v>
      </x:c>
      <x:c r="D85" s="12" t="str">
        <x:v>Normal</x:v>
      </x:c>
      <x:c r="E85" s="16" t="n">
        <x:v>50</x:v>
      </x:c>
      <x:c r="F85" s="16" t="n">
        <x:v>69</x:v>
      </x:c>
      <x:c r="G85" s="14" t="str">
        <x:v>匠途協會將於秋天開辦青年學徒計劃，招收18至30歲人士，共60個名額。課程可學木工、金工、霓虹招牌及舞台道具，大部分時間在公司實習，另有安全和繪圖課。學員每月可獲一萬五千元，工具由合作企業處理，參與公司有十多間。
申請在8月上半月進行，沒有經驗也可報名，之後要面談和試做。完成一年培訓並通過作品評核可獲證書，企業只安排一次面試，不保證聘用。計劃前段學手藝，後段再轉向就業跟進，安排大概如此。</x:v>
      </x:c>
    </x:row>
    <x:row r="86" ht="79.19999694824219" hidden="0" customHeight="1">
      <x:c r="A86" s="15" t="str">
        <x:v>085</x:v>
      </x:c>
      <x:c r="B86" s="12" t="str">
        <x:v>ZH-NORMAL-025</x:v>
      </x:c>
      <x:c r="C86" s="15" t="str">
        <x:v>025</x:v>
      </x:c>
      <x:c r="D86" s="12" t="str">
        <x:v>Normal</x:v>
      </x:c>
      <x:c r="E86" s="16" t="n">
        <x:v>50</x:v>
      </x:c>
      <x:c r="F86" s="16" t="n">
        <x:v>69</x:v>
      </x:c>
      <x:c r="G86" s="14" t="str">
        <x:v>迅達購8月初擴大即日送貨，新增北嶺、河畔、新橋及海榮，連同原有地區合共十區。顧客在下午2時前付款，可選擇晚上收貨，運費38元，購物滿500元免運費。
並非所有貨品適用，冷藏食品、大型傢俬及跨境貨通常不送，商品須有相關標誌。公司會增加配送站及電動貨車，每日處理數千張訂單，各區分配多少仍未確定。打風、黑雨或封路時服務暫停，顧客可改期或退回運費。地址要到結帳頁才知道是否合資格，即日服務仍要先試地址，程序有點轉折。</x:v>
      </x:c>
    </x:row>
    <x:row r="87" ht="79.19999694824219" hidden="0" customHeight="1">
      <x:c r="A87" s="15" t="str">
        <x:v>086</x:v>
      </x:c>
      <x:c r="B87" s="12" t="str">
        <x:v>ZH-NORMAL-026</x:v>
      </x:c>
      <x:c r="C87" s="15" t="str">
        <x:v>026</x:v>
      </x:c>
      <x:c r="D87" s="12" t="str">
        <x:v>Normal</x:v>
      </x:c>
      <x:c r="E87" s="16" t="n">
        <x:v>50</x:v>
      </x:c>
      <x:c r="F87" s="16" t="n">
        <x:v>69</x:v>
      </x:c>
      <x:c r="G87" s="14" t="str">
        <x:v>銀匙社企9月起在四區試辦長者送餐，先服務約500名65歲以上、收入較低並獨居或兩老同住的居民。午餐逢星期一至五配送，每份10元，不另收送餐費，其他費用沒有再分開說明。
餐膳有普通、軟餐及糖尿病選擇，由多間餐廳負責。申請人不能直接訂餐，要經社福機構、醫療人員或屋邨辦事處轉介。配送員在中午前後上門，無人應門時會聯絡照顧者。計劃試行半年，結束後再看送達是否準時和長者的膳食意見。</x:v>
      </x:c>
    </x:row>
    <x:row r="88" ht="79.19999694824219" hidden="0" customHeight="1">
      <x:c r="A88" s="15" t="str">
        <x:v>087</x:v>
      </x:c>
      <x:c r="B88" s="12" t="str">
        <x:v>ZH-NORMAL-027</x:v>
      </x:c>
      <x:c r="C88" s="15" t="str">
        <x:v>027</x:v>
      </x:c>
      <x:c r="D88" s="12" t="str">
        <x:v>Normal</x:v>
      </x:c>
      <x:c r="E88" s="16" t="n">
        <x:v>50</x:v>
      </x:c>
      <x:c r="F88" s="16" t="n">
        <x:v>69</x:v>
      </x:c>
      <x:c r="G88" s="14" t="str">
        <x:v>星灣海濱8月下旬會舉辦光影活動，逢星期五至日晚上有兩場，每場約18分鐘，免費入場，活動到9月初結束。節目用投影、激光及音樂講港口故事，另有一些學生和藝術家的作品。
觀眾毋須預約，滿場後便停止進場，每場可容納數千人。活動日海濱東段改為單向步行，單車徑關閉，附近也沒有專用泊車位。星期六首場有口述影像，無障礙位置在活動前幾日登記，入口到時再找。打風或暴雨可能取消，出門前要自行查看。</x:v>
      </x:c>
    </x:row>
    <x:row r="89" ht="79.19999694824219" hidden="0" customHeight="1">
      <x:c r="A89" s="15" t="str">
        <x:v>088</x:v>
      </x:c>
      <x:c r="B89" s="12" t="str">
        <x:v>ZH-NORMAL-028</x:v>
      </x:c>
      <x:c r="C89" s="15" t="str">
        <x:v>028</x:v>
      </x:c>
      <x:c r="D89" s="12" t="str">
        <x:v>Normal</x:v>
      </x:c>
      <x:c r="E89" s="16" t="n">
        <x:v>50</x:v>
      </x:c>
      <x:c r="F89" s="16" t="n">
        <x:v>69</x:v>
      </x:c>
      <x:c r="G89" s="14" t="str">
        <x:v>新域製造在宏橋工業園興建機械人生產線，投資1.2億元，預計11月左右投入運作。38台機械人會裝嵌、檢查及包裝家居能源感應器，協作和檢測設備放在同一條生產線。
公司估計，月產量由25萬件增至40萬件，瑕疵率也會降低，但數字仍是估算。現有員工先接受培訓再轉崗，公司表示不會裁員，部分人監察設備，部分轉做品質工作。新線大部分電力來自再生能源，首批貨於年尾付運。運作半年後再看實際產量，能源數據也會一併了解。</x:v>
      </x:c>
    </x:row>
    <x:row r="90" ht="92.4000015258789" hidden="0" customHeight="1">
      <x:c r="A90" s="15" t="str">
        <x:v>089</x:v>
      </x:c>
      <x:c r="B90" s="12" t="str">
        <x:v>ZH-NORMAL-029</x:v>
      </x:c>
      <x:c r="C90" s="15" t="str">
        <x:v>029</x:v>
      </x:c>
      <x:c r="D90" s="12" t="str">
        <x:v>Normal</x:v>
      </x:c>
      <x:c r="E90" s="16" t="n">
        <x:v>50</x:v>
      </x:c>
      <x:c r="F90" s="16" t="n">
        <x:v>69</x:v>
      </x:c>
      <x:c r="G90" s="14" t="str">
        <x:v>守線科技協會8月起營運中小企網絡事故熱線3188 7711，全日有人接聽。僱員少於100人的本港公司，如遇勒索軟件、假電郵或帳戶被盜，可先詢問如何隔離裝置及更改密碼。
首兩小時遙距協助免費，之後如需上門或修復便會收費，企業要等職員報價後再決定。公司亦可用網上表格求助。個案資料保存一段時間，法律有需要時可能交給有關機構。若涉及人身安全，仍應使用緊急服務，這條熱線不是報警用途。首季希望接到不少查詢，是否處理完成則逐宗再看。</x:v>
      </x:c>
    </x:row>
    <x:row r="91" ht="79.19999694824219" hidden="0" customHeight="1">
      <x:c r="A91" s="15" t="str">
        <x:v>090</x:v>
      </x:c>
      <x:c r="B91" s="12" t="str">
        <x:v>ZH-NORMAL-030</x:v>
      </x:c>
      <x:c r="C91" s="15" t="str">
        <x:v>030</x:v>
      </x:c>
      <x:c r="D91" s="12" t="str">
        <x:v>Normal</x:v>
      </x:c>
      <x:c r="E91" s="16" t="n">
        <x:v>50</x:v>
      </x:c>
      <x:c r="F91" s="16" t="n">
        <x:v>69</x:v>
      </x:c>
      <x:c r="G91" s="14" t="str">
        <x:v>善港基金先說明第二階段復修安排，家居及小商戶可申請至8月底，餘下約720萬元會保留作這部分用途。截至7月中，水災善款收到2,860萬元，已撥出2,140萬元。
款項包括向受影響家庭每戶發放一萬元，也用於維修社區地方、購買清潔用品及臨時床具，幾項支出合在一起交代。基金表示，會計人員已查看帳目，未發現不當支出，受助者姓名不會公開。這是第一份收支資料，下一次約在9月底再公布，網站有分類數字，但居民要自行逐項查看。</x:v>
      </x:c>
    </x:row>
    <x:row r="92" ht="39.599998474121094" hidden="0" customHeight="1">
      <x:c r="A92" s="15" t="str">
        <x:v>091</x:v>
      </x:c>
      <x:c r="B92" s="12" t="str">
        <x:v>ZH-BAD-001</x:v>
      </x:c>
      <x:c r="C92" s="15" t="str">
        <x:v>001</x:v>
      </x:c>
      <x:c r="D92" s="12" t="str">
        <x:v>Bad</x:v>
      </x:c>
      <x:c r="E92" s="16" t="n">
        <x:v>30</x:v>
      </x:c>
      <x:c r="F92" s="16" t="n">
        <x:v>49</x:v>
      </x:c>
      <x:c r="G92" s="14" t="str">
        <x:v>荃灣一間包裝廠要加機器做外賣紙盒，港灣稱10月開始工程，但地方有幾大沒有講清。公司用幾千萬元，產量應該增加，現有貨就說照樣送。9月底又先辦招聘，工人可能未開工便等着。新機用水性技術，廢氣和水回收後就當較環保。附近有噪音和車輛只好先忍，明年試機再正式開，月份很多不用記得太準。</x:v>
      </x:c>
    </x:row>
    <x:row r="93" ht="39.599998474121094" hidden="0" customHeight="1">
      <x:c r="A93" s="15" t="str">
        <x:v>092</x:v>
      </x:c>
      <x:c r="B93" s="12" t="str">
        <x:v>ZH-BAD-002</x:v>
      </x:c>
      <x:c r="C93" s="15" t="str">
        <x:v>002</x:v>
      </x:c>
      <x:c r="D93" s="12" t="str">
        <x:v>Bad</x:v>
      </x:c>
      <x:c r="E93" s="16" t="n">
        <x:v>30</x:v>
      </x:c>
      <x:c r="F93" s="16" t="n">
        <x:v>49</x:v>
      </x:c>
      <x:c r="G93" s="14" t="str">
        <x:v>啟航10月辦科技班，主要給附近資源不多的初中生，報名很早就截止。學生要學校或社工推薦，自己交表未必可以。星期六學機械人和程式，最後還要做社區作品，教師、大學生和工程人員都來幫，誰教哪組到時才知。基金付錢所以不用學費，電腦交通是否人人都有再看。學校說不只看成績，肯學大概有機會，但名額不多。</x:v>
      </x:c>
    </x:row>
    <x:row r="94" ht="39.599998474121094" hidden="0" customHeight="1">
      <x:c r="A94" s="15" t="str">
        <x:v>093</x:v>
      </x:c>
      <x:c r="B94" s="12" t="str">
        <x:v>ZH-BAD-003</x:v>
      </x:c>
      <x:c r="C94" s="15" t="str">
        <x:v>003</x:v>
      </x:c>
      <x:c r="D94" s="12" t="str">
        <x:v>Bad</x:v>
      </x:c>
      <x:c r="E94" s="16" t="n">
        <x:v>30</x:v>
      </x:c>
      <x:c r="F94" s="16" t="n">
        <x:v>49</x:v>
      </x:c>
      <x:c r="G94" s="14" t="str">
        <x:v>語港有個粵語AI替商戶接電話，產品資料先放進去，它識答便答，不識就轉真人。餐廳和店舖可用，中英夾雜也說聽得明，退款投訴最好直接推給職員，免得系統搞錯。服務秋天收費，每月一千多元，先試幾日。公司找過一些店測試，稱速度快和分部門很準，數字也是公司自己計。資料放雲端多久由商戶設定，私隱方面商戶都要自己看實。</x:v>
      </x:c>
    </x:row>
    <x:row r="95" ht="39.599998474121094" hidden="0" customHeight="1">
      <x:c r="A95" s="15" t="str">
        <x:v>094</x:v>
      </x:c>
      <x:c r="B95" s="12" t="str">
        <x:v>ZH-BAD-004</x:v>
      </x:c>
      <x:c r="C95" s="15" t="str">
        <x:v>004</x:v>
      </x:c>
      <x:c r="D95" s="12" t="str">
        <x:v>Bad</x:v>
      </x:c>
      <x:c r="E95" s="16" t="n">
        <x:v>30</x:v>
      </x:c>
      <x:c r="F95" s="16" t="n">
        <x:v>49</x:v>
      </x:c>
      <x:c r="G95" s="14" t="str">
        <x:v>海景海邊11月辦兩日墟市，文化協會由早到晚做，不收門票。手作、食物、學生唱歌、粵劇和小朋友活動都有，節目太多，去到見到甚麼就看甚麼。飲品杯先付錢，交回才退，不想付便少喝一杯。活動日道路早上封閉，港鐵站雖有接駁車，塞車照樣可能發生。大雨把部分節目搬入會堂，大風就全部停，主辦方到時才在網上更新。</x:v>
      </x:c>
    </x:row>
    <x:row r="96" ht="39.599998474121094" hidden="0" customHeight="1">
      <x:c r="A96" s="15" t="str">
        <x:v>095</x:v>
      </x:c>
      <x:c r="B96" s="12" t="str">
        <x:v>ZH-BAD-005</x:v>
      </x:c>
      <x:c r="C96" s="15" t="str">
        <x:v>005</x:v>
      </x:c>
      <x:c r="D96" s="12" t="str">
        <x:v>Bad</x:v>
      </x:c>
      <x:c r="E96" s="16" t="n">
        <x:v>30</x:v>
      </x:c>
      <x:c r="F96" s="16" t="n">
        <x:v>49</x:v>
      </x:c>
      <x:c r="G96" s="14" t="str">
        <x:v>88M本來秋天停辦，綠峰又讓它行到年底，主要因早上有人搭。小巴由青嶺邨開去車站，中途加市政樓和醫院，開始日期乘客自己看站牌。加站後車程慢些，繁忙時間班次密些，其他時候便等久一點，周末仍會行。正價和優惠價大概照舊。公司叫乘客掃碼講意見，年底再決定保不保留，其實既然多人坐又試很久，仍然未肯直接長做。</x:v>
      </x:c>
    </x:row>
    <x:row r="97" ht="39.599998474121094" hidden="0" customHeight="1">
      <x:c r="A97" s="15" t="str">
        <x:v>096</x:v>
      </x:c>
      <x:c r="B97" s="12" t="str">
        <x:v>ZH-BAD-006</x:v>
      </x:c>
      <x:c r="C97" s="15" t="str">
        <x:v>006</x:v>
      </x:c>
      <x:c r="D97" s="12" t="str">
        <x:v>Bad</x:v>
      </x:c>
      <x:c r="E97" s="16" t="n">
        <x:v>30</x:v>
      </x:c>
      <x:c r="F97" s="16" t="n">
        <x:v>49</x:v>
      </x:c>
      <x:c r="G97" s="14" t="str">
        <x:v>鮮港幾間店秋天開始借飯盒，買熟食先多付一筆錢，交還盒後才退款。餐盒不用洗得很乾淨，倒掉食物便交，合作公司收去再洗，破爛的另行處理。一個月內還盒比較穩妥，遲了怎樣就問店員。用重用盒會便宜一點，但付款時先加按金又減優惠，趕時間容易以為自己買了盒。店名遲些才上網，未知道哪間可還就最好先別借。</x:v>
      </x:c>
    </x:row>
    <x:row r="98" ht="39.599998474121094" hidden="0" customHeight="1">
      <x:c r="A98" s="15" t="str">
        <x:v>097</x:v>
      </x:c>
      <x:c r="B98" s="12" t="str">
        <x:v>ZH-BAD-007</x:v>
      </x:c>
      <x:c r="C98" s="15" t="str">
        <x:v>007</x:v>
      </x:c>
      <x:c r="D98" s="12" t="str">
        <x:v>Bad</x:v>
      </x:c>
      <x:c r="E98" s="16" t="n">
        <x:v>30</x:v>
      </x:c>
      <x:c r="F98" s="16" t="n">
        <x:v>49</x:v>
      </x:c>
      <x:c r="G98" s="14" t="str">
        <x:v>屯門卓峰準備在幾幢廠房天台裝太陽能板，秋天施工，最快明年有電。租戶不用停業，但星期日有吊機便要自己避開，公司會提早通知。項目花幾千萬元，園方未運作已經估計公共地方可用大半電，又說減少很多碳。多出的電送入電網，收入再做其他工程。天台負重和消防說是看過，正式驗收卻排在供電後，機器先開着再找工程師看。</x:v>
      </x:c>
    </x:row>
    <x:row r="99" ht="39.599998474121094" hidden="0" customHeight="1">
      <x:c r="A99" s="15" t="str">
        <x:v>098</x:v>
      </x:c>
      <x:c r="B99" s="12" t="str">
        <x:v>ZH-BAD-008</x:v>
      </x:c>
      <x:c r="C99" s="15" t="str">
        <x:v>008</x:v>
      </x:c>
      <x:c r="D99" s="12" t="str">
        <x:v>Bad</x:v>
      </x:c>
      <x:c r="E99" s="16" t="n">
        <x:v>30</x:v>
      </x:c>
      <x:c r="F99" s="16" t="n">
        <x:v>49</x:v>
      </x:c>
      <x:c r="G99" s="14" t="str">
        <x:v>打風時圖書車不開，新界閱讀服務處平日派幾輛車到元朗、大埔和北區，9月先試行。每周到幾次，去哪條村要等告示，錯過只好下次。車上中英文書、小童書和長者書放在一起，會員借還，沒有證件就帶文件上車辦。職員要處理登記又教平板，繁忙時自然排隊。輪椅設備說是有，是否每車一樣到場再看，半年後人少的站可能不再去。</x:v>
      </x:c>
    </x:row>
    <x:row r="100" ht="39.599998474121094" hidden="0" customHeight="1">
      <x:c r="A100" s="15" t="str">
        <x:v>099</x:v>
      </x:c>
      <x:c r="B100" s="12" t="str">
        <x:v>ZH-BAD-009</x:v>
      </x:c>
      <x:c r="C100" s="15" t="str">
        <x:v>009</x:v>
      </x:c>
      <x:c r="D100" s="12" t="str">
        <x:v>Bad</x:v>
      </x:c>
      <x:c r="E100" s="16" t="n">
        <x:v>30</x:v>
      </x:c>
      <x:c r="F100" s="16" t="n">
        <x:v>49</x:v>
      </x:c>
      <x:c r="G100" s="14" t="str">
        <x:v>清感有部小機看室內空氣，秋天網上發售，家中和店舖都可以放。燈一變色就叫人開窗，粉塵和二氧化碳等數字普通人未必明，照看顏色便算。手機可保留一段紀錄，沒有網絡可能有些功能看不到。機價幾百元，商戶看多部要再月付，校準和保養又是另一回事。它不是醫療儀器，空氣不好只會亮燈，最後還是用戶自己處理。</x:v>
      </x:c>
    </x:row>
    <x:row r="101" ht="52.79999923706055" hidden="0" customHeight="1">
      <x:c r="A101" s="15" t="str">
        <x:v>100</x:v>
      </x:c>
      <x:c r="B101" s="12" t="str">
        <x:v>ZH-BAD-010</x:v>
      </x:c>
      <x:c r="C101" s="15" t="str">
        <x:v>010</x:v>
      </x:c>
      <x:c r="D101" s="12" t="str">
        <x:v>Bad</x:v>
      </x:c>
      <x:c r="E101" s="16" t="n">
        <x:v>30</x:v>
      </x:c>
      <x:c r="F101" s="16" t="n">
        <x:v>49</x:v>
      </x:c>
      <x:c r="G101" s="14" t="str">
        <x:v>葵青經緯的倉庫秋天擴大，舊客貨物早些開始搬，新區其後才開。公司花很多錢加地方和分貨機，電商貨可以放多些，條碼有錯就交人手處理。倉務和系統人員請了一批，但仍有職位未請齊，生產線照樣先開。明年另有凍倉，溫度按客戶需要再調。公司說基本租金不加，個別客戶仍可能不同價，生意逐個談。幾個月後才看是否準時，現在先當擴建有用。</x:v>
      </x:c>
    </x:row>
    <x:row r="102" ht="52.79999923706055" hidden="0" customHeight="1">
      <x:c r="A102" s="15" t="str">
        <x:v>101</x:v>
      </x:c>
      <x:c r="B102" s="12" t="str">
        <x:v>ZH-BAD-011</x:v>
      </x:c>
      <x:c r="C102" s="15" t="str">
        <x:v>011</x:v>
      </x:c>
      <x:c r="D102" s="12" t="str">
        <x:v>Bad</x:v>
      </x:c>
      <x:c r="E102" s="16" t="n">
        <x:v>30</x:v>
      </x:c>
      <x:c r="F102" s="16" t="n">
        <x:v>49</x:v>
      </x:c>
      <x:c r="G102" s="14" t="str">
        <x:v>聲橋有一輛聽力車，先說11月28日完結，8月3日才由晴橋邨開始，之後大概走九龍東12個屋苑。長者免費參加，預約或即場去似乎都可以，7月20日起電話和網站有資料。每次25分鐘，一日30個名額，車上問病歷、看耳和播放聲音，聽得差便轉去診所，這並不是正式看醫生。基金68萬元又包括講座，講座和檢查如何排沒有清楚說，屋苑名單還是自己上網找。</x:v>
      </x:c>
    </x:row>
    <x:row r="103" ht="52.79999923706055" hidden="0" customHeight="1">
      <x:c r="A103" s="15" t="str">
        <x:v>102</x:v>
      </x:c>
      <x:c r="B103" s="12" t="str">
        <x:v>ZH-BAD-012</x:v>
      </x:c>
      <x:c r="C103" s="15" t="str">
        <x:v>012</x:v>
      </x:c>
      <x:c r="D103" s="12" t="str">
        <x:v>Bad</x:v>
      </x:c>
      <x:c r="E103" s="16" t="n">
        <x:v>30</x:v>
      </x:c>
      <x:c r="F103" s="16" t="n">
        <x:v>49</x:v>
      </x:c>
      <x:c r="G103" s="14" t="str">
        <x:v>翠庭苑要維修升降機，8月10日先停一座東面，到12月才完成三座六部。每部停約三星期，同座另一部仍開着，所以管理處認為不算太麻煩，另一部若壞就只能等。工程費1,260萬元由維修儲備出，摩打、門和燈等都換，工人由早做到晚，鑽牆時段另計。輪椅住戶要先通知，可能安排樓梯機或職員陪同。大堂和手機程式貼相同進度，零件遲到便遲些再通知。</x:v>
      </x:c>
    </x:row>
    <x:row r="104" ht="52.79999923706055" hidden="0" customHeight="1">
      <x:c r="A104" s="15" t="str">
        <x:v>103</x:v>
      </x:c>
      <x:c r="B104" s="12" t="str">
        <x:v>ZH-BAD-013</x:v>
      </x:c>
      <x:c r="C104" s="15" t="str">
        <x:v>013</x:v>
      </x:c>
      <x:c r="D104" s="12" t="str">
        <x:v>Bad</x:v>
      </x:c>
      <x:c r="E104" s="16" t="n">
        <x:v>30</x:v>
      </x:c>
      <x:c r="F104" s="16" t="n">
        <x:v>49</x:v>
      </x:c>
      <x:c r="G104" s="14" t="str">
        <x:v>海織8月1日先收訂房，西九龍的織港館9月15日才開，未開的房已可預訂，酒店認為沒有問題。1958年舊貨倉改了三年，紅磚和路軌留下，內裏既是酒店又擺工人舊物。大約48間房，72件工具、布辦和訪問資料放在免費展廊，並不是全放客房，但消息混在一起。舊木梭又做家具，承重部分則用新料。項目投資1.8億元，會請人和辦導賞，客房收入抽5%保育展品，旅遊巴只說要預約。</x:v>
      </x:c>
    </x:row>
    <x:row r="105" ht="52.79999923706055" hidden="0" customHeight="1">
      <x:c r="A105" s="15" t="str">
        <x:v>104</x:v>
      </x:c>
      <x:c r="B105" s="12" t="str">
        <x:v>ZH-BAD-014</x:v>
      </x:c>
      <x:c r="C105" s="15" t="str">
        <x:v>014</x:v>
      </x:c>
      <x:c r="D105" s="12" t="str">
        <x:v>Bad</x:v>
      </x:c>
      <x:c r="E105" s="16" t="n">
        <x:v>30</x:v>
      </x:c>
      <x:c r="F105" s="16" t="n">
        <x:v>49</x:v>
      </x:c>
      <x:c r="G105" s="14" t="str">
        <x:v>浪升青年足球盃10月3及4日舉行，報名卻在7月至8月，隔很久才到將軍澳比賽。16隊每隊15人，有學校又有社區，入隊條件只說U15和2011年的出生日期。首日分組，第二日淘汰，可能一路踢至決賽。觀眾免費，參賽也是免費，場內有水和急救就算基本齊全。冠軍獲3萬元買器材。天氣不好改到10月10及11日，早上6時自己看網站，收不到短訊也只好再找。</x:v>
      </x:c>
    </x:row>
    <x:row r="106" ht="52.79999923706055" hidden="0" customHeight="1">
      <x:c r="A106" s="15" t="str">
        <x:v>105</x:v>
      </x:c>
      <x:c r="B106" s="12" t="str">
        <x:v>ZH-BAD-015</x:v>
      </x:c>
      <x:c r="C106" s="15" t="str">
        <x:v>015</x:v>
      </x:c>
      <x:c r="D106" s="12" t="str">
        <x:v>Bad</x:v>
      </x:c>
      <x:c r="E106" s="16" t="n">
        <x:v>30</x:v>
      </x:c>
      <x:c r="F106" s="16" t="n">
        <x:v>49</x:v>
      </x:c>
      <x:c r="G106" s="14" t="str">
        <x:v>北角記憶館8月20日把很多舊相放上網，同日下午又辦工作坊，每班40人，想參加要8月1日先報名。平台免費，工作坊也說免費。資料庫有8,400項，由1945年至2000年，除了相片還有單據和訪問。館方選部分資料供下載，涉及私隱便只給節錄。基金用320萬元整理18個月，居民和商戶交了不少資料，放上網就當人人方便。明年會再加內容，沒有報班的人之後自行摸索平台。</x:v>
      </x:c>
    </x:row>
    <x:row r="107" ht="52.79999923706055" hidden="0" customHeight="1">
      <x:c r="A107" s="15" t="str">
        <x:v>106</x:v>
      </x:c>
      <x:c r="B107" s="12" t="str">
        <x:v>ZH-BAD-016</x:v>
      </x:c>
      <x:c r="C107" s="15" t="str">
        <x:v>016</x:v>
      </x:c>
      <x:c r="D107" s="12" t="str">
        <x:v>Bad</x:v>
      </x:c>
      <x:c r="E107" s="16" t="n">
        <x:v>30</x:v>
      </x:c>
      <x:c r="F107" s="16" t="n">
        <x:v>49</x:v>
      </x:c>
      <x:c r="G107" s="14" t="str">
        <x:v>金穗9月1日起貼新致敏圖示，18間店約120款麵包、蛋糕和小食都包括。八類成分只舉奶、蛋和花生等，其他要掃碼自己看，沒有手機便問店員。工場焗爐共用，沒加某種材料也可能沾到，公司又說整理了九個月，所以似乎問題不大，但嚴重過敏人士仍要自行衡量。配方改動先更新網頁，包裝下一批才換，舊貨貼紙後照賣。最初幾個月會抽查，出錯便停售，何時重售沒有交代。</x:v>
      </x:c>
    </x:row>
    <x:row r="108" ht="52.79999923706055" hidden="0" customHeight="1">
      <x:c r="A108" s="15" t="str">
        <x:v>107</x:v>
      </x:c>
      <x:c r="B108" s="12" t="str">
        <x:v>ZH-BAD-017</x:v>
      </x:c>
      <x:c r="C108" s="15" t="str">
        <x:v>017</x:v>
      </x:c>
      <x:c r="D108" s="12" t="str">
        <x:v>Bad</x:v>
      </x:c>
      <x:c r="E108" s="16" t="n">
        <x:v>30</x:v>
      </x:c>
      <x:c r="F108" s="16" t="n">
        <x:v>49</x:v>
      </x:c>
      <x:c r="G108" s="14" t="str">
        <x:v>同心信貸和東岸商戶聯盟在觀塘辦免費課，80個位先給僱員20人以下企業，每間最多兩人，其他公司報名可能落空。課堂8月26日下午舉行，7月22日至8月19日報名，結果說用電郵通知，時間安排講得不太清。幾個小時內要講13星期現金流、追款、借貸成本和騙案，內容多應該很趕。練習用假店資料，不用交銀行結單，現場也不是賣貸款。講義稍後上網，未收到電郵的人仍要等。</x:v>
      </x:c>
    </x:row>
    <x:row r="109" ht="52.79999923706055" hidden="0" customHeight="1">
      <x:c r="A109" s="15" t="str">
        <x:v>108</x:v>
      </x:c>
      <x:c r="B109" s="12" t="str">
        <x:v>ZH-BAD-018</x:v>
      </x:c>
      <x:c r="C109" s="15" t="str">
        <x:v>018</x:v>
      </x:c>
      <x:c r="D109" s="12" t="str">
        <x:v>Bad</x:v>
      </x:c>
      <x:c r="E109" s="16" t="n">
        <x:v>30</x:v>
      </x:c>
      <x:c r="F109" s="16" t="n">
        <x:v>49</x:v>
      </x:c>
      <x:c r="G109" s="14" t="str">
        <x:v>連接港盛商場的河閘天橋8月至11月維修，日間留1.5米通道，夜晚又會封，哪天可過最好看現場牌。840萬元工程做防水、接縫、鋼架和換燈，完工後方便，但施工時要落地面過馬路。繞路約280米，輪椅也說可行，繁忙時間會否擠塞沒有說。星期一至四晚搬材料，9月及10月另有幾個周末全日封閉，日期記不住就到場再看。天氣差可能改期，網站大概早兩日公布。</x:v>
      </x:c>
    </x:row>
    <x:row r="110" ht="52.79999923706055" hidden="0" customHeight="1">
      <x:c r="A110" s="15" t="str">
        <x:v>109</x:v>
      </x:c>
      <x:c r="B110" s="12" t="str">
        <x:v>ZH-BAD-019</x:v>
      </x:c>
      <x:c r="C110" s="15" t="str">
        <x:v>019</x:v>
      </x:c>
      <x:c r="D110" s="12" t="str">
        <x:v>Bad</x:v>
      </x:c>
      <x:c r="E110" s="16" t="n">
        <x:v>30</x:v>
      </x:c>
      <x:c r="F110" s="16" t="n">
        <x:v>49</x:v>
      </x:c>
      <x:c r="G110" s="14" t="str">
        <x:v>和景街市9月開始提供免費上網，做到明年2月左右，濕貨區和熟食中心共有36個接達點。每次可用一小時，完結後再連便可以，所以時限看來又不太像時限。速度20Mbps，一般街坊未必知道快慢。署方稱不用交姓名，卻會保存裝置資料30日，又叫人付款時用自己的網絡，說明前後兜了一圈。計劃獲190萬元，首兩周某些日子有人教長者，之後才看是否繼續。</x:v>
      </x:c>
    </x:row>
    <x:row r="111" ht="52.79999923706055" hidden="0" customHeight="1">
      <x:c r="A111" s="15" t="str">
        <x:v>110</x:v>
      </x:c>
      <x:c r="B111" s="12" t="str">
        <x:v>ZH-BAD-020</x:v>
      </x:c>
      <x:c r="C111" s="15" t="str">
        <x:v>020</x:v>
      </x:c>
      <x:c r="D111" s="12" t="str">
        <x:v>Bad</x:v>
      </x:c>
      <x:c r="E111" s="16" t="n">
        <x:v>30</x:v>
      </x:c>
      <x:c r="F111" s="16" t="n">
        <x:v>49</x:v>
      </x:c>
      <x:c r="G111" s="14" t="str">
        <x:v>VoltBay在東臨10月12日開充電場，24小時有24個車位，但職員只由早上7時至晚上11時當值，深夜車主靠對講機求助。快充每度3.2元，慢充2.4元，價錢和車位放在一起講，車主到場再分。充完15分鐘後收佔位費，手機可預約30分鐘，超過時段又要再處理。開幕首星期八折，但佔位費照收。現場可拍卡，不入會也不一定要用手機，通告又把兩種方法混着講。</x:v>
      </x:c>
    </x:row>
    <x:row r="112" ht="52.79999923706055" hidden="0" customHeight="1">
      <x:c r="A112" s="15" t="str">
        <x:v>111</x:v>
      </x:c>
      <x:c r="B112" s="12" t="str">
        <x:v>ZH-BAD-021</x:v>
      </x:c>
      <x:c r="C112" s="15" t="str">
        <x:v>021</x:v>
      </x:c>
      <x:c r="D112" s="12" t="str">
        <x:v>Bad</x:v>
      </x:c>
      <x:c r="E112" s="16" t="n">
        <x:v>30</x:v>
      </x:c>
      <x:c r="F112" s="16" t="n">
        <x:v>49</x:v>
      </x:c>
      <x:c r="G112" s="14" t="str">
        <x:v>居民稍後要開會講哪些地方太熱，東港大學已先建議加樹蔭和飲水點。研究用感應器及測量車在幾區量了一年，去年開始，今年4月完結，8月才再叫居民選位置。商業區下午比海旁熱，研究人員說樓宇多，沒有樹的地方自然最熱。數據放上網讓人自己看，改善工程大概不會很快，一方面問居民，一方面又像已決定要做。研究公布後還要再計哪些地點最需要處理。</x:v>
      </x:c>
    </x:row>
    <x:row r="113" ht="39.599998474121094" hidden="0" customHeight="1">
      <x:c r="A113" s="15" t="str">
        <x:v>112</x:v>
      </x:c>
      <x:c r="B113" s="12" t="str">
        <x:v>ZH-BAD-022</x:v>
      </x:c>
      <x:c r="C113" s="15" t="str">
        <x:v>022</x:v>
      </x:c>
      <x:c r="D113" s="12" t="str">
        <x:v>Bad</x:v>
      </x:c>
      <x:c r="E113" s="16" t="n">
        <x:v>30</x:v>
      </x:c>
      <x:c r="F113" s="16" t="n">
        <x:v>49</x:v>
      </x:c>
      <x:c r="G113" s="14" t="str">
        <x:v>8月公共屋邨有防火課，安步辦到12月，地點很多，先去哪個屋邨要等通告。課堂會講逃生、火警鐘、電池和滅火氈，長者撤離又另外加入。主辦方稱免費，報名遲些開始，居民可能仍要問管理處。部分家庭可獲職員上門看風險，但不是每戶都有，也不是消防處正式檢查。總共60場，學完理論上安全很多，至於火警會否減少，活動完後再看。</x:v>
      </x:c>
    </x:row>
    <x:row r="114" ht="52.79999923706055" hidden="0" customHeight="1">
      <x:c r="A114" s="15" t="str">
        <x:v>113</x:v>
      </x:c>
      <x:c r="B114" s="12" t="str">
        <x:v>ZH-BAD-023</x:v>
      </x:c>
      <x:c r="C114" s="15" t="str">
        <x:v>023</x:v>
      </x:c>
      <x:c r="D114" s="12" t="str">
        <x:v>Bad</x:v>
      </x:c>
      <x:c r="E114" s="16" t="n">
        <x:v>30</x:v>
      </x:c>
      <x:c r="F114" s="16" t="n">
        <x:v>49</x:v>
      </x:c>
      <x:c r="G114" s="14" t="str">
        <x:v>環織下月開始收舊衣，商場和屋苑都有回收箱，位置要上網慢慢找。衣服最好洗乾淨才放，濕的不要，床單、毛巾和布袋大概可以，鞋不要亂塞。收走後，一部分交機構，另一部分運到新田變成材料，太破的布料可能再處理，如何分由工場決定。公司說這樣比較環保，市民照守規矩就好。箱滿時也不應放旁邊，但通知內沒有講怎樣做，數量日後才公布。</x:v>
      </x:c>
    </x:row>
    <x:row r="115" ht="52.79999923706055" hidden="0" customHeight="1">
      <x:c r="A115" s="15" t="str">
        <x:v>114</x:v>
      </x:c>
      <x:c r="B115" s="12" t="str">
        <x:v>ZH-BAD-024</x:v>
      </x:c>
      <x:c r="C115" s="15" t="str">
        <x:v>024</x:v>
      </x:c>
      <x:c r="D115" s="12" t="str">
        <x:v>Bad</x:v>
      </x:c>
      <x:c r="E115" s="16" t="n">
        <x:v>30</x:v>
      </x:c>
      <x:c r="F115" s="16" t="n">
        <x:v>49</x:v>
      </x:c>
      <x:c r="G115" s="14" t="str">
        <x:v>8月先報名，隔幾個月匠途才安排青年到企業學手藝。參加者大概30歲以下，沒經驗也說可以，但入圍又要試做和面談。木工、金工等會分到不同公司，學員多數落場實習，偶爾上安全和繪圖課，安全主要仍靠師傅一路看。每月有津貼，出勤少會否扣減沒有說。讀一年可能有證書，企業最多安排一次面試，所以參加不代表一定有工作。名額只有60個，想報便要快。</x:v>
      </x:c>
    </x:row>
    <x:row r="116" ht="52.79999923706055" hidden="0" customHeight="1">
      <x:c r="A116" s="15" t="str">
        <x:v>115</x:v>
      </x:c>
      <x:c r="B116" s="12" t="str">
        <x:v>ZH-BAD-025</x:v>
      </x:c>
      <x:c r="C116" s="15" t="str">
        <x:v>025</x:v>
      </x:c>
      <x:c r="D116" s="12" t="str">
        <x:v>Bad</x:v>
      </x:c>
      <x:c r="E116" s="16" t="n">
        <x:v>30</x:v>
      </x:c>
      <x:c r="F116" s="16" t="n">
        <x:v>49</x:v>
      </x:c>
      <x:c r="G116" s="14" t="str">
        <x:v>迅達購8月又說多幾區可即日送，但住在那些區也未必一定送到，客人要去結帳才知道。下午前落單大概晚上收貨，遲一點是否仍算即日沒有講清。運費有時收有時免，要看購物是否夠500元，冷藏和大件貨通常不接。公司增加車和配送站，聲稱每日可處理很多訂單，黑雨和打風便暫停。急用貨品最好別太相信「即日」，因為最後仍可能改期或只退運費。</x:v>
      </x:c>
    </x:row>
    <x:row r="117" ht="52.79999923706055" hidden="0" customHeight="1">
      <x:c r="A117" s="15" t="str">
        <x:v>116</x:v>
      </x:c>
      <x:c r="B117" s="12" t="str">
        <x:v>ZH-BAD-026</x:v>
      </x:c>
      <x:c r="C117" s="15" t="str">
        <x:v>026</x:v>
      </x:c>
      <x:c r="D117" s="12" t="str">
        <x:v>Bad</x:v>
      </x:c>
      <x:c r="E117" s="16" t="n">
        <x:v>30</x:v>
      </x:c>
      <x:c r="F117" s="16" t="n">
        <x:v>49</x:v>
      </x:c>
      <x:c r="G117" s="14" t="str">
        <x:v>9月有個長者送飯計劃，銀匙和基金在幾區推行，做半年但消息前後不太順。長者要低收入、獨居或兩老同住，又不能自己直接報名，要經別人轉介，很多人可能不知道找誰。平日中午送一份飯，每餐10元，餐廳和營養師處理軟餐及其他選擇。沒人開門，配送員便找聯絡人，不會一直等。計劃有幾百個名額，是否先到先得沒有交代，總之不是普通外賣服務。</x:v>
      </x:c>
    </x:row>
    <x:row r="118" ht="52.79999923706055" hidden="0" customHeight="1">
      <x:c r="A118" s="15" t="str">
        <x:v>117</x:v>
      </x:c>
      <x:c r="B118" s="12" t="str">
        <x:v>ZH-BAD-027</x:v>
      </x:c>
      <x:c r="C118" s="15" t="str">
        <x:v>027</x:v>
      </x:c>
      <x:c r="D118" s="12" t="str">
        <x:v>Bad</x:v>
      </x:c>
      <x:c r="E118" s="16" t="n">
        <x:v>30</x:v>
      </x:c>
      <x:c r="F118" s="16" t="n">
        <x:v>49</x:v>
      </x:c>
      <x:c r="G118" s="14" t="str">
        <x:v>海濱8月某個周末開始有燈光表演，逢星期五六日做，到9月又是周末。晚上7時多一場，8時多再一場，每場18分鐘。激光照建築再播音樂，免費入場，滿了才停止放人，主辦方到場數人頭。活動前單車徑封閉，行人只向一邊走，駕車人士自己找位。風雨時可能取消，到了才問便很麻煩。星期六口述影像放在首場，無障礙位又說早些到應該有，登記安排講得不一致。</x:v>
      </x:c>
    </x:row>
    <x:row r="119" ht="52.79999923706055" hidden="0" customHeight="1">
      <x:c r="A119" s="15" t="str">
        <x:v>118</x:v>
      </x:c>
      <x:c r="B119" s="12" t="str">
        <x:v>ZH-BAD-028</x:v>
      </x:c>
      <x:c r="C119" s="15" t="str">
        <x:v>028</x:v>
      </x:c>
      <x:c r="D119" s="12" t="str">
        <x:v>Bad</x:v>
      </x:c>
      <x:c r="E119" s="16" t="n">
        <x:v>30</x:v>
      </x:c>
      <x:c r="F119" s="16" t="n">
        <x:v>49</x:v>
      </x:c>
      <x:c r="G119" s="14" t="str">
        <x:v>宏橋工業園將有機械人生產線，新域花一大筆錢，說11月啟用，12月便出貨，兩個時間排得很急。機械人負責裝零件、檢查和包裝，產量說會由25萬件升至40萬件，但現有生產怎樣沒有多講。員工要上課再轉去看機器，公司口頭說不裁員，誰轉哪個崗位仍未安排。電力會用一些再生能源，實際資料半年後才計。自動化應該又快又準，但瑕疵只是降低，不是真的完全沒有。</x:v>
      </x:c>
    </x:row>
    <x:row r="120" ht="52.79999923706055" hidden="0" customHeight="1">
      <x:c r="A120" s="15" t="str">
        <x:v>119</x:v>
      </x:c>
      <x:c r="B120" s="12" t="str">
        <x:v>ZH-BAD-029</x:v>
      </x:c>
      <x:c r="C120" s="15" t="str">
        <x:v>029</x:v>
      </x:c>
      <x:c r="D120" s="12" t="str">
        <x:v>Bad</x:v>
      </x:c>
      <x:c r="E120" s="16" t="n">
        <x:v>30</x:v>
      </x:c>
      <x:c r="F120" s="16" t="n">
        <x:v>49</x:v>
      </x:c>
      <x:c r="G120" s="14" t="str">
        <x:v>8月起有條電腦事故熱線，守線協會說中小企遇到勒索軟件或帳戶被盜都可致電。電話全日開，分析員先做甚麼說得很闊，大概叫企業隔離裝置、改權限及保存紀錄。頭兩小時不用錢，之後上門維修可能收費，價錢由職員再報。網上也有表格，但公司資料最後交到哪裏說得不清。這不是警方電話，有人身危險要另找緊急服務。一般老闆打過去，仍不能當作問題已經處理完。</x:v>
      </x:c>
    </x:row>
    <x:row r="121" ht="52.79999923706055" hidden="0" customHeight="1">
      <x:c r="A121" s="15" t="str">
        <x:v>120</x:v>
      </x:c>
      <x:c r="B121" s="12" t="str">
        <x:v>ZH-BAD-030</x:v>
      </x:c>
      <x:c r="C121" s="15" t="str">
        <x:v>030</x:v>
      </x:c>
      <x:c r="D121" s="12" t="str">
        <x:v>Bad</x:v>
      </x:c>
      <x:c r="E121" s="16" t="n">
        <x:v>30</x:v>
      </x:c>
      <x:c r="F121" s="16" t="n">
        <x:v>49</x:v>
      </x:c>
      <x:c r="G121" s="14" t="str">
        <x:v>善港說水災善款已用掉大部分，先提還有七百多萬元，後來才說原本收到二千多萬元。款項派給受災家庭，也維修社區地方和購買床具、清潔用品，每一項誰先收到，基金叫市民自行看網站。行政工作也花了錢，他們認為不算多。會計師抽查一些單據後表示沒有問題，受助者姓名則因私隱不公開。餘款讓居民和小店在8月底前申請，是否人人合資格到時再問。這次有交代帳目，但仍要等下一份報告。</x:v>
      </x:c>
    </x:row>
    <x:row r="122" ht="39.599998474121094" hidden="0" customHeight="1">
      <x:c r="A122" s="15" t="str">
        <x:v>121</x:v>
      </x:c>
      <x:c r="B122" s="12" t="str">
        <x:v>ZH-EXTREMELY-BAD-001</x:v>
      </x:c>
      <x:c r="C122" s="15" t="str">
        <x:v>001</x:v>
      </x:c>
      <x:c r="D122" s="12" t="str">
        <x:v>Extremely Bad</x:v>
      </x:c>
      <x:c r="E122" s="16" t="n">
        <x:v>0</x:v>
      </x:c>
      <x:c r="F122" s="16" t="n">
        <x:v>29</x:v>
      </x:c>
      <x:c r="G122" s="14" t="str">
        <x:v>港灣包裝搬荃灣但廠本來又在荃灣，沒有搬，只在旁邊開多一間。工程9月說做完，10月才開工，明年試機而現在已出貨。兩部紙盒機令產量少四成，也是增加四成。公司先請人再停工，送貨不停但訂單全部停。水性廢氣倒進循環水就叫環保，居民打去一條還未開的電話問。</x:v>
      </x:c>
    </x:row>
    <x:row r="123" ht="39.599998474121094" hidden="0" customHeight="1">
      <x:c r="A123" s="15" t="str">
        <x:v>122</x:v>
      </x:c>
      <x:c r="B123" s="12" t="str">
        <x:v>ZH-EXTREMELY-BAD-002</x:v>
      </x:c>
      <x:c r="C123" s="15" t="str">
        <x:v>002</x:v>
      </x:c>
      <x:c r="D123" s="12" t="str">
        <x:v>Extremely Bad</x:v>
      </x:c>
      <x:c r="E123" s="16" t="n">
        <x:v>0</x:v>
      </x:c>
      <x:c r="F123" s="16" t="n">
        <x:v>29</x:v>
      </x:c>
      <x:c r="G123" s="14" t="str">
        <x:v>啟航STEM班說給小學生及中三以上，名單卻只收中一至中三。10月課程完了，8月再開始報名，星期六一次上足兩日。學生不用人推薦，同時必須兩間學校加社工一起推薦。基金給電腦但先收學費，免費名額也要收費。機械人、交通費和家庭證明都做成作品，明年4月展覽排在上課以前。</x:v>
      </x:c>
    </x:row>
    <x:row r="124" ht="39.599998474121094" hidden="0" customHeight="1">
      <x:c r="A124" s="15" t="str">
        <x:v>123</x:v>
      </x:c>
      <x:c r="B124" s="12" t="str">
        <x:v>ZH-EXTREMELY-BAD-003</x:v>
      </x:c>
      <x:c r="C124" s="15" t="str">
        <x:v>003</x:v>
      </x:c>
      <x:c r="D124" s="12" t="str">
        <x:v>Extremely Bad</x:v>
      </x:c>
      <x:c r="E124" s="16" t="n">
        <x:v>0</x:v>
      </x:c>
      <x:c r="F124" s="16" t="n">
        <x:v>29</x:v>
      </x:c>
      <x:c r="G124" s="14" t="str">
        <x:v>粵聲通是語港的真人AI，電話只有文字，所以電話沒有聲音。商戶不能放產品資料，系統又一定靠產品資料回答。退款由AI拒絕，真人接手了但其實沒有接。10月免費同時每月收一千多元，14日試用寫成一年。資料完全不保存，卻永久放在香港雲端。20間店已試未推出系統，速度和準確率混成同一個數字。</x:v>
      </x:c>
    </x:row>
    <x:row r="125" ht="39.599998474121094" hidden="0" customHeight="1">
      <x:c r="A125" s="15" t="str">
        <x:v>124</x:v>
      </x:c>
      <x:c r="B125" s="12" t="str">
        <x:v>ZH-EXTREMELY-BAD-004</x:v>
      </x:c>
      <x:c r="C125" s="15" t="str">
        <x:v>004</x:v>
      </x:c>
      <x:c r="D125" s="12" t="str">
        <x:v>Extremely Bad</x:v>
      </x:c>
      <x:c r="E125" s="16" t="n">
        <x:v>0</x:v>
      </x:c>
      <x:c r="F125" s="16" t="n">
        <x:v>29</x:v>
      </x:c>
      <x:c r="G125" s="14" t="str">
        <x:v>海景文化墟11月14日辦兩日便完結，15日又重新算第一日。海濱長廊搬去市民廣場，兩個場地只開一個也同時全開。免費入場要先付20元門票，交回飲品杯才退門票。上午11時關門，晚上8時開始活動。道路沒有封，接駁車因封路不能走，由A出口開回A出口。八號風球照辦，全部活動又在同一時間取消。</x:v>
      </x:c>
    </x:row>
    <x:row r="126" ht="39.599998474121094" hidden="0" customHeight="1">
      <x:c r="A126" s="15" t="str">
        <x:v>125</x:v>
      </x:c>
      <x:c r="B126" s="12" t="str">
        <x:v>ZH-EXTREMELY-BAD-005</x:v>
      </x:c>
      <x:c r="C126" s="15" t="str">
        <x:v>005</x:v>
      </x:c>
      <x:c r="D126" s="12" t="str">
        <x:v>Extremely Bad</x:v>
      </x:c>
      <x:c r="E126" s="16" t="n">
        <x:v>0</x:v>
      </x:c>
      <x:c r="F126" s="16" t="n">
        <x:v>29</x:v>
      </x:c>
      <x:c r="G126" s="14" t="str">
        <x:v>綠峰88M在9月底已停，12月仍然每日試行。車由青嶺邨去泊岸站，又不去兩個總站，10月才加的醫院站9月先拆。繁忙班次8小時一班，非繁忙每8分鐘，周末只在星期一服務。車費人人3元又人人6.5元，長者沒有優惠但所有乘客又都是長者。二維碼未收任何意見，已決定路線永久保留並永久取消。</x:v>
      </x:c>
    </x:row>
    <x:row r="127" ht="39.599998474121094" hidden="0" customHeight="1">
      <x:c r="A127" s="15" t="str">
        <x:v>126</x:v>
      </x:c>
      <x:c r="B127" s="12" t="str">
        <x:v>ZH-EXTREMELY-BAD-006</x:v>
      </x:c>
      <x:c r="C127" s="15" t="str">
        <x:v>006</x:v>
      </x:c>
      <x:c r="D127" s="12" t="str">
        <x:v>Extremely Bad</x:v>
      </x:c>
      <x:c r="E127" s="16" t="n">
        <x:v>0</x:v>
      </x:c>
      <x:c r="F127" s="16" t="n">
        <x:v>29</x:v>
      </x:c>
      <x:c r="G127" s="14" t="str">
        <x:v>鮮港把飯盒賣給顧客，20元是不用退的按金，顧客30日內又必須交回已買斷的盒。計劃10月結束，同一個10月才開始，12間店其實只得一間參與。熟食盒有優惠，付款後反而更貴。顧客在家高溫洗乾淨，中央清洗場便不用洗。破盒繼續借，完整盒即日丟，按金退給下一個顧客而不是交盒的人。</x:v>
      </x:c>
    </x:row>
    <x:row r="128" ht="39.599998474121094" hidden="0" customHeight="1">
      <x:c r="A128" s="15" t="str">
        <x:v>127</x:v>
      </x:c>
      <x:c r="B128" s="12" t="str">
        <x:v>ZH-EXTREMELY-BAD-007</x:v>
      </x:c>
      <x:c r="C128" s="15" t="str">
        <x:v>007</x:v>
      </x:c>
      <x:c r="D128" s="12" t="str">
        <x:v>Extremely Bad</x:v>
      </x:c>
      <x:c r="E128" s="16" t="n">
        <x:v>0</x:v>
      </x:c>
      <x:c r="F128" s="16" t="n">
        <x:v>29</x:v>
      </x:c>
      <x:c r="G128" s="14" t="str">
        <x:v>卓峰八幢廠房共用一個天台，太陽能板裝在地下的屋頂。工程明年5月才開始，1月已全部供電，11月又拆開再施工。租戶照常營業，也同一時間全園停工吊運。太陽能先送電網，公共照明用剩餘的電，沒有剩餘仍固定送四成。消防未評估便完成驗收，工程師明年來以前已簽了完成證明。</x:v>
      </x:c>
    </x:row>
    <x:row r="129" ht="39.599998474121094" hidden="0" customHeight="1">
      <x:c r="A129" s="15" t="str">
        <x:v>128</x:v>
      </x:c>
      <x:c r="B129" s="12" t="str">
        <x:v>ZH-EXTREMELY-BAD-008</x:v>
      </x:c>
      <x:c r="C129" s="15" t="str">
        <x:v>008</x:v>
      </x:c>
      <x:c r="D129" s="12" t="str">
        <x:v>Extremely Bad</x:v>
      </x:c>
      <x:c r="E129" s="16" t="n">
        <x:v>0</x:v>
      </x:c>
      <x:c r="F129" s="16" t="n">
        <x:v>29</x:v>
      </x:c>
      <x:c r="G129" s="14" t="str">
        <x:v>閱行新界是一架三輛圖書車，9月去元朗但同時不去元朗，改去北區。每站每星期服務兩日，每次停一整星期。居民有會員證反而不能借，沒有證可即刻借，身份資料既不用又必須提交。車上沒有書，四千多本書又全在三輛車裏。黑雨照常出車，未開出的班次已經回站，輪椅升降台只讓職員使用。</x:v>
      </x:c>
    </x:row>
    <x:row r="130" ht="52.79999923706055" hidden="0" customHeight="1">
      <x:c r="A130" s="15" t="str">
        <x:v>129</x:v>
      </x:c>
      <x:c r="B130" s="12" t="str">
        <x:v>ZH-EXTREMELY-BAD-009</x:v>
      </x:c>
      <x:c r="C130" s="15" t="str">
        <x:v>009</x:v>
      </x:c>
      <x:c r="D130" s="12" t="str">
        <x:v>Extremely Bad</x:v>
      </x:c>
      <x:c r="E130" s="16" t="n">
        <x:v>0</x:v>
      </x:c>
      <x:c r="F130" s="16" t="n">
        <x:v>29</x:v>
      </x:c>
      <x:c r="G130" s="14" t="str">
        <x:v>AirSense Mini在8月已停售，9月才首次發售。裝置量空氣又不量空氣，紅燈表示很好，綠燈叫人立刻通風。手機保存30年紀錄，每30日永久刪除但又完全不刪。家庭免費取機，售價仍是八百多元，商戶月費只能使用十分鐘。清感把未製造的感應器拿去餐廳試三個月，產品不是醫療診斷，又可以判斷病人。</x:v>
      </x:c>
    </x:row>
    <x:row r="131" ht="39.599998474121094" hidden="0" customHeight="1">
      <x:c r="A131" s="15" t="str">
        <x:v>130</x:v>
      </x:c>
      <x:c r="B131" s="12" t="str">
        <x:v>ZH-EXTREMELY-BAD-010</x:v>
      </x:c>
      <x:c r="C131" s="15" t="str">
        <x:v>010</x:v>
      </x:c>
      <x:c r="D131" s="12" t="str">
        <x:v>Extremely Bad</x:v>
      </x:c>
      <x:c r="E131" s="16" t="n">
        <x:v>0</x:v>
      </x:c>
      <x:c r="F131" s="16" t="n">
        <x:v>29</x:v>
      </x:c>
      <x:c r="G131" s="14" t="str">
        <x:v>經緯葵青倉第二期9月先關閉，10月才開工，貨物在倉庫未存在前已搬入再搬走。新區增加面積，中心反而少一半。凍倉現在開放但明年才建，所有常溫貨放在攝氏2度。分揀機每小時只分貨板，一件包裹也不分，條碼錯的自動退回又交人處理。所有職位已請齊，七成人仍未招聘。倉租不變，每名客戶即日加價。</x:v>
      </x:c>
    </x:row>
    <x:row r="132" ht="39.599998474121094" hidden="0" customHeight="1">
      <x:c r="A132" s="15" t="str">
        <x:v>131</x:v>
      </x:c>
      <x:c r="B132" s="12" t="str">
        <x:v>ZH-EXTREMELY-BAD-011</x:v>
      </x:c>
      <x:c r="C132" s="15" t="str">
        <x:v>011</x:v>
      </x:c>
      <x:c r="D132" s="12" t="str">
        <x:v>Extremely Bad</x:v>
      </x:c>
      <x:c r="E132" s="16" t="n">
        <x:v>0</x:v>
      </x:c>
      <x:c r="F132" s="16" t="n">
        <x:v>29</x:v>
      </x:c>
      <x:c r="G132" s="14" t="str">
        <x:v>聲橋8月3日把車開到晴橋，7月20日居民已在車上登記，車未開也先上了車。九龍東12個屋苑每日合共30個屋苑名額。計劃11月28日完，做完檢查的人有問題便再做一個完結。60歲免費看耳和播聲音，聽得到的人轉診所，這不是醫生，結果卻由車講。基金68萬元又辦講座，檢查和講座擠進同一句就當安排。</x:v>
      </x:c>
    </x:row>
    <x:row r="133" ht="39.599998474121094" hidden="0" customHeight="1">
      <x:c r="A133" s="15" t="str">
        <x:v>132</x:v>
      </x:c>
      <x:c r="B133" s="12" t="str">
        <x:v>ZH-EXTREMELY-BAD-012</x:v>
      </x:c>
      <x:c r="C133" s="15" t="str">
        <x:v>012</x:v>
      </x:c>
      <x:c r="D133" s="12" t="str">
        <x:v>Extremely Bad</x:v>
      </x:c>
      <x:c r="E133" s="16" t="n">
        <x:v>0</x:v>
      </x:c>
      <x:c r="F133" s="16" t="n">
        <x:v>29</x:v>
      </x:c>
      <x:c r="G133" s="14" t="str">
        <x:v>翠庭一座東面8月10日停用，三座六部同日逐部停至12月。每部停三星期，所以六部合起來仍然只停三星期。同座另一部照常開，但同座又說沒有升降機。輪椅住戶先找管理處上樓梯機，沒有機就由機器的人陪機器。1,260萬元換摩打、門和燈，工程延誤後才公布進度，公布完再決定升降機有沒有停。</x:v>
      </x:c>
    </x:row>
    <x:row r="134" ht="39.599998474121094" hidden="0" customHeight="1">
      <x:c r="A134" s="15" t="str">
        <x:v>133</x:v>
      </x:c>
      <x:c r="B134" s="12" t="str">
        <x:v>ZH-EXTREMELY-BAD-013</x:v>
      </x:c>
      <x:c r="C134" s="15" t="str">
        <x:v>013</x:v>
      </x:c>
      <x:c r="D134" s="12" t="str">
        <x:v>Extremely Bad</x:v>
      </x:c>
      <x:c r="E134" s="16" t="n">
        <x:v>0</x:v>
      </x:c>
      <x:c r="F134" s="16" t="n">
        <x:v>29</x:v>
      </x:c>
      <x:c r="G134" s="14" t="str">
        <x:v>海織8月1日先開房，9月15日才接受訂房，入住完成後再訂房就叫織港館開幕。西九龍1958年貨倉修了三年，變成48件客房，72間工人舊物放在房內。免費的是住客還是展廊，句子沒有接上。紅磚和路軌做家具，木梭變成承重的新料。酒店從住客收入抽5%再保育住客，旅遊巴預約後才可以訂房。</x:v>
      </x:c>
    </x:row>
    <x:row r="135" ht="39.599998474121094" hidden="0" customHeight="1">
      <x:c r="A135" s="15" t="str">
        <x:v>134</x:v>
      </x:c>
      <x:c r="B135" s="12" t="str">
        <x:v>ZH-EXTREMELY-BAD-014</x:v>
      </x:c>
      <x:c r="C135" s="15" t="str">
        <x:v>014</x:v>
      </x:c>
      <x:c r="D135" s="12" t="str">
        <x:v>Extremely Bad</x:v>
      </x:c>
      <x:c r="E135" s="16" t="n">
        <x:v>0</x:v>
      </x:c>
      <x:c r="F135" s="16" t="n">
        <x:v>29</x:v>
      </x:c>
      <x:c r="G135" s="14" t="str">
        <x:v>浪升U15在啟航運動場10月3及4日比賽，10月10及11日又是正式改期，四日同時作兩日賽。共有16隊，每隊15人，合計卻變成240隊，學校與社區混成住戶。第一日先淘汰，第二日再分組後決賽。冠軍和觀眾同樣獲3萬元免費器材。早上6時賽事結束後，短訊才通知今天有沒有比賽。</x:v>
      </x:c>
    </x:row>
    <x:row r="136" ht="39.599998474121094" hidden="0" customHeight="1">
      <x:c r="A136" s="15" t="str">
        <x:v>135</x:v>
      </x:c>
      <x:c r="B136" s="12" t="str">
        <x:v>ZH-EXTREMELY-BAD-015</x:v>
      </x:c>
      <x:c r="C136" s="15" t="str">
        <x:v>015</x:v>
      </x:c>
      <x:c r="D136" s="12" t="str">
        <x:v>Extremely Bad</x:v>
      </x:c>
      <x:c r="E136" s="16" t="n">
        <x:v>0</x:v>
      </x:c>
      <x:c r="F136" s="16" t="n">
        <x:v>29</x:v>
      </x:c>
      <x:c r="G136" s="14" t="str">
        <x:v>北角記憶館8月1日推出平台報名，8月20日平台才首次上網，推出了又未推出。首批8,400名相片跨越1945個年份到2000年，居民有些借、有些捐。基金整理了18年，另一段又寫18個月。資料有版權便可下載，取得授權反而只看節錄。下午兩場合共40人，第一場40人，第二場也是合共40人，看舊相的人突然又變成上課的人。</x:v>
      </x:c>
    </x:row>
    <x:row r="137" ht="39.599998474121094" hidden="0" customHeight="1">
      <x:c r="A137" s="15" t="str">
        <x:v>136</x:v>
      </x:c>
      <x:c r="B137" s="12" t="str">
        <x:v>ZH-EXTREMELY-BAD-016</x:v>
      </x:c>
      <x:c r="C137" s="15" t="str">
        <x:v>016</x:v>
      </x:c>
      <x:c r="D137" s="12" t="str">
        <x:v>Extremely Bad</x:v>
      </x:c>
      <x:c r="E137" s="16" t="n">
        <x:v>0</x:v>
      </x:c>
      <x:c r="F137" s="16" t="n">
        <x:v>29</x:v>
      </x:c>
      <x:c r="G137" s="14" t="str">
        <x:v>金穗18間店9月1日貼致敏圖，120間麵包和蛋糕一起更換，店和食品都以「間」計。奶、蛋、花生畫成八個圖，全部成分要掃手機，掃完又不知道有沒有。焗爐共用，沒加入也可以有，因此嚴重過敏者只要問職員便保證完全沒有。舊包裝改了又照舊出售，錯漏便停售，停完再貼紙，貼完仍是原來舊包裝。</x:v>
      </x:c>
    </x:row>
    <x:row r="138" ht="39.599998474121094" hidden="0" customHeight="1">
      <x:c r="A138" s="15" t="str">
        <x:v>137</x:v>
      </x:c>
      <x:c r="B138" s="12" t="str">
        <x:v>ZH-EXTREMELY-BAD-017</x:v>
      </x:c>
      <x:c r="C138" s="15" t="str">
        <x:v>017</x:v>
      </x:c>
      <x:c r="D138" s="12" t="str">
        <x:v>Extremely Bad</x:v>
      </x:c>
      <x:c r="E138" s="16" t="n">
        <x:v>0</x:v>
      </x:c>
      <x:c r="F138" s="16" t="n">
        <x:v>29</x:v>
      </x:c>
      <x:c r="G138" s="14" t="str">
        <x:v>同心信貸7月22日在觀塘上課，8月26日才辦活動，8月19日先停課再繼續報名。80間公司免費，每間最多兩人，後面又只接收20人的小公司，所以80個名額等於20個。課堂題目是13星期現金流，下午幾小時便過完13星期。現金流、追款和借貸騙案由假店提交真銀行結單。現場說不賣貸款，信貸合作社又一直在現場講貸款。</x:v>
      </x:c>
    </x:row>
    <x:row r="139" ht="39.599998474121094" hidden="0" customHeight="1">
      <x:c r="A139" s="15" t="str">
        <x:v>138</x:v>
      </x:c>
      <x:c r="B139" s="12" t="str">
        <x:v>ZH-EXTREMELY-BAD-018</x:v>
      </x:c>
      <x:c r="C139" s="15" t="str">
        <x:v>018</x:v>
      </x:c>
      <x:c r="D139" s="12" t="str">
        <x:v>Extremely Bad</x:v>
      </x:c>
      <x:c r="E139" s="16" t="n">
        <x:v>0</x:v>
      </x:c>
      <x:c r="F139" s="16" t="n">
        <x:v>29</x:v>
      </x:c>
      <x:c r="G139" s="14" t="str">
        <x:v>河閘天橋8月維修到11月，日間不封，周末日間又全封，全日開放和全日關閉一起進行。晚上11時後保留1.5米通道，同時全段關閉至早上，行人要從關閉的通道通過。去港盛要落河畔道，替代道路闊280米，也要多走280米。天氣差先到現場看牌，網站在改期之後提前48小時通知，日期未改便已經改了。</x:v>
      </x:c>
    </x:row>
    <x:row r="140" ht="52.79999923706055" hidden="0" customHeight="1">
      <x:c r="A140" s="15" t="str">
        <x:v>139</x:v>
      </x:c>
      <x:c r="B140" s="12" t="str">
        <x:v>ZH-EXTREMELY-BAD-019</x:v>
      </x:c>
      <x:c r="C140" s="15" t="str">
        <x:v>019</x:v>
      </x:c>
      <x:c r="D140" s="12" t="str">
        <x:v>Extremely Bad</x:v>
      </x:c>
      <x:c r="E140" s="16" t="n">
        <x:v>0</x:v>
      </x:c>
      <x:c r="F140" s="16" t="n">
        <x:v>29</x:v>
      </x:c>
      <x:c r="G140" s="14" t="str">
        <x:v>和景街市免費Wi-Fi由9月試到2月，但試驗只做最初兩星期，兩星期又做足幾個月。36個接達點每次60分鐘，另一句每部20分鐘，60完再接20又再60。姓名電話不用留，裝置資料全部保存30日。系統甚麼都不保存，但保存的仍然保存，30日後才開始保存。長者有人教免費網絡，付款時又要用自己的免費網絡，不用市集通也仍連着市集通。基金試完再試才決定。</x:v>
      </x:c>
    </x:row>
    <x:row r="141" ht="66" hidden="0" customHeight="1">
      <x:c r="A141" s="15" t="str">
        <x:v>140</x:v>
      </x:c>
      <x:c r="B141" s="12" t="str">
        <x:v>ZH-EXTREMELY-BAD-020</x:v>
      </x:c>
      <x:c r="C141" s="15" t="str">
        <x:v>020</x:v>
      </x:c>
      <x:c r="D141" s="12" t="str">
        <x:v>Extremely Bad</x:v>
      </x:c>
      <x:c r="E141" s="16" t="n">
        <x:v>0</x:v>
      </x:c>
      <x:c r="F141" s="16" t="n">
        <x:v>29</x:v>
      </x:c>
      <x:c r="G141" s="14" t="str">
        <x:v>VoltBay 10月12日在東臨開放，全天24小時服務，同一段又只讓人上午7時至晚上11時到場。夜晚可以按對講機，但沒有說是否還能充電。場內24個位置，每部充24分鐘，快慢位數目消失。充完15分鐘又未充完。手機先預約30分鐘，拍卡後再預約，沒有會員也要先入會才可不用會員。首七日八折，佔位不折，八折充電後再收原價佔位，開幕後仍要等正式開。</x:v>
      </x:c>
    </x:row>
    <x:row r="142" ht="39.599998474121094" hidden="0" customHeight="1">
      <x:c r="A142" s="15" t="str">
        <x:v>141</x:v>
      </x:c>
      <x:c r="B142" s="12" t="str">
        <x:v>ZH-EXTREMELY-BAD-021</x:v>
      </x:c>
      <x:c r="C142" s="15" t="str">
        <x:v>021</x:v>
      </x:c>
      <x:c r="D142" s="12" t="str">
        <x:v>Extremely Bad</x:v>
      </x:c>
      <x:c r="E142" s="16" t="n">
        <x:v>0</x:v>
      </x:c>
      <x:c r="F142" s="16" t="n">
        <x:v>29</x:v>
      </x:c>
      <x:c r="G142" s="14" t="str">
        <x:v>東港大學說海旁最熱，商業區又比海旁更高，兩個地方一起最高。六區放120個感應器，另一批人只帶12個，去年5月至今年4月但研究只有三個月。下午3時之後才種樹，居民8月開會已決定好未決定的地點。數據尚未公開，所有人又可在網上下載。巴士站飲水點先做還是沒有工程，研究公布了仍未公布。</x:v>
      </x:c>
    </x:row>
    <x:row r="143" ht="39.599998474121094" hidden="0" customHeight="1">
      <x:c r="A143" s="15" t="str">
        <x:v>142</x:v>
      </x:c>
      <x:c r="B143" s="12" t="str">
        <x:v>ZH-EXTREMELY-BAD-022</x:v>
      </x:c>
      <x:c r="C143" s="15" t="str">
        <x:v>022</x:v>
      </x:c>
      <x:c r="D143" s="12" t="str">
        <x:v>Extremely Bad</x:v>
      </x:c>
      <x:c r="E143" s="16" t="n">
        <x:v>0</x:v>
      </x:c>
      <x:c r="F143" s="16" t="n">
        <x:v>29</x:v>
      </x:c>
      <x:c r="G143" s="14" t="str">
        <x:v>安步和消防單位8月開始防火班，7月已完成第一輪。20個屋邨共有60個家庭，每個家庭又各有60場，數字越講越多。火警鐘、逃生和電池都教，獨居長者上門替別人檢查，長者自己又是被檢查的人。報名免費，但居民先付費留免費名額。活動做到12月，10月已經全部完結，完結後仍繼續上課。</x:v>
      </x:c>
    </x:row>
    <x:row r="144" ht="39.599998474121094" hidden="0" customHeight="1">
      <x:c r="A144" s="15" t="str">
        <x:v>143</x:v>
      </x:c>
      <x:c r="B144" s="12" t="str">
        <x:v>ZH-EXTREMELY-BAD-023</x:v>
      </x:c>
      <x:c r="C144" s="15" t="str">
        <x:v>023</x:v>
      </x:c>
      <x:c r="D144" s="12" t="str">
        <x:v>Extremely Bad</x:v>
      </x:c>
      <x:c r="E144" s="16" t="n">
        <x:v>0</x:v>
      </x:c>
      <x:c r="F144" s="16" t="n">
        <x:v>29</x:v>
      </x:c>
      <x:c r="G144" s="14" t="str">
        <x:v>環織8月放40個箱，也是40個地點，每個商場有12個箱，屋苑又只有8個。濕衣不收，職員同時叫居民未乾便直接放入。鞋可以回收，又一律拒收鞋。好衣服拿去造隔音棉，破布派給居民再穿。物料每星期運到新田，也說全年只運一次。二維碼追到每件衣服，掃完只見回收箱地址，300公噸到底是每天還是每月沒有句尾。</x:v>
      </x:c>
    </x:row>
    <x:row r="145" ht="39.599998474121094" hidden="0" customHeight="1">
      <x:c r="A145" s="15" t="str">
        <x:v>144</x:v>
      </x:c>
      <x:c r="B145" s="12" t="str">
        <x:v>ZH-EXTREMELY-BAD-024</x:v>
      </x:c>
      <x:c r="C145" s="15" t="str">
        <x:v>024</x:v>
      </x:c>
      <x:c r="D145" s="12" t="str">
        <x:v>Extremely Bad</x:v>
      </x:c>
      <x:c r="E145" s="16" t="n">
        <x:v>0</x:v>
      </x:c>
      <x:c r="F145" s="16" t="n">
        <x:v>29</x:v>
      </x:c>
      <x:c r="G145" s="14" t="str">
        <x:v>匠途招18至30歲學徒，超過30歲又成為主要對象，未滿30反而不收。8月開課，10月才接受申請，申請完成又回到8月面談。津貼每月一萬五，全年總額也只得一萬五。木工、霓虹及舞台項目，學員全日留在公司，同時全日在課室。完成後保證有工作，但企業只給一次面試。證書在未上課前已派，之後完成才取得。</x:v>
      </x:c>
    </x:row>
    <x:row r="146" ht="39.599998474121094" hidden="0" customHeight="1">
      <x:c r="A146" s="15" t="str">
        <x:v>145</x:v>
      </x:c>
      <x:c r="B146" s="12" t="str">
        <x:v>ZH-EXTREMELY-BAD-025</x:v>
      </x:c>
      <x:c r="C146" s="15" t="str">
        <x:v>025</x:v>
      </x:c>
      <x:c r="D146" s="12" t="str">
        <x:v>Extremely Bad</x:v>
      </x:c>
      <x:c r="E146" s="16" t="n">
        <x:v>0</x:v>
      </x:c>
      <x:c r="F146" s="16" t="n">
        <x:v>29</x:v>
      </x:c>
      <x:c r="G146" s="14" t="str">
        <x:v>迅達購即日送貨由十區減至四區，同日又宣布增加四區後共有十區，範圍兩邊相反。服務8月5日開始，下午4時下單也當成下午2時之前。運費38元，全部免費，同時必須購物滿500元才免。冷藏貨不送，卻又放進可送清單。打風會改期，也照常即日送，顧客最後只能到結帳頁碰碰運氣。</x:v>
      </x:c>
    </x:row>
    <x:row r="147" ht="39.599998474121094" hidden="0" customHeight="1">
      <x:c r="A147" s="15" t="str">
        <x:v>146</x:v>
      </x:c>
      <x:c r="B147" s="12" t="str">
        <x:v>ZH-EXTREMELY-BAD-026</x:v>
      </x:c>
      <x:c r="C147" s="15" t="str">
        <x:v>026</x:v>
      </x:c>
      <x:c r="D147" s="12" t="str">
        <x:v>Extremely Bad</x:v>
      </x:c>
      <x:c r="E147" s="16" t="n">
        <x:v>0</x:v>
      </x:c>
      <x:c r="F147" s="16" t="n">
        <x:v>29</x:v>
      </x:c>
      <x:c r="G147" s="14" t="str">
        <x:v>銀匙9月送長者餐，四區共有500份，同時又是500人每日各五餐。每份10元又全部免費，送餐費到底屬於哪邊沒有講完。65歲居民可自行致電申請，又一定要社工轉介，兩種做法撞在同一個入口。餐廳親自上門，配送員在長者家煮完再把餐送到同一間屋。沒有開門兩次便取消，也會繼續每天送並找照顧者。</x:v>
      </x:c>
    </x:row>
    <x:row r="148" ht="39.599998474121094" hidden="0" customHeight="1">
      <x:c r="A148" s="15" t="str">
        <x:v>147</x:v>
      </x:c>
      <x:c r="B148" s="12" t="str">
        <x:v>ZH-EXTREMELY-BAD-027</x:v>
      </x:c>
      <x:c r="C148" s="15" t="str">
        <x:v>027</x:v>
      </x:c>
      <x:c r="D148" s="12" t="str">
        <x:v>Extremely Bad</x:v>
      </x:c>
      <x:c r="E148" s="16" t="n">
        <x:v>0</x:v>
      </x:c>
      <x:c r="F148" s="16" t="n">
        <x:v>29</x:v>
      </x:c>
      <x:c r="G148" s="14" t="str">
        <x:v>星灣光影表演由8月21日做到8月6日，完結日期早過開始。活動逢星期五六日，又叫觀眾每天晚上到場。7時30分有18分鐘，8時30分另一場又不是另一場。免費入場要求所有人先買票。海濱設活動泊車，同時現場沒有任何車位。三號風球照常演出，遇三號又立即取消。激光、單車路及口述影像擠成一段，文化處不是主辦卻負責全部。</x:v>
      </x:c>
    </x:row>
    <x:row r="149" ht="39.599998474121094" hidden="0" customHeight="1">
      <x:c r="A149" s="15" t="str">
        <x:v>148</x:v>
      </x:c>
      <x:c r="B149" s="12" t="str">
        <x:v>ZH-EXTREMELY-BAD-028</x:v>
      </x:c>
      <x:c r="C149" s="15" t="str">
        <x:v>028</x:v>
      </x:c>
      <x:c r="D149" s="12" t="str">
        <x:v>Extremely Bad</x:v>
      </x:c>
      <x:c r="E149" s="16" t="n">
        <x:v>0</x:v>
      </x:c>
      <x:c r="F149" s="16" t="n">
        <x:v>29</x:v>
      </x:c>
      <x:c r="G149" s="14" t="str">
        <x:v>新域在宏橋安裝38部機械人，公司又說共有83部，全部製造感應器。11月還未驗收，12月貨物已全部交完。月產量由25萬加到40萬，又只剩20萬，增加和減少都寫成提高。公司保證140人不裁員，重複職位卻全部裁走。80小時培訓要上80日。七成電力來自再生能源，新線又全部使用普通電，兩種電同時各佔全部。</x:v>
      </x:c>
    </x:row>
    <x:row r="150" ht="52.79999923706055" hidden="0" customHeight="1">
      <x:c r="A150" s="15" t="str">
        <x:v>149</x:v>
      </x:c>
      <x:c r="B150" s="12" t="str">
        <x:v>ZH-EXTREMELY-BAD-029</x:v>
      </x:c>
      <x:c r="C150" s="15" t="str">
        <x:v>029</x:v>
      </x:c>
      <x:c r="D150" s="12" t="str">
        <x:v>Extremely Bad</x:v>
      </x:c>
      <x:c r="E150" s="16" t="n">
        <x:v>0</x:v>
      </x:c>
      <x:c r="F150" s="16" t="n">
        <x:v>29</x:v>
      </x:c>
      <x:c r="G150" s="14" t="str">
        <x:v>守線熱線3188 7711由8月1日起24小時服務，但只在朝九晚五接聽。僱員少於100人的公司可用，一百人以下企業又不合資格。首兩小時免費，電話一接通便立即收兩小時費用。勒索、假電郵及人身危險都打這裏，人身危險同時必須另打999。個案90日刪除，所有紀錄又永久交給不同機構。企業不用同意，也必須先同意。</x:v>
      </x:c>
    </x:row>
    <x:row r="151" ht="52.79999923706055" hidden="0" customHeight="1">
      <x:c r="A151" s="15" t="str">
        <x:v>150</x:v>
      </x:c>
      <x:c r="B151" s="12" t="str">
        <x:v>ZH-EXTREMELY-BAD-030</x:v>
      </x:c>
      <x:c r="C151" s="15" t="str">
        <x:v>030</x:v>
      </x:c>
      <x:c r="D151" s="12" t="str">
        <x:v>Extremely Bad</x:v>
      </x:c>
      <x:c r="E151" s="16" t="n">
        <x:v>0</x:v>
      </x:c>
      <x:c r="F151" s="16" t="n">
        <x:v>29</x:v>
      </x:c>
      <x:c r="G151" s="14" t="str">
        <x:v>善港水災基金收到2,860萬元，已用2,140萬元，餘款卻是1,720萬元，三個數字同時各自等於總數。向1,200戶每戶派一萬元，實際又只派120戶，受助地方有三區和十三區。維修13個中心的650萬元全部算作清潔費，行政50萬元等於沒有行政開支。7月15日報告在6月水災前一年完成。餘款8月才申請，去年已截止。受助人姓名全部公開，但網站完全不列姓名。</x:v>
      </x:c>
    </x:row>
  </x:sheetData>
  <x:pageMargins left="0.7" right="0.7" top="0.75" bottom="0.75" header="0.3" footer="0.3"/>
  <x:tableParts count="1">
    <x:tablePart xmlns:r="http://schemas.openxmlformats.org/officeDocument/2006/relationships" r:id="R6278a9a73b724581"/>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1" hidden="0" customWidth="1"/>
    <x:col min="2" max="2" width="25" hidden="0" customWidth="1"/>
    <x:col min="3" max="3" width="11" hidden="0" customWidth="1"/>
    <x:col min="4" max="4" width="17" hidden="0" customWidth="1"/>
    <x:col min="5" max="5" width="12" hidden="0" customWidth="1"/>
    <x:col min="6" max="6" width="12" hidden="0" customWidth="1"/>
    <x:col min="7" max="7" width="9" hidden="0" customWidth="1"/>
    <x:col min="8" max="8" width="14" hidden="0" customWidth="1"/>
    <x:col min="9" max="9" width="14" hidden="0" customWidth="1"/>
    <x:col min="10" max="10" width="11" hidden="0" customWidth="1"/>
    <x:col min="11" max="11" width="10" hidden="0" customWidth="1"/>
    <x:col min="12" max="12" width="14" hidden="0" customWidth="1"/>
    <x:col min="13" max="13" width="14" hidden="0" customWidth="1"/>
    <x:col min="14" max="14" width="11" hidden="0" customWidth="1"/>
    <x:col min="15" max="15" width="12" hidden="0" customWidth="1"/>
    <x:col min="16" max="16" width="12" hidden="0" customWidth="1"/>
    <x:col min="17" max="17" width="14" hidden="0" customWidth="1"/>
    <x:col min="18" max="18" width="13" hidden="0" customWidth="1"/>
    <x:col min="19" max="19" width="12" hidden="0" customWidth="1"/>
    <x:col min="20" max="20" width="12" hidden="0" customWidth="1"/>
    <x:col min="21" max="21" width="17" hidden="0" customWidth="1"/>
    <x:col min="22" max="22" width="14" hidden="0" customWidth="1"/>
    <x:col min="23" max="23" width="22" hidden="0" customWidth="1"/>
    <x:col min="24" max="24" width="18" hidden="0" customWidth="1"/>
    <x:col min="25" max="25" width="10" hidden="0" customWidth="1"/>
    <x:col min="26" max="26" width="12" hidden="0" customWidth="1"/>
    <x:col min="27" max="27" width="13" hidden="0" customWidth="1"/>
    <x:col min="28" max="28" width="24" hidden="0" customWidth="1"/>
    <x:col min="29" max="29" width="44" hidden="0" customWidth="1"/>
    <x:col min="30" max="30" width="10" hidden="0" customWidth="1"/>
    <x:col min="31" max="31" width="16" hidden="0" customWidth="1"/>
    <x:col min="32" max="32" width="22" hidden="0" customWidth="1"/>
    <x:col min="33" max="33" width="23" hidden="0" customWidth="1"/>
    <x:col min="34" max="34" width="11" hidden="0" customWidth="1"/>
    <x:col min="35" max="35" width="24" hidden="0" customWidth="1"/>
    <x:col min="36" max="36" width="24" hidden="0" customWidth="1"/>
  </x:cols>
  <x:sheetData>
    <x:row r="1">
      <x:c r="A1" s="9" t="str">
        <x:v>Global order</x:v>
      </x:c>
      <x:c r="B1" s="10" t="str">
        <x:v>Draft ID</x:v>
      </x:c>
      <x:c r="C1" s="10" t="str">
        <x:v>Scenario ID</x:v>
      </x:c>
      <x:c r="D1" s="10" t="str">
        <x:v>Category</x:v>
      </x:c>
      <x:c r="E1" s="10" t="str">
        <x:v>Expected minimum</x:v>
      </x:c>
      <x:c r="F1" s="10" t="str">
        <x:v>Expected maximum</x:v>
      </x:c>
      <x:c r="G1" s="10" t="str">
        <x:v>Repeat</x:v>
      </x:c>
      <x:c r="H1" s="10" t="str">
        <x:v>Actual overall score</x:v>
      </x:c>
      <x:c r="I1" s="10" t="str">
        <x:v>Factual completeness</x:v>
      </x:c>
      <x:c r="J1" s="10" t="str">
        <x:v>Structure</x:v>
      </x:c>
      <x:c r="K1" s="10" t="str">
        <x:v>Clarity</x:v>
      </x:c>
      <x:c r="L1" s="10" t="str">
        <x:v>Language quality</x:v>
      </x:c>
      <x:c r="M1" s="10" t="str">
        <x:v>Professionalism</x:v>
      </x:c>
      <x:c r="N1" s="10" t="str">
        <x:v>Attribution</x:v>
      </x:c>
      <x:c r="O1" s="10" t="str">
        <x:v>Weighted score</x:v>
      </x:c>
      <x:c r="P1" s="10" t="str">
        <x:v>Applied score cap</x:v>
      </x:c>
      <x:c r="Q1" s="10" t="str">
        <x:v>In expected range</x:v>
      </x:c>
      <x:c r="R1" s="10" t="str">
        <x:v>Distance from range</x:v>
      </x:c>
      <x:c r="S1" s="10" t="str">
        <x:v>Distance below</x:v>
      </x:c>
      <x:c r="T1" s="10" t="str">
        <x:v>Distance above</x:v>
      </x:c>
      <x:c r="U1" s="10" t="str">
        <x:v>Predicted category</x:v>
      </x:c>
      <x:c r="V1" s="10" t="str">
        <x:v>Category correct</x:v>
      </x:c>
      <x:c r="W1" s="10" t="str">
        <x:v>Readiness band</x:v>
      </x:c>
      <x:c r="X1" s="10" t="str">
        <x:v>Decision</x:v>
      </x:c>
      <x:c r="Y1" s="10" t="str">
        <x:v>Pass score</x:v>
      </x:c>
      <x:c r="Z1" s="10" t="str">
        <x:v>Test status</x:v>
      </x:c>
      <x:c r="AA1" s="10" t="str">
        <x:v>Error type</x:v>
      </x:c>
      <x:c r="AB1" s="10" t="str">
        <x:v>Error code</x:v>
      </x:c>
      <x:c r="AC1" s="10" t="str">
        <x:v>Error message</x:v>
      </x:c>
      <x:c r="AD1" s="10" t="str">
        <x:v>Retry count</x:v>
      </x:c>
      <x:c r="AE1" s="10" t="str">
        <x:v>Response time (ms)</x:v>
      </x:c>
      <x:c r="AF1" s="10" t="str">
        <x:v>Model name</x:v>
      </x:c>
      <x:c r="AG1" s="10" t="str">
        <x:v>Test timestamp</x:v>
      </x:c>
      <x:c r="AH1" s="10" t="str">
        <x:v>HTTP status</x:v>
      </x:c>
      <x:c r="AI1" s="10" t="str">
        <x:v>Draft SHA-256</x:v>
      </x:c>
      <x:c r="AJ1" s="11" t="str">
        <x:v>Reviewer SHA-256</x:v>
      </x:c>
    </x:row>
    <x:row r="2">
      <x:c r="A2" s="17" t="str">
        <x:v>001</x:v>
      </x:c>
      <x:c r="B2" t="str">
        <x:v>ZH-EXCELLENT-001</x:v>
      </x:c>
      <x:c r="C2" s="17" t="str">
        <x:v>001</x:v>
      </x:c>
      <x:c r="D2" t="str">
        <x:v>Excellent</x:v>
      </x:c>
      <x:c r="E2" t="n">
        <x:v>85</x:v>
      </x:c>
      <x:c r="F2" t="n">
        <x:v>100</x:v>
      </x:c>
      <x:c r="G2" t="n">
        <x:v>1</x:v>
      </x:c>
      <x:c r="H2" s="18" t="n">
        <x:v>89</x:v>
      </x:c>
      <x:c r="I2" s="18" t="n">
        <x:v>95</x:v>
      </x:c>
      <x:c r="J2" s="18" t="n">
        <x:v>88</x:v>
      </x:c>
      <x:c r="K2" s="18" t="n">
        <x:v>95</x:v>
      </x:c>
      <x:c r="L2" s="18" t="n">
        <x:v>98</x:v>
      </x:c>
      <x:c r="M2" s="18" t="n">
        <x:v>95</x:v>
      </x:c>
      <x:c r="N2" s="18" t="n">
        <x:v>95</x:v>
      </x:c>
      <x:c r="O2" s="18" t="n">
        <x:v>94</x:v>
      </x:c>
      <x:c r="P2" s="18" t="n">
        <x:v>89</x:v>
      </x:c>
      <x:c r="Q2" t="str">
        <x:v>Yes</x:v>
      </x:c>
      <x:c r="R2" s="18" t="n">
        <x:v>0</x:v>
      </x:c>
      <x:c r="S2" s="18" t="n">
        <x:v>0</x:v>
      </x:c>
      <x:c r="T2" s="18" t="n">
        <x:v>0</x:v>
      </x:c>
      <x:c r="U2" t="str">
        <x:v>Excellent</x:v>
      </x:c>
      <x:c r="V2" t="str">
        <x:v>Yes</x:v>
      </x:c>
      <x:c r="W2" t="str">
        <x:v>STRONG_LIMITED_EDITING</x:v>
      </x:c>
      <x:c r="X2" t="str">
        <x:v>PASS</x:v>
      </x:c>
      <x:c r="Y2" t="n">
        <x:v>80</x:v>
      </x:c>
      <x:c r="Z2" t="str">
        <x:v>Success</x:v>
      </x:c>
      <x:c r="AA2"/>
      <x:c r="AB2"/>
      <x:c r="AC2" s="13"/>
      <x:c r="AD2" t="n">
        <x:v>0</x:v>
      </x:c>
      <x:c r="AE2" s="19" t="n">
        <x:v>71820</x:v>
      </x:c>
      <x:c r="AF2" t="str">
        <x:v>deepseek-v4-pro</x:v>
      </x:c>
      <x:c r="AG2" s="20" t="n">
        <x:v>46225.212392361114</x:v>
      </x:c>
      <x:c r="AH2" t="n">
        <x:v>200</x:v>
      </x:c>
      <x:c r="AI2" t="str">
        <x:v>f9a72507045acea256ee49c37973959639c03a6e41abd7dd2b665ea8aa61c000</x:v>
      </x:c>
      <x:c r="AJ2" t="str">
        <x:v>99e55c13b29cbadc235b4f0a7b22308079cd00d971954f9264c02b407e0220b5</x:v>
      </x:c>
    </x:row>
    <x:row r="3">
      <x:c r="A3" s="17" t="str">
        <x:v>002</x:v>
      </x:c>
      <x:c r="B3" t="str">
        <x:v>ZH-EXCELLENT-002</x:v>
      </x:c>
      <x:c r="C3" s="17" t="str">
        <x:v>002</x:v>
      </x:c>
      <x:c r="D3" t="str">
        <x:v>Excellent</x:v>
      </x:c>
      <x:c r="E3" t="n">
        <x:v>85</x:v>
      </x:c>
      <x:c r="F3" t="n">
        <x:v>100</x:v>
      </x:c>
      <x:c r="G3" t="n">
        <x:v>1</x:v>
      </x:c>
      <x:c r="H3" s="18" t="n">
        <x:v>96</x:v>
      </x:c>
      <x:c r="I3" s="18" t="n">
        <x:v>95</x:v>
      </x:c>
      <x:c r="J3" s="18" t="n">
        <x:v>95</x:v>
      </x:c>
      <x:c r="K3" s="18" t="n">
        <x:v>95</x:v>
      </x:c>
      <x:c r="L3" s="18" t="n">
        <x:v>98</x:v>
      </x:c>
      <x:c r="M3" s="18" t="n">
        <x:v>98</x:v>
      </x:c>
      <x:c r="N3" s="18" t="n">
        <x:v>98</x:v>
      </x:c>
      <x:c r="O3" s="18" t="n">
        <x:v>96</x:v>
      </x:c>
      <x:c r="P3" s="18"/>
      <x:c r="Q3" t="str">
        <x:v>Yes</x:v>
      </x:c>
      <x:c r="R3" s="18" t="n">
        <x:v>0</x:v>
      </x:c>
      <x:c r="S3" s="18" t="n">
        <x:v>0</x:v>
      </x:c>
      <x:c r="T3" s="18" t="n">
        <x:v>0</x:v>
      </x:c>
      <x:c r="U3" t="str">
        <x:v>Excellent</x:v>
      </x:c>
      <x:c r="V3" t="str">
        <x:v>Yes</x:v>
      </x:c>
      <x:c r="W3" t="str">
        <x:v>PUBLICATION_READY</x:v>
      </x:c>
      <x:c r="X3" t="str">
        <x:v>PASS</x:v>
      </x:c>
      <x:c r="Y3" t="n">
        <x:v>80</x:v>
      </x:c>
      <x:c r="Z3" t="str">
        <x:v>Success</x:v>
      </x:c>
      <x:c r="AA3"/>
      <x:c r="AB3"/>
      <x:c r="AC3" s="13"/>
      <x:c r="AD3" t="n">
        <x:v>0</x:v>
      </x:c>
      <x:c r="AE3" s="19" t="n">
        <x:v>93727</x:v>
      </x:c>
      <x:c r="AF3" t="str">
        <x:v>deepseek-v4-pro</x:v>
      </x:c>
      <x:c r="AG3" s="20" t="n">
        <x:v>46225.2134771875</x:v>
      </x:c>
      <x:c r="AH3" t="n">
        <x:v>200</x:v>
      </x:c>
      <x:c r="AI3" t="str">
        <x:v>5a312c4166791dd12e808387cb1fc123f1c27c35c24adde8e9e26fe9b64f6fe8</x:v>
      </x:c>
      <x:c r="AJ3" t="str">
        <x:v>99e55c13b29cbadc235b4f0a7b22308079cd00d971954f9264c02b407e0220b5</x:v>
      </x:c>
    </x:row>
    <x:row r="4">
      <x:c r="A4" s="17" t="str">
        <x:v>003</x:v>
      </x:c>
      <x:c r="B4" t="str">
        <x:v>ZH-EXCELLENT-003</x:v>
      </x:c>
      <x:c r="C4" s="17" t="str">
        <x:v>003</x:v>
      </x:c>
      <x:c r="D4" t="str">
        <x:v>Excellent</x:v>
      </x:c>
      <x:c r="E4" t="n">
        <x:v>85</x:v>
      </x:c>
      <x:c r="F4" t="n">
        <x:v>100</x:v>
      </x:c>
      <x:c r="G4" t="n">
        <x:v>1</x:v>
      </x:c>
      <x:c r="H4" s="18" t="n">
        <x:v>95</x:v>
      </x:c>
      <x:c r="I4" s="18" t="n">
        <x:v>93</x:v>
      </x:c>
      <x:c r="J4" s="18" t="n">
        <x:v>94</x:v>
      </x:c>
      <x:c r="K4" s="18" t="n">
        <x:v>95</x:v>
      </x:c>
      <x:c r="L4" s="18" t="n">
        <x:v>96</x:v>
      </x:c>
      <x:c r="M4" s="18" t="n">
        <x:v>97</x:v>
      </x:c>
      <x:c r="N4" s="18" t="n">
        <x:v>93</x:v>
      </x:c>
      <x:c r="O4" s="18" t="n">
        <x:v>95</x:v>
      </x:c>
      <x:c r="P4" s="18"/>
      <x:c r="Q4" t="str">
        <x:v>Yes</x:v>
      </x:c>
      <x:c r="R4" s="18" t="n">
        <x:v>0</x:v>
      </x:c>
      <x:c r="S4" s="18" t="n">
        <x:v>0</x:v>
      </x:c>
      <x:c r="T4" s="18" t="n">
        <x:v>0</x:v>
      </x:c>
      <x:c r="U4" t="str">
        <x:v>Excellent</x:v>
      </x:c>
      <x:c r="V4" t="str">
        <x:v>Yes</x:v>
      </x:c>
      <x:c r="W4" t="str">
        <x:v>PUBLICATION_READY</x:v>
      </x:c>
      <x:c r="X4" t="str">
        <x:v>PASS</x:v>
      </x:c>
      <x:c r="Y4" t="n">
        <x:v>80</x:v>
      </x:c>
      <x:c r="Z4" t="str">
        <x:v>Success</x:v>
      </x:c>
      <x:c r="AA4"/>
      <x:c r="AB4"/>
      <x:c r="AC4" s="13"/>
      <x:c r="AD4" t="n">
        <x:v>0</x:v>
      </x:c>
      <x:c r="AE4" s="19" t="n">
        <x:v>128374</x:v>
      </x:c>
      <x:c r="AF4" t="str">
        <x:v>deepseek-v4-pro</x:v>
      </x:c>
      <x:c r="AG4" s="20" t="n">
        <x:v>46225.21496300926</x:v>
      </x:c>
      <x:c r="AH4" t="n">
        <x:v>200</x:v>
      </x:c>
      <x:c r="AI4" t="str">
        <x:v>e3441968b3b6a8d776c7aedb5533af6a8feac9a35f1ce832f347b5d406788846</x:v>
      </x:c>
      <x:c r="AJ4" t="str">
        <x:v>99e55c13b29cbadc235b4f0a7b22308079cd00d971954f9264c02b407e0220b5</x:v>
      </x:c>
    </x:row>
    <x:row r="5">
      <x:c r="A5" s="17" t="str">
        <x:v>004</x:v>
      </x:c>
      <x:c r="B5" t="str">
        <x:v>ZH-EXCELLENT-004</x:v>
      </x:c>
      <x:c r="C5" s="17" t="str">
        <x:v>004</x:v>
      </x:c>
      <x:c r="D5" t="str">
        <x:v>Excellent</x:v>
      </x:c>
      <x:c r="E5" t="n">
        <x:v>85</x:v>
      </x:c>
      <x:c r="F5" t="n">
        <x:v>100</x:v>
      </x:c>
      <x:c r="G5" t="n">
        <x:v>1</x:v>
      </x:c>
      <x:c r="H5" s="18" t="n">
        <x:v>59</x:v>
      </x:c>
      <x:c r="I5" s="18" t="n">
        <x:v>55</x:v>
      </x:c>
      <x:c r="J5" s="18" t="n">
        <x:v>80</x:v>
      </x:c>
      <x:c r="K5" s="18" t="n">
        <x:v>95</x:v>
      </x:c>
      <x:c r="L5" s="18" t="n">
        <x:v>95</x:v>
      </x:c>
      <x:c r="M5" s="18" t="n">
        <x:v>55</x:v>
      </x:c>
      <x:c r="N5" s="18" t="n">
        <x:v>20</x:v>
      </x:c>
      <x:c r="O5" s="18" t="n">
        <x:v>69</x:v>
      </x:c>
      <x:c r="P5" s="18" t="n">
        <x:v>59</x:v>
      </x:c>
      <x:c r="Q5" t="str">
        <x:v>No</x:v>
      </x:c>
      <x:c r="R5" s="18" t="n">
        <x:v>26</x:v>
      </x:c>
      <x:c r="S5" s="18" t="n">
        <x:v>26</x:v>
      </x:c>
      <x:c r="T5" s="18" t="n">
        <x:v>0</x:v>
      </x:c>
      <x:c r="U5" t="str">
        <x:v>Normal</x:v>
      </x:c>
      <x:c r="V5" t="str">
        <x:v>No</x:v>
      </x:c>
      <x:c r="W5" t="str">
        <x:v>WEAK</x:v>
      </x:c>
      <x:c r="X5" t="str">
        <x:v>REWRITE_REQUIRED</x:v>
      </x:c>
      <x:c r="Y5" t="n">
        <x:v>80</x:v>
      </x:c>
      <x:c r="Z5" t="str">
        <x:v>Success</x:v>
      </x:c>
      <x:c r="AA5"/>
      <x:c r="AB5"/>
      <x:c r="AC5" s="13"/>
      <x:c r="AD5" t="n">
        <x:v>0</x:v>
      </x:c>
      <x:c r="AE5" s="19" t="n">
        <x:v>101616</x:v>
      </x:c>
      <x:c r="AF5" t="str">
        <x:v>deepseek-v4-pro</x:v>
      </x:c>
      <x:c r="AG5" s="20" t="n">
        <x:v>46225.21613915509</x:v>
      </x:c>
      <x:c r="AH5" t="n">
        <x:v>200</x:v>
      </x:c>
      <x:c r="AI5" t="str">
        <x:v>d69723665b90f105da987fc729b766d0b6f6e1e2d5d67309c5444a860a2ec60c</x:v>
      </x:c>
      <x:c r="AJ5" t="str">
        <x:v>99e55c13b29cbadc235b4f0a7b22308079cd00d971954f9264c02b407e0220b5</x:v>
      </x:c>
    </x:row>
    <x:row r="6">
      <x:c r="A6" s="17" t="str">
        <x:v>005</x:v>
      </x:c>
      <x:c r="B6" t="str">
        <x:v>ZH-EXCELLENT-005</x:v>
      </x:c>
      <x:c r="C6" s="17" t="str">
        <x:v>005</x:v>
      </x:c>
      <x:c r="D6" t="str">
        <x:v>Excellent</x:v>
      </x:c>
      <x:c r="E6" t="n">
        <x:v>85</x:v>
      </x:c>
      <x:c r="F6" t="n">
        <x:v>100</x:v>
      </x:c>
      <x:c r="G6" t="n">
        <x:v>1</x:v>
      </x:c>
      <x:c r="H6" s="18" t="n">
        <x:v>89</x:v>
      </x:c>
      <x:c r="I6" s="18" t="n">
        <x:v>92</x:v>
      </x:c>
      <x:c r="J6" s="18" t="n">
        <x:v>90</x:v>
      </x:c>
      <x:c r="K6" s="18" t="n">
        <x:v>95</x:v>
      </x:c>
      <x:c r="L6" s="18" t="n">
        <x:v>98</x:v>
      </x:c>
      <x:c r="M6" s="18" t="n">
        <x:v>95</x:v>
      </x:c>
      <x:c r="N6" s="18" t="n">
        <x:v>85</x:v>
      </x:c>
      <x:c r="O6" s="18" t="n">
        <x:v>93</x:v>
      </x:c>
      <x:c r="P6" s="18" t="n">
        <x:v>89</x:v>
      </x:c>
      <x:c r="Q6" t="str">
        <x:v>Yes</x:v>
      </x:c>
      <x:c r="R6" s="18" t="n">
        <x:v>0</x:v>
      </x:c>
      <x:c r="S6" s="18" t="n">
        <x:v>0</x:v>
      </x:c>
      <x:c r="T6" s="18" t="n">
        <x:v>0</x:v>
      </x:c>
      <x:c r="U6" t="str">
        <x:v>Excellent</x:v>
      </x:c>
      <x:c r="V6" t="str">
        <x:v>Yes</x:v>
      </x:c>
      <x:c r="W6" t="str">
        <x:v>STRONG_LIMITED_EDITING</x:v>
      </x:c>
      <x:c r="X6" t="str">
        <x:v>PASS</x:v>
      </x:c>
      <x:c r="Y6" t="n">
        <x:v>80</x:v>
      </x:c>
      <x:c r="Z6" t="str">
        <x:v>Success</x:v>
      </x:c>
      <x:c r="AA6"/>
      <x:c r="AB6"/>
      <x:c r="AC6" s="13"/>
      <x:c r="AD6" t="n">
        <x:v>0</x:v>
      </x:c>
      <x:c r="AE6" s="19" t="n">
        <x:v>95931</x:v>
      </x:c>
      <x:c r="AF6" t="str">
        <x:v>deepseek-v4-pro</x:v>
      </x:c>
      <x:c r="AG6" s="20" t="n">
        <x:v>46225.21724950231</x:v>
      </x:c>
      <x:c r="AH6" t="n">
        <x:v>200</x:v>
      </x:c>
      <x:c r="AI6" t="str">
        <x:v>f4d77e63a09ed424db22439943a51db7fc2d3afbfd6db9f18ac107d2a7f2f403</x:v>
      </x:c>
      <x:c r="AJ6" t="str">
        <x:v>99e55c13b29cbadc235b4f0a7b22308079cd00d971954f9264c02b407e0220b5</x:v>
      </x:c>
    </x:row>
    <x:row r="7">
      <x:c r="A7" s="17" t="str">
        <x:v>006</x:v>
      </x:c>
      <x:c r="B7" t="str">
        <x:v>ZH-EXCELLENT-006</x:v>
      </x:c>
      <x:c r="C7" s="17" t="str">
        <x:v>006</x:v>
      </x:c>
      <x:c r="D7" t="str">
        <x:v>Excellent</x:v>
      </x:c>
      <x:c r="E7" t="n">
        <x:v>85</x:v>
      </x:c>
      <x:c r="F7" t="n">
        <x:v>100</x:v>
      </x:c>
      <x:c r="G7" t="n">
        <x:v>1</x:v>
      </x:c>
      <x:c r="H7" s="18" t="n">
        <x:v>59</x:v>
      </x:c>
      <x:c r="I7" s="18" t="n">
        <x:v>55</x:v>
      </x:c>
      <x:c r="J7" s="18" t="n">
        <x:v>85</x:v>
      </x:c>
      <x:c r="K7" s="18" t="n">
        <x:v>90</x:v>
      </x:c>
      <x:c r="L7" s="18" t="n">
        <x:v>90</x:v>
      </x:c>
      <x:c r="M7" s="18" t="n">
        <x:v>55</x:v>
      </x:c>
      <x:c r="N7" s="18" t="n">
        <x:v>55</x:v>
      </x:c>
      <x:c r="O7" s="18" t="n">
        <x:v>72</x:v>
      </x:c>
      <x:c r="P7" s="18" t="n">
        <x:v>59</x:v>
      </x:c>
      <x:c r="Q7" t="str">
        <x:v>No</x:v>
      </x:c>
      <x:c r="R7" s="18" t="n">
        <x:v>26</x:v>
      </x:c>
      <x:c r="S7" s="18" t="n">
        <x:v>26</x:v>
      </x:c>
      <x:c r="T7" s="18" t="n">
        <x:v>0</x:v>
      </x:c>
      <x:c r="U7" t="str">
        <x:v>Normal</x:v>
      </x:c>
      <x:c r="V7" t="str">
        <x:v>No</x:v>
      </x:c>
      <x:c r="W7" t="str">
        <x:v>WEAK</x:v>
      </x:c>
      <x:c r="X7" t="str">
        <x:v>REWRITE_REQUIRED</x:v>
      </x:c>
      <x:c r="Y7" t="n">
        <x:v>80</x:v>
      </x:c>
      <x:c r="Z7" t="str">
        <x:v>Success</x:v>
      </x:c>
      <x:c r="AA7"/>
      <x:c r="AB7"/>
      <x:c r="AC7" s="13"/>
      <x:c r="AD7" t="n">
        <x:v>0</x:v>
      </x:c>
      <x:c r="AE7" s="19" t="n">
        <x:v>142439</x:v>
      </x:c>
      <x:c r="AF7" t="str">
        <x:v>deepseek-v4-pro</x:v>
      </x:c>
      <x:c r="AG7" s="20" t="n">
        <x:v>46225.218898125</x:v>
      </x:c>
      <x:c r="AH7" t="n">
        <x:v>200</x:v>
      </x:c>
      <x:c r="AI7" t="str">
        <x:v>22565491e50e10cdce7cdba5b2a0dc4097da59e9ed0055e2bee3fdb3a3d78ac1</x:v>
      </x:c>
      <x:c r="AJ7" t="str">
        <x:v>99e55c13b29cbadc235b4f0a7b22308079cd00d971954f9264c02b407e0220b5</x:v>
      </x:c>
    </x:row>
    <x:row r="8">
      <x:c r="A8" s="17" t="str">
        <x:v>007</x:v>
      </x:c>
      <x:c r="B8" t="str">
        <x:v>ZH-EXCELLENT-007</x:v>
      </x:c>
      <x:c r="C8" s="17" t="str">
        <x:v>007</x:v>
      </x:c>
      <x:c r="D8" t="str">
        <x:v>Excellent</x:v>
      </x:c>
      <x:c r="E8" t="n">
        <x:v>85</x:v>
      </x:c>
      <x:c r="F8" t="n">
        <x:v>100</x:v>
      </x:c>
      <x:c r="G8" t="n">
        <x:v>1</x:v>
      </x:c>
      <x:c r="H8" s="18" t="n">
        <x:v>59</x:v>
      </x:c>
      <x:c r="I8" s="18" t="n">
        <x:v>50</x:v>
      </x:c>
      <x:c r="J8" s="18" t="n">
        <x:v>88</x:v>
      </x:c>
      <x:c r="K8" s="18" t="n">
        <x:v>95</x:v>
      </x:c>
      <x:c r="L8" s="18" t="n">
        <x:v>95</x:v>
      </x:c>
      <x:c r="M8" s="18" t="n">
        <x:v>85</x:v>
      </x:c>
      <x:c r="N8" s="18" t="n">
        <x:v>62</x:v>
      </x:c>
      <x:c r="O8" s="18" t="n">
        <x:v>78</x:v>
      </x:c>
      <x:c r="P8" s="18" t="n">
        <x:v>59</x:v>
      </x:c>
      <x:c r="Q8" t="str">
        <x:v>No</x:v>
      </x:c>
      <x:c r="R8" s="18" t="n">
        <x:v>26</x:v>
      </x:c>
      <x:c r="S8" s="18" t="n">
        <x:v>26</x:v>
      </x:c>
      <x:c r="T8" s="18" t="n">
        <x:v>0</x:v>
      </x:c>
      <x:c r="U8" t="str">
        <x:v>Normal</x:v>
      </x:c>
      <x:c r="V8" t="str">
        <x:v>No</x:v>
      </x:c>
      <x:c r="W8" t="str">
        <x:v>WEAK</x:v>
      </x:c>
      <x:c r="X8" t="str">
        <x:v>REWRITE_REQUIRED</x:v>
      </x:c>
      <x:c r="Y8" t="n">
        <x:v>80</x:v>
      </x:c>
      <x:c r="Z8" t="str">
        <x:v>Success</x:v>
      </x:c>
      <x:c r="AA8"/>
      <x:c r="AB8"/>
      <x:c r="AC8" s="13"/>
      <x:c r="AD8" t="n">
        <x:v>0</x:v>
      </x:c>
      <x:c r="AE8" s="19" t="n">
        <x:v>111206</x:v>
      </x:c>
      <x:c r="AF8" t="str">
        <x:v>deepseek-v4-pro</x:v>
      </x:c>
      <x:c r="AG8" s="20" t="n">
        <x:v>46225.22018525463</x:v>
      </x:c>
      <x:c r="AH8" t="n">
        <x:v>200</x:v>
      </x:c>
      <x:c r="AI8" t="str">
        <x:v>f9d390804cfe564a4d76755036f28b9fe60fafe3f91f2be1c6be9095c7848457</x:v>
      </x:c>
      <x:c r="AJ8" t="str">
        <x:v>99e55c13b29cbadc235b4f0a7b22308079cd00d971954f9264c02b407e0220b5</x:v>
      </x:c>
    </x:row>
    <x:row r="9">
      <x:c r="A9" s="17" t="str">
        <x:v>008</x:v>
      </x:c>
      <x:c r="B9" t="str">
        <x:v>ZH-EXCELLENT-008</x:v>
      </x:c>
      <x:c r="C9" s="17" t="str">
        <x:v>008</x:v>
      </x:c>
      <x:c r="D9" t="str">
        <x:v>Excellent</x:v>
      </x:c>
      <x:c r="E9" t="n">
        <x:v>85</x:v>
      </x:c>
      <x:c r="F9" t="n">
        <x:v>100</x:v>
      </x:c>
      <x:c r="G9" t="n">
        <x:v>1</x:v>
      </x:c>
      <x:c r="H9" s="18" t="n">
        <x:v>89</x:v>
      </x:c>
      <x:c r="I9" s="18" t="n">
        <x:v>92</x:v>
      </x:c>
      <x:c r="J9" s="18" t="n">
        <x:v>85</x:v>
      </x:c>
      <x:c r="K9" s="18" t="n">
        <x:v>95</x:v>
      </x:c>
      <x:c r="L9" s="18" t="n">
        <x:v>98</x:v>
      </x:c>
      <x:c r="M9" s="18" t="n">
        <x:v>95</x:v>
      </x:c>
      <x:c r="N9" s="18" t="n">
        <x:v>80</x:v>
      </x:c>
      <x:c r="O9" s="18" t="n">
        <x:v>91</x:v>
      </x:c>
      <x:c r="P9" s="18" t="n">
        <x:v>89</x:v>
      </x:c>
      <x:c r="Q9" t="str">
        <x:v>Yes</x:v>
      </x:c>
      <x:c r="R9" s="18" t="n">
        <x:v>0</x:v>
      </x:c>
      <x:c r="S9" s="18" t="n">
        <x:v>0</x:v>
      </x:c>
      <x:c r="T9" s="18" t="n">
        <x:v>0</x:v>
      </x:c>
      <x:c r="U9" t="str">
        <x:v>Excellent</x:v>
      </x:c>
      <x:c r="V9" t="str">
        <x:v>Yes</x:v>
      </x:c>
      <x:c r="W9" t="str">
        <x:v>STRONG_LIMITED_EDITING</x:v>
      </x:c>
      <x:c r="X9" t="str">
        <x:v>PASS</x:v>
      </x:c>
      <x:c r="Y9" t="n">
        <x:v>80</x:v>
      </x:c>
      <x:c r="Z9" t="str">
        <x:v>Success</x:v>
      </x:c>
      <x:c r="AA9"/>
      <x:c r="AB9"/>
      <x:c r="AC9" s="13"/>
      <x:c r="AD9" t="n">
        <x:v>0</x:v>
      </x:c>
      <x:c r="AE9" s="19" t="n">
        <x:v>98635</x:v>
      </x:c>
      <x:c r="AF9" t="str">
        <x:v>deepseek-v4-pro</x:v>
      </x:c>
      <x:c r="AG9" s="20" t="n">
        <x:v>46225.22132689815</x:v>
      </x:c>
      <x:c r="AH9" t="n">
        <x:v>200</x:v>
      </x:c>
      <x:c r="AI9" t="str">
        <x:v>8c6643379681b056b5d473007e5404f384b65849b9c14e79e30a93636bca8dfe</x:v>
      </x:c>
      <x:c r="AJ9" t="str">
        <x:v>99e55c13b29cbadc235b4f0a7b22308079cd00d971954f9264c02b407e0220b5</x:v>
      </x:c>
    </x:row>
    <x:row r="10">
      <x:c r="A10" s="17" t="str">
        <x:v>009</x:v>
      </x:c>
      <x:c r="B10" t="str">
        <x:v>ZH-EXCELLENT-009</x:v>
      </x:c>
      <x:c r="C10" s="17" t="str">
        <x:v>009</x:v>
      </x:c>
      <x:c r="D10" t="str">
        <x:v>Excellent</x:v>
      </x:c>
      <x:c r="E10" t="n">
        <x:v>85</x:v>
      </x:c>
      <x:c r="F10" t="n">
        <x:v>100</x:v>
      </x:c>
      <x:c r="G10" t="n">
        <x:v>1</x:v>
      </x:c>
      <x:c r="H10" s="18" t="n">
        <x:v>74</x:v>
      </x:c>
      <x:c r="I10" s="18" t="n">
        <x:v>82</x:v>
      </x:c>
      <x:c r="J10" s="18" t="n">
        <x:v>85</x:v>
      </x:c>
      <x:c r="K10" s="18" t="n">
        <x:v>92</x:v>
      </x:c>
      <x:c r="L10" s="18" t="n">
        <x:v>95</x:v>
      </x:c>
      <x:c r="M10" s="18" t="n">
        <x:v>78</x:v>
      </x:c>
      <x:c r="N10" s="18" t="n">
        <x:v>62</x:v>
      </x:c>
      <x:c r="O10" s="18" t="n">
        <x:v>83</x:v>
      </x:c>
      <x:c r="P10" s="18" t="n">
        <x:v>74</x:v>
      </x:c>
      <x:c r="Q10" t="str">
        <x:v>No</x:v>
      </x:c>
      <x:c r="R10" s="18" t="n">
        <x:v>11</x:v>
      </x:c>
      <x:c r="S10" s="18" t="n">
        <x:v>11</x:v>
      </x:c>
      <x:c r="T10" s="18" t="n">
        <x:v>0</x:v>
      </x:c>
      <x:c r="U10" t="str">
        <x:v>Good</x:v>
      </x:c>
      <x:c r="V10" t="str">
        <x:v>No</x:v>
      </x:c>
      <x:c r="W10" t="str">
        <x:v>SUBSTANTIAL_REWRITE</x:v>
      </x:c>
      <x:c r="X10" t="str">
        <x:v>REWRITE_REQUIRED</x:v>
      </x:c>
      <x:c r="Y10" t="n">
        <x:v>80</x:v>
      </x:c>
      <x:c r="Z10" t="str">
        <x:v>Success</x:v>
      </x:c>
      <x:c r="AA10"/>
      <x:c r="AB10"/>
      <x:c r="AC10" s="13"/>
      <x:c r="AD10" t="n">
        <x:v>0</x:v>
      </x:c>
      <x:c r="AE10" s="19" t="n">
        <x:v>182648</x:v>
      </x:c>
      <x:c r="AF10" t="str">
        <x:v>deepseek-v4-pro</x:v>
      </x:c>
      <x:c r="AG10" s="20" t="n">
        <x:v>46225.22344091435</x:v>
      </x:c>
      <x:c r="AH10" t="n">
        <x:v>200</x:v>
      </x:c>
      <x:c r="AI10" t="str">
        <x:v>0118143caf7127f301b1fe0888737dae80d4666bb30ee08a245603695ad7edee</x:v>
      </x:c>
      <x:c r="AJ10" t="str">
        <x:v>99e55c13b29cbadc235b4f0a7b22308079cd00d971954f9264c02b407e0220b5</x:v>
      </x:c>
    </x:row>
    <x:row r="11">
      <x:c r="A11" s="17" t="str">
        <x:v>010</x:v>
      </x:c>
      <x:c r="B11" t="str">
        <x:v>ZH-EXCELLENT-010</x:v>
      </x:c>
      <x:c r="C11" s="17" t="str">
        <x:v>010</x:v>
      </x:c>
      <x:c r="D11" t="str">
        <x:v>Excellent</x:v>
      </x:c>
      <x:c r="E11" t="n">
        <x:v>85</x:v>
      </x:c>
      <x:c r="F11" t="n">
        <x:v>100</x:v>
      </x:c>
      <x:c r="G11" t="n">
        <x:v>1</x:v>
      </x:c>
      <x:c r="H11" s="18" t="n">
        <x:v>93</x:v>
      </x:c>
      <x:c r="I11" s="18" t="n">
        <x:v>92</x:v>
      </x:c>
      <x:c r="J11" s="18" t="n">
        <x:v>92</x:v>
      </x:c>
      <x:c r="K11" s="18" t="n">
        <x:v>95</x:v>
      </x:c>
      <x:c r="L11" s="18" t="n">
        <x:v>95</x:v>
      </x:c>
      <x:c r="M11" s="18" t="n">
        <x:v>92</x:v>
      </x:c>
      <x:c r="N11" s="18" t="n">
        <x:v>95</x:v>
      </x:c>
      <x:c r="O11" s="18" t="n">
        <x:v>93</x:v>
      </x:c>
      <x:c r="P11" s="18"/>
      <x:c r="Q11" t="str">
        <x:v>Yes</x:v>
      </x:c>
      <x:c r="R11" s="18" t="n">
        <x:v>0</x:v>
      </x:c>
      <x:c r="S11" s="18" t="n">
        <x:v>0</x:v>
      </x:c>
      <x:c r="T11" s="18" t="n">
        <x:v>0</x:v>
      </x:c>
      <x:c r="U11" t="str">
        <x:v>Excellent</x:v>
      </x:c>
      <x:c r="V11" t="str">
        <x:v>Yes</x:v>
      </x:c>
      <x:c r="W11" t="str">
        <x:v>PUBLICATION_READY</x:v>
      </x:c>
      <x:c r="X11" t="str">
        <x:v>PASS</x:v>
      </x:c>
      <x:c r="Y11" t="n">
        <x:v>80</x:v>
      </x:c>
      <x:c r="Z11" t="str">
        <x:v>Success</x:v>
      </x:c>
      <x:c r="AA11"/>
      <x:c r="AB11"/>
      <x:c r="AC11" s="13"/>
      <x:c r="AD11" t="n">
        <x:v>0</x:v>
      </x:c>
      <x:c r="AE11" s="19" t="n">
        <x:v>41015</x:v>
      </x:c>
      <x:c r="AF11" t="str">
        <x:v>deepseek-v4-pro</x:v>
      </x:c>
      <x:c r="AG11" s="20" t="n">
        <x:v>46225.223915648145</x:v>
      </x:c>
      <x:c r="AH11" t="n">
        <x:v>200</x:v>
      </x:c>
      <x:c r="AI11" t="str">
        <x:v>325b782abafcfd51d650551687d22e801a9bb34d16b3cc9478b0e1d57404f008</x:v>
      </x:c>
      <x:c r="AJ11" t="str">
        <x:v>99e55c13b29cbadc235b4f0a7b22308079cd00d971954f9264c02b407e0220b5</x:v>
      </x:c>
    </x:row>
    <x:row r="12">
      <x:c r="A12" s="17" t="str">
        <x:v>011</x:v>
      </x:c>
      <x:c r="B12" t="str">
        <x:v>ZH-EXCELLENT-011</x:v>
      </x:c>
      <x:c r="C12" s="17" t="str">
        <x:v>011</x:v>
      </x:c>
      <x:c r="D12" t="str">
        <x:v>Excellent</x:v>
      </x:c>
      <x:c r="E12" t="n">
        <x:v>85</x:v>
      </x:c>
      <x:c r="F12" t="n">
        <x:v>100</x:v>
      </x:c>
      <x:c r="G12" t="n">
        <x:v>1</x:v>
      </x:c>
      <x:c r="H12" s="18" t="n">
        <x:v>95</x:v>
      </x:c>
      <x:c r="I12" s="18" t="n">
        <x:v>95</x:v>
      </x:c>
      <x:c r="J12" s="18" t="n">
        <x:v>95</x:v>
      </x:c>
      <x:c r="K12" s="18" t="n">
        <x:v>95</x:v>
      </x:c>
      <x:c r="L12" s="18" t="n">
        <x:v>95</x:v>
      </x:c>
      <x:c r="M12" s="18" t="n">
        <x:v>95</x:v>
      </x:c>
      <x:c r="N12" s="18" t="n">
        <x:v>95</x:v>
      </x:c>
      <x:c r="O12" s="18" t="n">
        <x:v>95</x:v>
      </x:c>
      <x:c r="P12" s="18"/>
      <x:c r="Q12" t="str">
        <x:v>Yes</x:v>
      </x:c>
      <x:c r="R12" s="18" t="n">
        <x:v>0</x:v>
      </x:c>
      <x:c r="S12" s="18" t="n">
        <x:v>0</x:v>
      </x:c>
      <x:c r="T12" s="18" t="n">
        <x:v>0</x:v>
      </x:c>
      <x:c r="U12" t="str">
        <x:v>Excellent</x:v>
      </x:c>
      <x:c r="V12" t="str">
        <x:v>Yes</x:v>
      </x:c>
      <x:c r="W12" t="str">
        <x:v>PUBLICATION_READY</x:v>
      </x:c>
      <x:c r="X12" t="str">
        <x:v>PASS</x:v>
      </x:c>
      <x:c r="Y12" t="n">
        <x:v>80</x:v>
      </x:c>
      <x:c r="Z12" t="str">
        <x:v>Success</x:v>
      </x:c>
      <x:c r="AA12"/>
      <x:c r="AB12"/>
      <x:c r="AC12" s="13"/>
      <x:c r="AD12" t="n">
        <x:v>0</x:v>
      </x:c>
      <x:c r="AE12" s="19" t="n">
        <x:v>55169</x:v>
      </x:c>
      <x:c r="AF12" t="str">
        <x:v>deepseek-v4-pro</x:v>
      </x:c>
      <x:c r="AG12" s="20" t="n">
        <x:v>46225.224554189816</x:v>
      </x:c>
      <x:c r="AH12" t="n">
        <x:v>200</x:v>
      </x:c>
      <x:c r="AI12" t="str">
        <x:v>a3257206730904204a06ca272226a2bcbe607387dd533613976721fef9d81e96</x:v>
      </x:c>
      <x:c r="AJ12" t="str">
        <x:v>99e55c13b29cbadc235b4f0a7b22308079cd00d971954f9264c02b407e0220b5</x:v>
      </x:c>
    </x:row>
    <x:row r="13">
      <x:c r="A13" s="17" t="str">
        <x:v>012</x:v>
      </x:c>
      <x:c r="B13" t="str">
        <x:v>ZH-EXCELLENT-012</x:v>
      </x:c>
      <x:c r="C13" s="17" t="str">
        <x:v>012</x:v>
      </x:c>
      <x:c r="D13" t="str">
        <x:v>Excellent</x:v>
      </x:c>
      <x:c r="E13" t="n">
        <x:v>85</x:v>
      </x:c>
      <x:c r="F13" t="n">
        <x:v>100</x:v>
      </x:c>
      <x:c r="G13" t="n">
        <x:v>1</x:v>
      </x:c>
      <x:c r="H13" s="18" t="n">
        <x:v>89</x:v>
      </x:c>
      <x:c r="I13" s="18" t="n">
        <x:v>89</x:v>
      </x:c>
      <x:c r="J13" s="18" t="n">
        <x:v>95</x:v>
      </x:c>
      <x:c r="K13" s="18" t="n">
        <x:v>95</x:v>
      </x:c>
      <x:c r="L13" s="18" t="n">
        <x:v>95</x:v>
      </x:c>
      <x:c r="M13" s="18" t="n">
        <x:v>95</x:v>
      </x:c>
      <x:c r="N13" s="18" t="n">
        <x:v>95</x:v>
      </x:c>
      <x:c r="O13" s="18" t="n">
        <x:v>94</x:v>
      </x:c>
      <x:c r="P13" s="18" t="n">
        <x:v>89</x:v>
      </x:c>
      <x:c r="Q13" t="str">
        <x:v>Yes</x:v>
      </x:c>
      <x:c r="R13" s="18" t="n">
        <x:v>0</x:v>
      </x:c>
      <x:c r="S13" s="18" t="n">
        <x:v>0</x:v>
      </x:c>
      <x:c r="T13" s="18" t="n">
        <x:v>0</x:v>
      </x:c>
      <x:c r="U13" t="str">
        <x:v>Excellent</x:v>
      </x:c>
      <x:c r="V13" t="str">
        <x:v>Yes</x:v>
      </x:c>
      <x:c r="W13" t="str">
        <x:v>STRONG_LIMITED_EDITING</x:v>
      </x:c>
      <x:c r="X13" t="str">
        <x:v>PASS</x:v>
      </x:c>
      <x:c r="Y13" t="n">
        <x:v>80</x:v>
      </x:c>
      <x:c r="Z13" t="str">
        <x:v>Success</x:v>
      </x:c>
      <x:c r="AA13"/>
      <x:c r="AB13"/>
      <x:c r="AC13" s="13"/>
      <x:c r="AD13" t="n">
        <x:v>0</x:v>
      </x:c>
      <x:c r="AE13" s="19" t="n">
        <x:v>143547</x:v>
      </x:c>
      <x:c r="AF13" t="str">
        <x:v>deepseek-v4-pro</x:v>
      </x:c>
      <x:c r="AG13" s="20" t="n">
        <x:v>46225.22621565972</x:v>
      </x:c>
      <x:c r="AH13" t="n">
        <x:v>200</x:v>
      </x:c>
      <x:c r="AI13" t="str">
        <x:v>f8103e640ca477160a662b6a8f4d2a9b6e642871c03014209c4c4ddaad91b108</x:v>
      </x:c>
      <x:c r="AJ13" t="str">
        <x:v>99e55c13b29cbadc235b4f0a7b22308079cd00d971954f9264c02b407e0220b5</x:v>
      </x:c>
    </x:row>
    <x:row r="14">
      <x:c r="A14" s="17" t="str">
        <x:v>013</x:v>
      </x:c>
      <x:c r="B14" t="str">
        <x:v>ZH-EXCELLENT-013</x:v>
      </x:c>
      <x:c r="C14" s="17" t="str">
        <x:v>013</x:v>
      </x:c>
      <x:c r="D14" t="str">
        <x:v>Excellent</x:v>
      </x:c>
      <x:c r="E14" t="n">
        <x:v>85</x:v>
      </x:c>
      <x:c r="F14" t="n">
        <x:v>100</x:v>
      </x:c>
      <x:c r="G14" t="n">
        <x:v>1</x:v>
      </x:c>
      <x:c r="H14" s="18" t="n">
        <x:v>95</x:v>
      </x:c>
      <x:c r="I14" s="18" t="n">
        <x:v>95</x:v>
      </x:c>
      <x:c r="J14" s="18" t="n">
        <x:v>95</x:v>
      </x:c>
      <x:c r="K14" s="18" t="n">
        <x:v>95</x:v>
      </x:c>
      <x:c r="L14" s="18" t="n">
        <x:v>95</x:v>
      </x:c>
      <x:c r="M14" s="18" t="n">
        <x:v>95</x:v>
      </x:c>
      <x:c r="N14" s="18" t="n">
        <x:v>95</x:v>
      </x:c>
      <x:c r="O14" s="18" t="n">
        <x:v>95</x:v>
      </x:c>
      <x:c r="P14" s="18"/>
      <x:c r="Q14" t="str">
        <x:v>Yes</x:v>
      </x:c>
      <x:c r="R14" s="18" t="n">
        <x:v>0</x:v>
      </x:c>
      <x:c r="S14" s="18" t="n">
        <x:v>0</x:v>
      </x:c>
      <x:c r="T14" s="18" t="n">
        <x:v>0</x:v>
      </x:c>
      <x:c r="U14" t="str">
        <x:v>Excellent</x:v>
      </x:c>
      <x:c r="V14" t="str">
        <x:v>Yes</x:v>
      </x:c>
      <x:c r="W14" t="str">
        <x:v>PUBLICATION_READY</x:v>
      </x:c>
      <x:c r="X14" t="str">
        <x:v>PASS</x:v>
      </x:c>
      <x:c r="Y14" t="n">
        <x:v>80</x:v>
      </x:c>
      <x:c r="Z14" t="str">
        <x:v>Success</x:v>
      </x:c>
      <x:c r="AA14"/>
      <x:c r="AB14"/>
      <x:c r="AC14" s="13"/>
      <x:c r="AD14" t="n">
        <x:v>0</x:v>
      </x:c>
      <x:c r="AE14" s="19" t="n">
        <x:v>118484</x:v>
      </x:c>
      <x:c r="AF14" t="str">
        <x:v>deepseek-v4-pro</x:v>
      </x:c>
      <x:c r="AG14" s="20" t="n">
        <x:v>46225.22758701389</x:v>
      </x:c>
      <x:c r="AH14" t="n">
        <x:v>200</x:v>
      </x:c>
      <x:c r="AI14" t="str">
        <x:v>e4d1d0cb1ba22790aa348fc9f20687a098abf2e62966ae9cfbe06ca2568f9f8c</x:v>
      </x:c>
      <x:c r="AJ14" t="str">
        <x:v>99e55c13b29cbadc235b4f0a7b22308079cd00d971954f9264c02b407e0220b5</x:v>
      </x:c>
    </x:row>
    <x:row r="15">
      <x:c r="A15" s="17" t="str">
        <x:v>014</x:v>
      </x:c>
      <x:c r="B15" t="str">
        <x:v>ZH-EXCELLENT-014</x:v>
      </x:c>
      <x:c r="C15" s="17" t="str">
        <x:v>014</x:v>
      </x:c>
      <x:c r="D15" t="str">
        <x:v>Excellent</x:v>
      </x:c>
      <x:c r="E15" t="n">
        <x:v>85</x:v>
      </x:c>
      <x:c r="F15" t="n">
        <x:v>100</x:v>
      </x:c>
      <x:c r="G15" t="n">
        <x:v>1</x:v>
      </x:c>
      <x:c r="H15" s="18" t="n">
        <x:v>89</x:v>
      </x:c>
      <x:c r="I15" s="18" t="n">
        <x:v>88</x:v>
      </x:c>
      <x:c r="J15" s="18" t="n">
        <x:v>92</x:v>
      </x:c>
      <x:c r="K15" s="18" t="n">
        <x:v>90</x:v>
      </x:c>
      <x:c r="L15" s="18" t="n">
        <x:v>95</x:v>
      </x:c>
      <x:c r="M15" s="18" t="n">
        <x:v>90</x:v>
      </x:c>
      <x:c r="N15" s="18" t="n">
        <x:v>80</x:v>
      </x:c>
      <x:c r="O15" s="18" t="n">
        <x:v>90</x:v>
      </x:c>
      <x:c r="P15" s="18" t="n">
        <x:v>89</x:v>
      </x:c>
      <x:c r="Q15" t="str">
        <x:v>Yes</x:v>
      </x:c>
      <x:c r="R15" s="18" t="n">
        <x:v>0</x:v>
      </x:c>
      <x:c r="S15" s="18" t="n">
        <x:v>0</x:v>
      </x:c>
      <x:c r="T15" s="18" t="n">
        <x:v>0</x:v>
      </x:c>
      <x:c r="U15" t="str">
        <x:v>Excellent</x:v>
      </x:c>
      <x:c r="V15" t="str">
        <x:v>Yes</x:v>
      </x:c>
      <x:c r="W15" t="str">
        <x:v>STRONG_LIMITED_EDITING</x:v>
      </x:c>
      <x:c r="X15" t="str">
        <x:v>PASS</x:v>
      </x:c>
      <x:c r="Y15" t="n">
        <x:v>80</x:v>
      </x:c>
      <x:c r="Z15" t="str">
        <x:v>Success</x:v>
      </x:c>
      <x:c r="AA15"/>
      <x:c r="AB15"/>
      <x:c r="AC15" s="13"/>
      <x:c r="AD15" t="n">
        <x:v>0</x:v>
      </x:c>
      <x:c r="AE15" s="19" t="n">
        <x:v>84402</x:v>
      </x:c>
      <x:c r="AF15" t="str">
        <x:v>deepseek-v4-pro</x:v>
      </x:c>
      <x:c r="AG15" s="20" t="n">
        <x:v>46225.228563923614</x:v>
      </x:c>
      <x:c r="AH15" t="n">
        <x:v>200</x:v>
      </x:c>
      <x:c r="AI15" t="str">
        <x:v>f9b84e0a7ff3dfa5732d7a9986598f85f4774907c3c02c1c49c557d1718792fd</x:v>
      </x:c>
      <x:c r="AJ15" t="str">
        <x:v>99e55c13b29cbadc235b4f0a7b22308079cd00d971954f9264c02b407e0220b5</x:v>
      </x:c>
    </x:row>
    <x:row r="16">
      <x:c r="A16" s="17" t="str">
        <x:v>015</x:v>
      </x:c>
      <x:c r="B16" t="str">
        <x:v>ZH-EXCELLENT-015</x:v>
      </x:c>
      <x:c r="C16" s="17" t="str">
        <x:v>015</x:v>
      </x:c>
      <x:c r="D16" t="str">
        <x:v>Excellent</x:v>
      </x:c>
      <x:c r="E16" t="n">
        <x:v>85</x:v>
      </x:c>
      <x:c r="F16" t="n">
        <x:v>100</x:v>
      </x:c>
      <x:c r="G16" t="n">
        <x:v>1</x:v>
      </x:c>
      <x:c r="H16" s="18" t="n">
        <x:v>59</x:v>
      </x:c>
      <x:c r="I16" s="18" t="n">
        <x:v>45</x:v>
      </x:c>
      <x:c r="J16" s="18" t="n">
        <x:v>92</x:v>
      </x:c>
      <x:c r="K16" s="18" t="n">
        <x:v>95</x:v>
      </x:c>
      <x:c r="L16" s="18" t="n">
        <x:v>95</x:v>
      </x:c>
      <x:c r="M16" s="18" t="n">
        <x:v>50</x:v>
      </x:c>
      <x:c r="N16" s="18" t="n">
        <x:v>20</x:v>
      </x:c>
      <x:c r="O16" s="18" t="n">
        <x:v>68</x:v>
      </x:c>
      <x:c r="P16" s="18" t="n">
        <x:v>59</x:v>
      </x:c>
      <x:c r="Q16" t="str">
        <x:v>No</x:v>
      </x:c>
      <x:c r="R16" s="18" t="n">
        <x:v>26</x:v>
      </x:c>
      <x:c r="S16" s="18" t="n">
        <x:v>26</x:v>
      </x:c>
      <x:c r="T16" s="18" t="n">
        <x:v>0</x:v>
      </x:c>
      <x:c r="U16" t="str">
        <x:v>Normal</x:v>
      </x:c>
      <x:c r="V16" t="str">
        <x:v>No</x:v>
      </x:c>
      <x:c r="W16" t="str">
        <x:v>WEAK</x:v>
      </x:c>
      <x:c r="X16" t="str">
        <x:v>REWRITE_REQUIRED</x:v>
      </x:c>
      <x:c r="Y16" t="n">
        <x:v>80</x:v>
      </x:c>
      <x:c r="Z16" t="str">
        <x:v>Success</x:v>
      </x:c>
      <x:c r="AA16"/>
      <x:c r="AB16"/>
      <x:c r="AC16" s="13"/>
      <x:c r="AD16" t="n">
        <x:v>0</x:v>
      </x:c>
      <x:c r="AE16" s="19" t="n">
        <x:v>124587</x:v>
      </x:c>
      <x:c r="AF16" t="str">
        <x:v>deepseek-v4-pro</x:v>
      </x:c>
      <x:c r="AG16" s="20" t="n">
        <x:v>46225.23000592593</x:v>
      </x:c>
      <x:c r="AH16" t="n">
        <x:v>200</x:v>
      </x:c>
      <x:c r="AI16" t="str">
        <x:v>82c1182a5e07af0f86f2aa6f754f729e77073d804f1ad82929f98a5520d36884</x:v>
      </x:c>
      <x:c r="AJ16" t="str">
        <x:v>99e55c13b29cbadc235b4f0a7b22308079cd00d971954f9264c02b407e0220b5</x:v>
      </x:c>
    </x:row>
    <x:row r="17">
      <x:c r="A17" s="17" t="str">
        <x:v>016</x:v>
      </x:c>
      <x:c r="B17" t="str">
        <x:v>ZH-EXCELLENT-016</x:v>
      </x:c>
      <x:c r="C17" s="17" t="str">
        <x:v>016</x:v>
      </x:c>
      <x:c r="D17" t="str">
        <x:v>Excellent</x:v>
      </x:c>
      <x:c r="E17" t="n">
        <x:v>85</x:v>
      </x:c>
      <x:c r="F17" t="n">
        <x:v>100</x:v>
      </x:c>
      <x:c r="G17" t="n">
        <x:v>1</x:v>
      </x:c>
      <x:c r="H17" s="18" t="n">
        <x:v>59</x:v>
      </x:c>
      <x:c r="I17" s="18" t="n">
        <x:v>55</x:v>
      </x:c>
      <x:c r="J17" s="18" t="n">
        <x:v>85</x:v>
      </x:c>
      <x:c r="K17" s="18" t="n">
        <x:v>90</x:v>
      </x:c>
      <x:c r="L17" s="18" t="n">
        <x:v>95</x:v>
      </x:c>
      <x:c r="M17" s="18" t="n">
        <x:v>80</x:v>
      </x:c>
      <x:c r="N17" s="18" t="n">
        <x:v>50</x:v>
      </x:c>
      <x:c r="O17" s="18" t="n">
        <x:v>76</x:v>
      </x:c>
      <x:c r="P17" s="18" t="n">
        <x:v>59</x:v>
      </x:c>
      <x:c r="Q17" t="str">
        <x:v>No</x:v>
      </x:c>
      <x:c r="R17" s="18" t="n">
        <x:v>26</x:v>
      </x:c>
      <x:c r="S17" s="18" t="n">
        <x:v>26</x:v>
      </x:c>
      <x:c r="T17" s="18" t="n">
        <x:v>0</x:v>
      </x:c>
      <x:c r="U17" t="str">
        <x:v>Normal</x:v>
      </x:c>
      <x:c r="V17" t="str">
        <x:v>No</x:v>
      </x:c>
      <x:c r="W17" t="str">
        <x:v>WEAK</x:v>
      </x:c>
      <x:c r="X17" t="str">
        <x:v>REWRITE_REQUIRED</x:v>
      </x:c>
      <x:c r="Y17" t="n">
        <x:v>80</x:v>
      </x:c>
      <x:c r="Z17" t="str">
        <x:v>Success</x:v>
      </x:c>
      <x:c r="AA17"/>
      <x:c r="AB17"/>
      <x:c r="AC17" s="13"/>
      <x:c r="AD17" t="n">
        <x:v>0</x:v>
      </x:c>
      <x:c r="AE17" s="19" t="n">
        <x:v>76239</x:v>
      </x:c>
      <x:c r="AF17" t="str">
        <x:v>deepseek-v4-pro</x:v>
      </x:c>
      <x:c r="AG17" s="20" t="n">
        <x:v>46225.230888356484</x:v>
      </x:c>
      <x:c r="AH17" t="n">
        <x:v>200</x:v>
      </x:c>
      <x:c r="AI17" t="str">
        <x:v>406ddd9f32cc0a6adf6fda13d5b477fdea6c8b242c10a6bfa33eb242f852d4d5</x:v>
      </x:c>
      <x:c r="AJ17" t="str">
        <x:v>99e55c13b29cbadc235b4f0a7b22308079cd00d971954f9264c02b407e0220b5</x:v>
      </x:c>
    </x:row>
    <x:row r="18">
      <x:c r="A18" s="17" t="str">
        <x:v>017</x:v>
      </x:c>
      <x:c r="B18" t="str">
        <x:v>ZH-EXCELLENT-017</x:v>
      </x:c>
      <x:c r="C18" s="17" t="str">
        <x:v>017</x:v>
      </x:c>
      <x:c r="D18" t="str">
        <x:v>Excellent</x:v>
      </x:c>
      <x:c r="E18" t="n">
        <x:v>85</x:v>
      </x:c>
      <x:c r="F18" t="n">
        <x:v>100</x:v>
      </x:c>
      <x:c r="G18" t="n">
        <x:v>1</x:v>
      </x:c>
      <x:c r="H18" s="18" t="n">
        <x:v>89</x:v>
      </x:c>
      <x:c r="I18" s="18" t="n">
        <x:v>92</x:v>
      </x:c>
      <x:c r="J18" s="18" t="n">
        <x:v>85</x:v>
      </x:c>
      <x:c r="K18" s="18" t="n">
        <x:v>95</x:v>
      </x:c>
      <x:c r="L18" s="18" t="n">
        <x:v>95</x:v>
      </x:c>
      <x:c r="M18" s="18" t="n">
        <x:v>92</x:v>
      </x:c>
      <x:c r="N18" s="18" t="n">
        <x:v>82</x:v>
      </x:c>
      <x:c r="O18" s="18" t="n">
        <x:v>91</x:v>
      </x:c>
      <x:c r="P18" s="18" t="n">
        <x:v>89</x:v>
      </x:c>
      <x:c r="Q18" t="str">
        <x:v>Yes</x:v>
      </x:c>
      <x:c r="R18" s="18" t="n">
        <x:v>0</x:v>
      </x:c>
      <x:c r="S18" s="18" t="n">
        <x:v>0</x:v>
      </x:c>
      <x:c r="T18" s="18" t="n">
        <x:v>0</x:v>
      </x:c>
      <x:c r="U18" t="str">
        <x:v>Excellent</x:v>
      </x:c>
      <x:c r="V18" t="str">
        <x:v>Yes</x:v>
      </x:c>
      <x:c r="W18" t="str">
        <x:v>STRONG_LIMITED_EDITING</x:v>
      </x:c>
      <x:c r="X18" t="str">
        <x:v>PASS</x:v>
      </x:c>
      <x:c r="Y18" t="n">
        <x:v>80</x:v>
      </x:c>
      <x:c r="Z18" t="str">
        <x:v>Success</x:v>
      </x:c>
      <x:c r="AA18"/>
      <x:c r="AB18"/>
      <x:c r="AC18" s="13"/>
      <x:c r="AD18" t="n">
        <x:v>0</x:v>
      </x:c>
      <x:c r="AE18" s="19" t="n">
        <x:v>118633</x:v>
      </x:c>
      <x:c r="AF18" t="str">
        <x:v>deepseek-v4-pro</x:v>
      </x:c>
      <x:c r="AG18" s="20" t="n">
        <x:v>46225.232261446756</x:v>
      </x:c>
      <x:c r="AH18" t="n">
        <x:v>200</x:v>
      </x:c>
      <x:c r="AI18" t="str">
        <x:v>04a741076cc4a093797efb62892333cd1cdcc70d6acb73641d796da1f9c0ede9</x:v>
      </x:c>
      <x:c r="AJ18" t="str">
        <x:v>99e55c13b29cbadc235b4f0a7b22308079cd00d971954f9264c02b407e0220b5</x:v>
      </x:c>
    </x:row>
    <x:row r="19">
      <x:c r="A19" s="17" t="str">
        <x:v>018</x:v>
      </x:c>
      <x:c r="B19" t="str">
        <x:v>ZH-EXCELLENT-018</x:v>
      </x:c>
      <x:c r="C19" s="17" t="str">
        <x:v>018</x:v>
      </x:c>
      <x:c r="D19" t="str">
        <x:v>Excellent</x:v>
      </x:c>
      <x:c r="E19" t="n">
        <x:v>85</x:v>
      </x:c>
      <x:c r="F19" t="n">
        <x:v>100</x:v>
      </x:c>
      <x:c r="G19" t="n">
        <x:v>1</x:v>
      </x:c>
      <x:c r="H19" s="18" t="n">
        <x:v>95</x:v>
      </x:c>
      <x:c r="I19" s="18" t="n">
        <x:v>95</x:v>
      </x:c>
      <x:c r="J19" s="18" t="n">
        <x:v>95</x:v>
      </x:c>
      <x:c r="K19" s="18" t="n">
        <x:v>95</x:v>
      </x:c>
      <x:c r="L19" s="18" t="n">
        <x:v>95</x:v>
      </x:c>
      <x:c r="M19" s="18" t="n">
        <x:v>95</x:v>
      </x:c>
      <x:c r="N19" s="18" t="n">
        <x:v>95</x:v>
      </x:c>
      <x:c r="O19" s="18" t="n">
        <x:v>95</x:v>
      </x:c>
      <x:c r="P19" s="18"/>
      <x:c r="Q19" t="str">
        <x:v>Yes</x:v>
      </x:c>
      <x:c r="R19" s="18" t="n">
        <x:v>0</x:v>
      </x:c>
      <x:c r="S19" s="18" t="n">
        <x:v>0</x:v>
      </x:c>
      <x:c r="T19" s="18" t="n">
        <x:v>0</x:v>
      </x:c>
      <x:c r="U19" t="str">
        <x:v>Excellent</x:v>
      </x:c>
      <x:c r="V19" t="str">
        <x:v>Yes</x:v>
      </x:c>
      <x:c r="W19" t="str">
        <x:v>PUBLICATION_READY</x:v>
      </x:c>
      <x:c r="X19" t="str">
        <x:v>PASS</x:v>
      </x:c>
      <x:c r="Y19" t="n">
        <x:v>80</x:v>
      </x:c>
      <x:c r="Z19" t="str">
        <x:v>Success</x:v>
      </x:c>
      <x:c r="AA19"/>
      <x:c r="AB19"/>
      <x:c r="AC19" s="13"/>
      <x:c r="AD19" t="n">
        <x:v>0</x:v>
      </x:c>
      <x:c r="AE19" s="19" t="n">
        <x:v>88251</x:v>
      </x:c>
      <x:c r="AF19" t="str">
        <x:v>deepseek-v4-pro</x:v>
      </x:c>
      <x:c r="AG19" s="20" t="n">
        <x:v>46225.23328289352</x:v>
      </x:c>
      <x:c r="AH19" t="n">
        <x:v>200</x:v>
      </x:c>
      <x:c r="AI19" t="str">
        <x:v>57e93950085374fd0b4247c0e5d74e04669b703183f7e75df6b63e68ae3e55a7</x:v>
      </x:c>
      <x:c r="AJ19" t="str">
        <x:v>99e55c13b29cbadc235b4f0a7b22308079cd00d971954f9264c02b407e0220b5</x:v>
      </x:c>
    </x:row>
    <x:row r="20">
      <x:c r="A20" s="17" t="str">
        <x:v>019</x:v>
      </x:c>
      <x:c r="B20" t="str">
        <x:v>ZH-EXCELLENT-019</x:v>
      </x:c>
      <x:c r="C20" s="17" t="str">
        <x:v>019</x:v>
      </x:c>
      <x:c r="D20" t="str">
        <x:v>Excellent</x:v>
      </x:c>
      <x:c r="E20" t="n">
        <x:v>85</x:v>
      </x:c>
      <x:c r="F20" t="n">
        <x:v>100</x:v>
      </x:c>
      <x:c r="G20" t="n">
        <x:v>1</x:v>
      </x:c>
      <x:c r="H20" s="18" t="n">
        <x:v>88</x:v>
      </x:c>
      <x:c r="I20" s="18" t="n">
        <x:v>85</x:v>
      </x:c>
      <x:c r="J20" s="18" t="n">
        <x:v>85</x:v>
      </x:c>
      <x:c r="K20" s="18" t="n">
        <x:v>95</x:v>
      </x:c>
      <x:c r="L20" s="18" t="n">
        <x:v>95</x:v>
      </x:c>
      <x:c r="M20" s="18" t="n">
        <x:v>90</x:v>
      </x:c>
      <x:c r="N20" s="18" t="n">
        <x:v>80</x:v>
      </x:c>
      <x:c r="O20" s="18" t="n">
        <x:v>88</x:v>
      </x:c>
      <x:c r="P20" s="18" t="n">
        <x:v>89</x:v>
      </x:c>
      <x:c r="Q20" t="str">
        <x:v>Yes</x:v>
      </x:c>
      <x:c r="R20" s="18" t="n">
        <x:v>0</x:v>
      </x:c>
      <x:c r="S20" s="18" t="n">
        <x:v>0</x:v>
      </x:c>
      <x:c r="T20" s="18" t="n">
        <x:v>0</x:v>
      </x:c>
      <x:c r="U20" t="str">
        <x:v>Excellent</x:v>
      </x:c>
      <x:c r="V20" t="str">
        <x:v>Yes</x:v>
      </x:c>
      <x:c r="W20" t="str">
        <x:v>STRONG_LIMITED_EDITING</x:v>
      </x:c>
      <x:c r="X20" t="str">
        <x:v>PASS</x:v>
      </x:c>
      <x:c r="Y20" t="n">
        <x:v>80</x:v>
      </x:c>
      <x:c r="Z20" t="str">
        <x:v>Success</x:v>
      </x:c>
      <x:c r="AA20"/>
      <x:c r="AB20"/>
      <x:c r="AC20" s="13"/>
      <x:c r="AD20" t="n">
        <x:v>0</x:v>
      </x:c>
      <x:c r="AE20" s="19" t="n">
        <x:v>125608</x:v>
      </x:c>
      <x:c r="AF20" t="str">
        <x:v>deepseek-v4-pro</x:v>
      </x:c>
      <x:c r="AG20" s="20" t="n">
        <x:v>46225.23473672454</x:v>
      </x:c>
      <x:c r="AH20" t="n">
        <x:v>200</x:v>
      </x:c>
      <x:c r="AI20" t="str">
        <x:v>47e800873b7fd7d8ba9d692030a88a31d439255fb3fad26bfd5240145171b21c</x:v>
      </x:c>
      <x:c r="AJ20" t="str">
        <x:v>99e55c13b29cbadc235b4f0a7b22308079cd00d971954f9264c02b407e0220b5</x:v>
      </x:c>
    </x:row>
    <x:row r="21">
      <x:c r="A21" s="17" t="str">
        <x:v>020</x:v>
      </x:c>
      <x:c r="B21" t="str">
        <x:v>ZH-EXCELLENT-020</x:v>
      </x:c>
      <x:c r="C21" s="17" t="str">
        <x:v>020</x:v>
      </x:c>
      <x:c r="D21" t="str">
        <x:v>Excellent</x:v>
      </x:c>
      <x:c r="E21" t="n">
        <x:v>85</x:v>
      </x:c>
      <x:c r="F21" t="n">
        <x:v>100</x:v>
      </x:c>
      <x:c r="G21" t="n">
        <x:v>1</x:v>
      </x:c>
      <x:c r="H21" s="18" t="n">
        <x:v>95</x:v>
      </x:c>
      <x:c r="I21" s="18" t="n">
        <x:v>95</x:v>
      </x:c>
      <x:c r="J21" s="18" t="n">
        <x:v>95</x:v>
      </x:c>
      <x:c r="K21" s="18" t="n">
        <x:v>95</x:v>
      </x:c>
      <x:c r="L21" s="18" t="n">
        <x:v>95</x:v>
      </x:c>
      <x:c r="M21" s="18" t="n">
        <x:v>95</x:v>
      </x:c>
      <x:c r="N21" s="18" t="n">
        <x:v>95</x:v>
      </x:c>
      <x:c r="O21" s="18" t="n">
        <x:v>95</x:v>
      </x:c>
      <x:c r="P21" s="18"/>
      <x:c r="Q21" t="str">
        <x:v>Yes</x:v>
      </x:c>
      <x:c r="R21" s="18" t="n">
        <x:v>0</x:v>
      </x:c>
      <x:c r="S21" s="18" t="n">
        <x:v>0</x:v>
      </x:c>
      <x:c r="T21" s="18" t="n">
        <x:v>0</x:v>
      </x:c>
      <x:c r="U21" t="str">
        <x:v>Excellent</x:v>
      </x:c>
      <x:c r="V21" t="str">
        <x:v>Yes</x:v>
      </x:c>
      <x:c r="W21" t="str">
        <x:v>PUBLICATION_READY</x:v>
      </x:c>
      <x:c r="X21" t="str">
        <x:v>PASS</x:v>
      </x:c>
      <x:c r="Y21" t="n">
        <x:v>80</x:v>
      </x:c>
      <x:c r="Z21" t="str">
        <x:v>Success</x:v>
      </x:c>
      <x:c r="AA21"/>
      <x:c r="AB21"/>
      <x:c r="AC21" s="13"/>
      <x:c r="AD21" t="n">
        <x:v>0</x:v>
      </x:c>
      <x:c r="AE21" s="19" t="n">
        <x:v>46064</x:v>
      </x:c>
      <x:c r="AF21" t="str">
        <x:v>deepseek-v4-pro</x:v>
      </x:c>
      <x:c r="AG21" s="20" t="n">
        <x:v>46225.23526990741</x:v>
      </x:c>
      <x:c r="AH21" t="n">
        <x:v>200</x:v>
      </x:c>
      <x:c r="AI21" t="str">
        <x:v>a393dee4c1070e8b3ece917867e86e4e34cb7992c69d77e6090152bf0dae6eb8</x:v>
      </x:c>
      <x:c r="AJ21" t="str">
        <x:v>99e55c13b29cbadc235b4f0a7b22308079cd00d971954f9264c02b407e0220b5</x:v>
      </x:c>
    </x:row>
    <x:row r="22">
      <x:c r="A22" s="17" t="str">
        <x:v>021</x:v>
      </x:c>
      <x:c r="B22" t="str">
        <x:v>ZH-EXCELLENT-021</x:v>
      </x:c>
      <x:c r="C22" s="17" t="str">
        <x:v>021</x:v>
      </x:c>
      <x:c r="D22" t="str">
        <x:v>Excellent</x:v>
      </x:c>
      <x:c r="E22" t="n">
        <x:v>85</x:v>
      </x:c>
      <x:c r="F22" t="n">
        <x:v>100</x:v>
      </x:c>
      <x:c r="G22" t="n">
        <x:v>1</x:v>
      </x:c>
      <x:c r="H22" s="18" t="n">
        <x:v>96</x:v>
      </x:c>
      <x:c r="I22" s="18" t="n">
        <x:v>95</x:v>
      </x:c>
      <x:c r="J22" s="18" t="n">
        <x:v>95</x:v>
      </x:c>
      <x:c r="K22" s="18" t="n">
        <x:v>95</x:v>
      </x:c>
      <x:c r="L22" s="18" t="n">
        <x:v>98</x:v>
      </x:c>
      <x:c r="M22" s="18" t="n">
        <x:v>98</x:v>
      </x:c>
      <x:c r="N22" s="18" t="n">
        <x:v>98</x:v>
      </x:c>
      <x:c r="O22" s="18" t="n">
        <x:v>96</x:v>
      </x:c>
      <x:c r="P22" s="18"/>
      <x:c r="Q22" t="str">
        <x:v>Yes</x:v>
      </x:c>
      <x:c r="R22" s="18" t="n">
        <x:v>0</x:v>
      </x:c>
      <x:c r="S22" s="18" t="n">
        <x:v>0</x:v>
      </x:c>
      <x:c r="T22" s="18" t="n">
        <x:v>0</x:v>
      </x:c>
      <x:c r="U22" t="str">
        <x:v>Excellent</x:v>
      </x:c>
      <x:c r="V22" t="str">
        <x:v>Yes</x:v>
      </x:c>
      <x:c r="W22" t="str">
        <x:v>PUBLICATION_READY</x:v>
      </x:c>
      <x:c r="X22" t="str">
        <x:v>PASS</x:v>
      </x:c>
      <x:c r="Y22" t="n">
        <x:v>80</x:v>
      </x:c>
      <x:c r="Z22" t="str">
        <x:v>Success</x:v>
      </x:c>
      <x:c r="AA22"/>
      <x:c r="AB22"/>
      <x:c r="AC22" s="13"/>
      <x:c r="AD22" t="n">
        <x:v>0</x:v>
      </x:c>
      <x:c r="AE22" s="19" t="n">
        <x:v>72922</x:v>
      </x:c>
      <x:c r="AF22" t="str">
        <x:v>deepseek-v4-pro</x:v>
      </x:c>
      <x:c r="AG22" s="20" t="n">
        <x:v>46225.23611392361</x:v>
      </x:c>
      <x:c r="AH22" t="n">
        <x:v>200</x:v>
      </x:c>
      <x:c r="AI22" t="str">
        <x:v>853870b69fd81a9346e10a79e2ec77d28d32622ffb7206dac1c958fda6162592</x:v>
      </x:c>
      <x:c r="AJ22" t="str">
        <x:v>99e55c13b29cbadc235b4f0a7b22308079cd00d971954f9264c02b407e0220b5</x:v>
      </x:c>
    </x:row>
    <x:row r="23">
      <x:c r="A23" s="17" t="str">
        <x:v>022</x:v>
      </x:c>
      <x:c r="B23" t="str">
        <x:v>ZH-EXCELLENT-022</x:v>
      </x:c>
      <x:c r="C23" s="17" t="str">
        <x:v>022</x:v>
      </x:c>
      <x:c r="D23" t="str">
        <x:v>Excellent</x:v>
      </x:c>
      <x:c r="E23" t="n">
        <x:v>85</x:v>
      </x:c>
      <x:c r="F23" t="n">
        <x:v>100</x:v>
      </x:c>
      <x:c r="G23" t="n">
        <x:v>1</x:v>
      </x:c>
      <x:c r="H23" s="18" t="n">
        <x:v>88</x:v>
      </x:c>
      <x:c r="I23" s="18" t="n">
        <x:v>92</x:v>
      </x:c>
      <x:c r="J23" s="18" t="n">
        <x:v>78</x:v>
      </x:c>
      <x:c r="K23" s="18" t="n">
        <x:v>95</x:v>
      </x:c>
      <x:c r="L23" s="18" t="n">
        <x:v>98</x:v>
      </x:c>
      <x:c r="M23" s="18" t="n">
        <x:v>95</x:v>
      </x:c>
      <x:c r="N23" s="18" t="n">
        <x:v>60</x:v>
      </x:c>
      <x:c r="O23" s="18" t="n">
        <x:v>88</x:v>
      </x:c>
      <x:c r="P23" s="18" t="n">
        <x:v>89</x:v>
      </x:c>
      <x:c r="Q23" t="str">
        <x:v>Yes</x:v>
      </x:c>
      <x:c r="R23" s="18" t="n">
        <x:v>0</x:v>
      </x:c>
      <x:c r="S23" s="18" t="n">
        <x:v>0</x:v>
      </x:c>
      <x:c r="T23" s="18" t="n">
        <x:v>0</x:v>
      </x:c>
      <x:c r="U23" t="str">
        <x:v>Excellent</x:v>
      </x:c>
      <x:c r="V23" t="str">
        <x:v>Yes</x:v>
      </x:c>
      <x:c r="W23" t="str">
        <x:v>STRONG_LIMITED_EDITING</x:v>
      </x:c>
      <x:c r="X23" t="str">
        <x:v>PASS</x:v>
      </x:c>
      <x:c r="Y23" t="n">
        <x:v>80</x:v>
      </x:c>
      <x:c r="Z23" t="str">
        <x:v>Success</x:v>
      </x:c>
      <x:c r="AA23"/>
      <x:c r="AB23"/>
      <x:c r="AC23" s="13"/>
      <x:c r="AD23" t="n">
        <x:v>0</x:v>
      </x:c>
      <x:c r="AE23" s="19" t="n">
        <x:v>125734</x:v>
      </x:c>
      <x:c r="AF23" t="str">
        <x:v>deepseek-v4-pro</x:v>
      </x:c>
      <x:c r="AG23" s="20" t="n">
        <x:v>46225.23756922454</x:v>
      </x:c>
      <x:c r="AH23" t="n">
        <x:v>200</x:v>
      </x:c>
      <x:c r="AI23" t="str">
        <x:v>735c8daaf7d6cf4fad262ed92ec79bde9babae33d18105bd746fe0157ceb35ba</x:v>
      </x:c>
      <x:c r="AJ23" t="str">
        <x:v>99e55c13b29cbadc235b4f0a7b22308079cd00d971954f9264c02b407e0220b5</x:v>
      </x:c>
    </x:row>
    <x:row r="24">
      <x:c r="A24" s="17" t="str">
        <x:v>023</x:v>
      </x:c>
      <x:c r="B24" t="str">
        <x:v>ZH-EXCELLENT-023</x:v>
      </x:c>
      <x:c r="C24" s="17" t="str">
        <x:v>023</x:v>
      </x:c>
      <x:c r="D24" t="str">
        <x:v>Excellent</x:v>
      </x:c>
      <x:c r="E24" t="n">
        <x:v>85</x:v>
      </x:c>
      <x:c r="F24" t="n">
        <x:v>100</x:v>
      </x:c>
      <x:c r="G24" t="n">
        <x:v>1</x:v>
      </x:c>
      <x:c r="H24" s="18" t="n">
        <x:v>94</x:v>
      </x:c>
      <x:c r="I24" s="18" t="n">
        <x:v>92</x:v>
      </x:c>
      <x:c r="J24" s="18" t="n">
        <x:v>95</x:v>
      </x:c>
      <x:c r="K24" s="18" t="n">
        <x:v>95</x:v>
      </x:c>
      <x:c r="L24" s="18" t="n">
        <x:v>95</x:v>
      </x:c>
      <x:c r="M24" s="18" t="n">
        <x:v>95</x:v>
      </x:c>
      <x:c r="N24" s="18" t="n">
        <x:v>95</x:v>
      </x:c>
      <x:c r="O24" s="18" t="n">
        <x:v>94</x:v>
      </x:c>
      <x:c r="P24" s="18"/>
      <x:c r="Q24" t="str">
        <x:v>Yes</x:v>
      </x:c>
      <x:c r="R24" s="18" t="n">
        <x:v>0</x:v>
      </x:c>
      <x:c r="S24" s="18" t="n">
        <x:v>0</x:v>
      </x:c>
      <x:c r="T24" s="18" t="n">
        <x:v>0</x:v>
      </x:c>
      <x:c r="U24" t="str">
        <x:v>Excellent</x:v>
      </x:c>
      <x:c r="V24" t="str">
        <x:v>Yes</x:v>
      </x:c>
      <x:c r="W24" t="str">
        <x:v>PUBLICATION_READY</x:v>
      </x:c>
      <x:c r="X24" t="str">
        <x:v>PASS</x:v>
      </x:c>
      <x:c r="Y24" t="n">
        <x:v>80</x:v>
      </x:c>
      <x:c r="Z24" t="str">
        <x:v>Success</x:v>
      </x:c>
      <x:c r="AA24"/>
      <x:c r="AB24"/>
      <x:c r="AC24" s="13"/>
      <x:c r="AD24" t="n">
        <x:v>0</x:v>
      </x:c>
      <x:c r="AE24" s="19" t="n">
        <x:v>55822</x:v>
      </x:c>
      <x:c r="AF24" t="str">
        <x:v>deepseek-v4-pro</x:v>
      </x:c>
      <x:c r="AG24" s="20" t="n">
        <x:v>46225.238215335645</x:v>
      </x:c>
      <x:c r="AH24" t="n">
        <x:v>200</x:v>
      </x:c>
      <x:c r="AI24" t="str">
        <x:v>a9dfeac1220ee9d1f7233e2139e0b6d694c5ebdd21d69b1a18a96e3f64bc1417</x:v>
      </x:c>
      <x:c r="AJ24" t="str">
        <x:v>99e55c13b29cbadc235b4f0a7b22308079cd00d971954f9264c02b407e0220b5</x:v>
      </x:c>
    </x:row>
    <x:row r="25">
      <x:c r="A25" s="17" t="str">
        <x:v>024</x:v>
      </x:c>
      <x:c r="B25" t="str">
        <x:v>ZH-EXCELLENT-024</x:v>
      </x:c>
      <x:c r="C25" s="17" t="str">
        <x:v>024</x:v>
      </x:c>
      <x:c r="D25" t="str">
        <x:v>Excellent</x:v>
      </x:c>
      <x:c r="E25" t="n">
        <x:v>85</x:v>
      </x:c>
      <x:c r="F25" t="n">
        <x:v>100</x:v>
      </x:c>
      <x:c r="G25" t="n">
        <x:v>1</x:v>
      </x:c>
      <x:c r="H25" s="18" t="n">
        <x:v>89</x:v>
      </x:c>
      <x:c r="I25" s="18" t="n">
        <x:v>90</x:v>
      </x:c>
      <x:c r="J25" s="18" t="n">
        <x:v>95</x:v>
      </x:c>
      <x:c r="K25" s="18" t="n">
        <x:v>95</x:v>
      </x:c>
      <x:c r="L25" s="18" t="n">
        <x:v>98</x:v>
      </x:c>
      <x:c r="M25" s="18" t="n">
        <x:v>90</x:v>
      </x:c>
      <x:c r="N25" s="18" t="n">
        <x:v>70</x:v>
      </x:c>
      <x:c r="O25" s="18" t="n">
        <x:v>91</x:v>
      </x:c>
      <x:c r="P25" s="18" t="n">
        <x:v>89</x:v>
      </x:c>
      <x:c r="Q25" t="str">
        <x:v>Yes</x:v>
      </x:c>
      <x:c r="R25" s="18" t="n">
        <x:v>0</x:v>
      </x:c>
      <x:c r="S25" s="18" t="n">
        <x:v>0</x:v>
      </x:c>
      <x:c r="T25" s="18" t="n">
        <x:v>0</x:v>
      </x:c>
      <x:c r="U25" t="str">
        <x:v>Excellent</x:v>
      </x:c>
      <x:c r="V25" t="str">
        <x:v>Yes</x:v>
      </x:c>
      <x:c r="W25" t="str">
        <x:v>STRONG_LIMITED_EDITING</x:v>
      </x:c>
      <x:c r="X25" t="str">
        <x:v>PASS</x:v>
      </x:c>
      <x:c r="Y25" t="n">
        <x:v>80</x:v>
      </x:c>
      <x:c r="Z25" t="str">
        <x:v>Success</x:v>
      </x:c>
      <x:c r="AA25"/>
      <x:c r="AB25"/>
      <x:c r="AC25" s="13"/>
      <x:c r="AD25" t="n">
        <x:v>0</x:v>
      </x:c>
      <x:c r="AE25" s="19" t="n">
        <x:v>137654</x:v>
      </x:c>
      <x:c r="AF25" t="str">
        <x:v>deepseek-v4-pro</x:v>
      </x:c>
      <x:c r="AG25" s="20" t="n">
        <x:v>46225.239808576385</x:v>
      </x:c>
      <x:c r="AH25" t="n">
        <x:v>200</x:v>
      </x:c>
      <x:c r="AI25" t="str">
        <x:v>159408d421190dfdc5d92fc5587773ee40b9ffe84e772ef529535bb5f3e6c26a</x:v>
      </x:c>
      <x:c r="AJ25" t="str">
        <x:v>99e55c13b29cbadc235b4f0a7b22308079cd00d971954f9264c02b407e0220b5</x:v>
      </x:c>
    </x:row>
    <x:row r="26">
      <x:c r="A26" s="17" t="str">
        <x:v>025</x:v>
      </x:c>
      <x:c r="B26" t="str">
        <x:v>ZH-EXCELLENT-025</x:v>
      </x:c>
      <x:c r="C26" s="17" t="str">
        <x:v>025</x:v>
      </x:c>
      <x:c r="D26" t="str">
        <x:v>Excellent</x:v>
      </x:c>
      <x:c r="E26" t="n">
        <x:v>85</x:v>
      </x:c>
      <x:c r="F26" t="n">
        <x:v>100</x:v>
      </x:c>
      <x:c r="G26" t="n">
        <x:v>1</x:v>
      </x:c>
      <x:c r="H26" s="18" t="n">
        <x:v>95</x:v>
      </x:c>
      <x:c r="I26" s="18" t="n">
        <x:v>95</x:v>
      </x:c>
      <x:c r="J26" s="18" t="n">
        <x:v>95</x:v>
      </x:c>
      <x:c r="K26" s="18" t="n">
        <x:v>95</x:v>
      </x:c>
      <x:c r="L26" s="18" t="n">
        <x:v>95</x:v>
      </x:c>
      <x:c r="M26" s="18" t="n">
        <x:v>95</x:v>
      </x:c>
      <x:c r="N26" s="18" t="n">
        <x:v>95</x:v>
      </x:c>
      <x:c r="O26" s="18" t="n">
        <x:v>95</x:v>
      </x:c>
      <x:c r="P26" s="18"/>
      <x:c r="Q26" t="str">
        <x:v>Yes</x:v>
      </x:c>
      <x:c r="R26" s="18" t="n">
        <x:v>0</x:v>
      </x:c>
      <x:c r="S26" s="18" t="n">
        <x:v>0</x:v>
      </x:c>
      <x:c r="T26" s="18" t="n">
        <x:v>0</x:v>
      </x:c>
      <x:c r="U26" t="str">
        <x:v>Excellent</x:v>
      </x:c>
      <x:c r="V26" t="str">
        <x:v>Yes</x:v>
      </x:c>
      <x:c r="W26" t="str">
        <x:v>PUBLICATION_READY</x:v>
      </x:c>
      <x:c r="X26" t="str">
        <x:v>PASS</x:v>
      </x:c>
      <x:c r="Y26" t="n">
        <x:v>80</x:v>
      </x:c>
      <x:c r="Z26" t="str">
        <x:v>Success</x:v>
      </x:c>
      <x:c r="AA26"/>
      <x:c r="AB26"/>
      <x:c r="AC26" s="13"/>
      <x:c r="AD26" t="n">
        <x:v>0</x:v>
      </x:c>
      <x:c r="AE26" s="19" t="n">
        <x:v>42550</x:v>
      </x:c>
      <x:c r="AF26" t="str">
        <x:v>deepseek-v4-pro</x:v>
      </x:c>
      <x:c r="AG26" s="20" t="n">
        <x:v>46225.24030107639</x:v>
      </x:c>
      <x:c r="AH26" t="n">
        <x:v>200</x:v>
      </x:c>
      <x:c r="AI26" t="str">
        <x:v>86f1c360c3833c83018d83886ee4b7d04434d316640fadbca988501106772b3a</x:v>
      </x:c>
      <x:c r="AJ26" t="str">
        <x:v>99e55c13b29cbadc235b4f0a7b22308079cd00d971954f9264c02b407e0220b5</x:v>
      </x:c>
    </x:row>
    <x:row r="27">
      <x:c r="A27" s="17" t="str">
        <x:v>026</x:v>
      </x:c>
      <x:c r="B27" t="str">
        <x:v>ZH-EXCELLENT-026</x:v>
      </x:c>
      <x:c r="C27" s="17" t="str">
        <x:v>026</x:v>
      </x:c>
      <x:c r="D27" t="str">
        <x:v>Excellent</x:v>
      </x:c>
      <x:c r="E27" t="n">
        <x:v>85</x:v>
      </x:c>
      <x:c r="F27" t="n">
        <x:v>100</x:v>
      </x:c>
      <x:c r="G27" t="n">
        <x:v>1</x:v>
      </x:c>
      <x:c r="H27" s="18" t="n">
        <x:v>95</x:v>
      </x:c>
      <x:c r="I27" s="18" t="n">
        <x:v>95</x:v>
      </x:c>
      <x:c r="J27" s="18" t="n">
        <x:v>95</x:v>
      </x:c>
      <x:c r="K27" s="18" t="n">
        <x:v>95</x:v>
      </x:c>
      <x:c r="L27" s="18" t="n">
        <x:v>95</x:v>
      </x:c>
      <x:c r="M27" s="18" t="n">
        <x:v>95</x:v>
      </x:c>
      <x:c r="N27" s="18" t="n">
        <x:v>95</x:v>
      </x:c>
      <x:c r="O27" s="18" t="n">
        <x:v>95</x:v>
      </x:c>
      <x:c r="P27" s="18"/>
      <x:c r="Q27" t="str">
        <x:v>Yes</x:v>
      </x:c>
      <x:c r="R27" s="18" t="n">
        <x:v>0</x:v>
      </x:c>
      <x:c r="S27" s="18" t="n">
        <x:v>0</x:v>
      </x:c>
      <x:c r="T27" s="18" t="n">
        <x:v>0</x:v>
      </x:c>
      <x:c r="U27" t="str">
        <x:v>Excellent</x:v>
      </x:c>
      <x:c r="V27" t="str">
        <x:v>Yes</x:v>
      </x:c>
      <x:c r="W27" t="str">
        <x:v>PUBLICATION_READY</x:v>
      </x:c>
      <x:c r="X27" t="str">
        <x:v>PASS</x:v>
      </x:c>
      <x:c r="Y27" t="n">
        <x:v>80</x:v>
      </x:c>
      <x:c r="Z27" t="str">
        <x:v>Success</x:v>
      </x:c>
      <x:c r="AA27"/>
      <x:c r="AB27"/>
      <x:c r="AC27" s="13"/>
      <x:c r="AD27" t="n">
        <x:v>0</x:v>
      </x:c>
      <x:c r="AE27" s="19" t="n">
        <x:v>131048</x:v>
      </x:c>
      <x:c r="AF27" t="str">
        <x:v>deepseek-v4-pro</x:v>
      </x:c>
      <x:c r="AG27" s="20" t="n">
        <x:v>46225.24181788194</x:v>
      </x:c>
      <x:c r="AH27" t="n">
        <x:v>200</x:v>
      </x:c>
      <x:c r="AI27" t="str">
        <x:v>53ed20965c7cd7a9abb67a620e41ddf96335b495de200c9f4830951193bf23e1</x:v>
      </x:c>
      <x:c r="AJ27" t="str">
        <x:v>99e55c13b29cbadc235b4f0a7b22308079cd00d971954f9264c02b407e0220b5</x:v>
      </x:c>
    </x:row>
    <x:row r="28">
      <x:c r="A28" s="17" t="str">
        <x:v>027</x:v>
      </x:c>
      <x:c r="B28" t="str">
        <x:v>ZH-EXCELLENT-027</x:v>
      </x:c>
      <x:c r="C28" s="17" t="str">
        <x:v>027</x:v>
      </x:c>
      <x:c r="D28" t="str">
        <x:v>Excellent</x:v>
      </x:c>
      <x:c r="E28" t="n">
        <x:v>85</x:v>
      </x:c>
      <x:c r="F28" t="n">
        <x:v>100</x:v>
      </x:c>
      <x:c r="G28" t="n">
        <x:v>1</x:v>
      </x:c>
      <x:c r="H28" s="18" t="n">
        <x:v>89</x:v>
      </x:c>
      <x:c r="I28" s="18" t="n">
        <x:v>85</x:v>
      </x:c>
      <x:c r="J28" s="18" t="n">
        <x:v>92</x:v>
      </x:c>
      <x:c r="K28" s="18" t="n">
        <x:v>95</x:v>
      </x:c>
      <x:c r="L28" s="18" t="n">
        <x:v>95</x:v>
      </x:c>
      <x:c r="M28" s="18" t="n">
        <x:v>92</x:v>
      </x:c>
      <x:c r="N28" s="18" t="n">
        <x:v>90</x:v>
      </x:c>
      <x:c r="O28" s="18" t="n">
        <x:v>91</x:v>
      </x:c>
      <x:c r="P28" s="18" t="n">
        <x:v>89</x:v>
      </x:c>
      <x:c r="Q28" t="str">
        <x:v>Yes</x:v>
      </x:c>
      <x:c r="R28" s="18" t="n">
        <x:v>0</x:v>
      </x:c>
      <x:c r="S28" s="18" t="n">
        <x:v>0</x:v>
      </x:c>
      <x:c r="T28" s="18" t="n">
        <x:v>0</x:v>
      </x:c>
      <x:c r="U28" t="str">
        <x:v>Excellent</x:v>
      </x:c>
      <x:c r="V28" t="str">
        <x:v>Yes</x:v>
      </x:c>
      <x:c r="W28" t="str">
        <x:v>STRONG_LIMITED_EDITING</x:v>
      </x:c>
      <x:c r="X28" t="str">
        <x:v>PASS</x:v>
      </x:c>
      <x:c r="Y28" t="n">
        <x:v>80</x:v>
      </x:c>
      <x:c r="Z28" t="str">
        <x:v>Success</x:v>
      </x:c>
      <x:c r="AA28"/>
      <x:c r="AB28"/>
      <x:c r="AC28" s="13"/>
      <x:c r="AD28" t="n">
        <x:v>0</x:v>
      </x:c>
      <x:c r="AE28" s="19" t="n">
        <x:v>66082</x:v>
      </x:c>
      <x:c r="AF28" t="str">
        <x:v>deepseek-v4-pro</x:v>
      </x:c>
      <x:c r="AG28" s="20" t="n">
        <x:v>46225.242582743056</x:v>
      </x:c>
      <x:c r="AH28" t="n">
        <x:v>200</x:v>
      </x:c>
      <x:c r="AI28" t="str">
        <x:v>12a86032e26940a2fbda43849030fffb8d5a7d284404f032841dfbf787148565</x:v>
      </x:c>
      <x:c r="AJ28" t="str">
        <x:v>99e55c13b29cbadc235b4f0a7b22308079cd00d971954f9264c02b407e0220b5</x:v>
      </x:c>
    </x:row>
    <x:row r="29">
      <x:c r="A29" s="17" t="str">
        <x:v>028</x:v>
      </x:c>
      <x:c r="B29" t="str">
        <x:v>ZH-EXCELLENT-028</x:v>
      </x:c>
      <x:c r="C29" s="17" t="str">
        <x:v>028</x:v>
      </x:c>
      <x:c r="D29" t="str">
        <x:v>Excellent</x:v>
      </x:c>
      <x:c r="E29" t="n">
        <x:v>85</x:v>
      </x:c>
      <x:c r="F29" t="n">
        <x:v>100</x:v>
      </x:c>
      <x:c r="G29" t="n">
        <x:v>1</x:v>
      </x:c>
      <x:c r="H29" s="18" t="n">
        <x:v>89</x:v>
      </x:c>
      <x:c r="I29" s="18" t="n">
        <x:v>88</x:v>
      </x:c>
      <x:c r="J29" s="18" t="n">
        <x:v>95</x:v>
      </x:c>
      <x:c r="K29" s="18" t="n">
        <x:v>92</x:v>
      </x:c>
      <x:c r="L29" s="18" t="n">
        <x:v>96</x:v>
      </x:c>
      <x:c r="M29" s="18" t="n">
        <x:v>95</x:v>
      </x:c>
      <x:c r="N29" s="18" t="n">
        <x:v>90</x:v>
      </x:c>
      <x:c r="O29" s="18" t="n">
        <x:v>92</x:v>
      </x:c>
      <x:c r="P29" s="18" t="n">
        <x:v>89</x:v>
      </x:c>
      <x:c r="Q29" t="str">
        <x:v>Yes</x:v>
      </x:c>
      <x:c r="R29" s="18" t="n">
        <x:v>0</x:v>
      </x:c>
      <x:c r="S29" s="18" t="n">
        <x:v>0</x:v>
      </x:c>
      <x:c r="T29" s="18" t="n">
        <x:v>0</x:v>
      </x:c>
      <x:c r="U29" t="str">
        <x:v>Excellent</x:v>
      </x:c>
      <x:c r="V29" t="str">
        <x:v>Yes</x:v>
      </x:c>
      <x:c r="W29" t="str">
        <x:v>STRONG_LIMITED_EDITING</x:v>
      </x:c>
      <x:c r="X29" t="str">
        <x:v>PASS</x:v>
      </x:c>
      <x:c r="Y29" t="n">
        <x:v>80</x:v>
      </x:c>
      <x:c r="Z29" t="str">
        <x:v>Success</x:v>
      </x:c>
      <x:c r="AA29"/>
      <x:c r="AB29"/>
      <x:c r="AC29" s="13"/>
      <x:c r="AD29" t="n">
        <x:v>0</x:v>
      </x:c>
      <x:c r="AE29" s="19" t="n">
        <x:v>101998</x:v>
      </x:c>
      <x:c r="AF29" t="str">
        <x:v>deepseek-v4-pro</x:v>
      </x:c>
      <x:c r="AG29" s="20" t="n">
        <x:v>46225.24376329861</x:v>
      </x:c>
      <x:c r="AH29" t="n">
        <x:v>200</x:v>
      </x:c>
      <x:c r="AI29" t="str">
        <x:v>df86f9112aaf835c48f7cca02f6c96eca8b119a9bb5b68ec76434b0b64604d81</x:v>
      </x:c>
      <x:c r="AJ29" t="str">
        <x:v>99e55c13b29cbadc235b4f0a7b22308079cd00d971954f9264c02b407e0220b5</x:v>
      </x:c>
    </x:row>
    <x:row r="30">
      <x:c r="A30" s="17" t="str">
        <x:v>029</x:v>
      </x:c>
      <x:c r="B30" t="str">
        <x:v>ZH-EXCELLENT-029</x:v>
      </x:c>
      <x:c r="C30" s="17" t="str">
        <x:v>029</x:v>
      </x:c>
      <x:c r="D30" t="str">
        <x:v>Excellent</x:v>
      </x:c>
      <x:c r="E30" t="n">
        <x:v>85</x:v>
      </x:c>
      <x:c r="F30" t="n">
        <x:v>100</x:v>
      </x:c>
      <x:c r="G30" t="n">
        <x:v>1</x:v>
      </x:c>
      <x:c r="H30" s="18" t="n">
        <x:v>95</x:v>
      </x:c>
      <x:c r="I30" s="18" t="n">
        <x:v>95</x:v>
      </x:c>
      <x:c r="J30" s="18" t="n">
        <x:v>95</x:v>
      </x:c>
      <x:c r="K30" s="18" t="n">
        <x:v>95</x:v>
      </x:c>
      <x:c r="L30" s="18" t="n">
        <x:v>95</x:v>
      </x:c>
      <x:c r="M30" s="18" t="n">
        <x:v>95</x:v>
      </x:c>
      <x:c r="N30" s="18" t="n">
        <x:v>95</x:v>
      </x:c>
      <x:c r="O30" s="18" t="n">
        <x:v>95</x:v>
      </x:c>
      <x:c r="P30" s="18"/>
      <x:c r="Q30" t="str">
        <x:v>Yes</x:v>
      </x:c>
      <x:c r="R30" s="18" t="n">
        <x:v>0</x:v>
      </x:c>
      <x:c r="S30" s="18" t="n">
        <x:v>0</x:v>
      </x:c>
      <x:c r="T30" s="18" t="n">
        <x:v>0</x:v>
      </x:c>
      <x:c r="U30" t="str">
        <x:v>Excellent</x:v>
      </x:c>
      <x:c r="V30" t="str">
        <x:v>Yes</x:v>
      </x:c>
      <x:c r="W30" t="str">
        <x:v>PUBLICATION_READY</x:v>
      </x:c>
      <x:c r="X30" t="str">
        <x:v>PASS</x:v>
      </x:c>
      <x:c r="Y30" t="n">
        <x:v>80</x:v>
      </x:c>
      <x:c r="Z30" t="str">
        <x:v>Success</x:v>
      </x:c>
      <x:c r="AA30"/>
      <x:c r="AB30"/>
      <x:c r="AC30" s="13"/>
      <x:c r="AD30" t="n">
        <x:v>0</x:v>
      </x:c>
      <x:c r="AE30" s="19" t="n">
        <x:v>46225</x:v>
      </x:c>
      <x:c r="AF30" t="str">
        <x:v>deepseek-v4-pro</x:v>
      </x:c>
      <x:c r="AG30" s="20" t="n">
        <x:v>46225.24429835648</x:v>
      </x:c>
      <x:c r="AH30" t="n">
        <x:v>200</x:v>
      </x:c>
      <x:c r="AI30" t="str">
        <x:v>ebe1cf734633c4d7a6b2904ef2c47010cf0ae66600e3b5c5b3713ee486402195</x:v>
      </x:c>
      <x:c r="AJ30" t="str">
        <x:v>99e55c13b29cbadc235b4f0a7b22308079cd00d971954f9264c02b407e0220b5</x:v>
      </x:c>
    </x:row>
    <x:row r="31">
      <x:c r="A31" s="17" t="str">
        <x:v>030</x:v>
      </x:c>
      <x:c r="B31" t="str">
        <x:v>ZH-EXCELLENT-030</x:v>
      </x:c>
      <x:c r="C31" s="17" t="str">
        <x:v>030</x:v>
      </x:c>
      <x:c r="D31" t="str">
        <x:v>Excellent</x:v>
      </x:c>
      <x:c r="E31" t="n">
        <x:v>85</x:v>
      </x:c>
      <x:c r="F31" t="n">
        <x:v>100</x:v>
      </x:c>
      <x:c r="G31" t="n">
        <x:v>1</x:v>
      </x:c>
      <x:c r="H31" s="18" t="n">
        <x:v>89</x:v>
      </x:c>
      <x:c r="I31" s="18" t="n">
        <x:v>85</x:v>
      </x:c>
      <x:c r="J31" s="18" t="n">
        <x:v>95</x:v>
      </x:c>
      <x:c r="K31" s="18" t="n">
        <x:v>95</x:v>
      </x:c>
      <x:c r="L31" s="18" t="n">
        <x:v>95</x:v>
      </x:c>
      <x:c r="M31" s="18" t="n">
        <x:v>95</x:v>
      </x:c>
      <x:c r="N31" s="18" t="n">
        <x:v>95</x:v>
      </x:c>
      <x:c r="O31" s="18" t="n">
        <x:v>93</x:v>
      </x:c>
      <x:c r="P31" s="18" t="n">
        <x:v>89</x:v>
      </x:c>
      <x:c r="Q31" t="str">
        <x:v>Yes</x:v>
      </x:c>
      <x:c r="R31" s="18" t="n">
        <x:v>0</x:v>
      </x:c>
      <x:c r="S31" s="18" t="n">
        <x:v>0</x:v>
      </x:c>
      <x:c r="T31" s="18" t="n">
        <x:v>0</x:v>
      </x:c>
      <x:c r="U31" t="str">
        <x:v>Excellent</x:v>
      </x:c>
      <x:c r="V31" t="str">
        <x:v>Yes</x:v>
      </x:c>
      <x:c r="W31" t="str">
        <x:v>STRONG_LIMITED_EDITING</x:v>
      </x:c>
      <x:c r="X31" t="str">
        <x:v>PASS</x:v>
      </x:c>
      <x:c r="Y31" t="n">
        <x:v>80</x:v>
      </x:c>
      <x:c r="Z31" t="str">
        <x:v>Success</x:v>
      </x:c>
      <x:c r="AA31"/>
      <x:c r="AB31"/>
      <x:c r="AC31" s="13"/>
      <x:c r="AD31" t="n">
        <x:v>0</x:v>
      </x:c>
      <x:c r="AE31" s="19" t="n">
        <x:v>106166</x:v>
      </x:c>
      <x:c r="AF31" t="str">
        <x:v>deepseek-v4-pro</x:v>
      </x:c>
      <x:c r="AG31" s="20" t="n">
        <x:v>46225.24552715278</x:v>
      </x:c>
      <x:c r="AH31" t="n">
        <x:v>200</x:v>
      </x:c>
      <x:c r="AI31" t="str">
        <x:v>c46243c25168f60496ccceefc9136f8e03ea7561169a3cd2880038d604fbcad3</x:v>
      </x:c>
      <x:c r="AJ31" t="str">
        <x:v>99e55c13b29cbadc235b4f0a7b22308079cd00d971954f9264c02b407e0220b5</x:v>
      </x:c>
    </x:row>
    <x:row r="32">
      <x:c r="A32" s="17" t="str">
        <x:v>031</x:v>
      </x:c>
      <x:c r="B32" t="str">
        <x:v>ZH-GOOD-001</x:v>
      </x:c>
      <x:c r="C32" s="17" t="str">
        <x:v>001</x:v>
      </x:c>
      <x:c r="D32" t="str">
        <x:v>Good</x:v>
      </x:c>
      <x:c r="E32" t="n">
        <x:v>70</x:v>
      </x:c>
      <x:c r="F32" t="n">
        <x:v>84</x:v>
      </x:c>
      <x:c r="G32" t="n">
        <x:v>1</x:v>
      </x:c>
      <x:c r="H32" s="18" t="n">
        <x:v>74</x:v>
      </x:c>
      <x:c r="I32" s="18" t="n">
        <x:v>70</x:v>
      </x:c>
      <x:c r="J32" s="18" t="n">
        <x:v>85</x:v>
      </x:c>
      <x:c r="K32" s="18" t="n">
        <x:v>89</x:v>
      </x:c>
      <x:c r="L32" s="18" t="n">
        <x:v>95</x:v>
      </x:c>
      <x:c r="M32" s="18" t="n">
        <x:v>95</x:v>
      </x:c>
      <x:c r="N32" s="18" t="n">
        <x:v>90</x:v>
      </x:c>
      <x:c r="O32" s="18" t="n">
        <x:v>85</x:v>
      </x:c>
      <x:c r="P32" s="18" t="n">
        <x:v>74</x:v>
      </x:c>
      <x:c r="Q32" t="str">
        <x:v>Yes</x:v>
      </x:c>
      <x:c r="R32" s="18" t="n">
        <x:v>0</x:v>
      </x:c>
      <x:c r="S32" s="18" t="n">
        <x:v>0</x:v>
      </x:c>
      <x:c r="T32" s="18" t="n">
        <x:v>0</x:v>
      </x:c>
      <x:c r="U32" t="str">
        <x:v>Good</x:v>
      </x:c>
      <x:c r="V32" t="str">
        <x:v>Yes</x:v>
      </x:c>
      <x:c r="W32" t="str">
        <x:v>SUBSTANTIAL_REWRITE</x:v>
      </x:c>
      <x:c r="X32" t="str">
        <x:v>REWRITE_REQUIRED</x:v>
      </x:c>
      <x:c r="Y32" t="n">
        <x:v>80</x:v>
      </x:c>
      <x:c r="Z32" t="str">
        <x:v>Success</x:v>
      </x:c>
      <x:c r="AA32"/>
      <x:c r="AB32"/>
      <x:c r="AC32" s="13"/>
      <x:c r="AD32" t="n">
        <x:v>0</x:v>
      </x:c>
      <x:c r="AE32" s="19" t="n">
        <x:v>114725</x:v>
      </x:c>
      <x:c r="AF32" t="str">
        <x:v>deepseek-v4-pro</x:v>
      </x:c>
      <x:c r="AG32" s="20" t="n">
        <x:v>46225.21288912037</x:v>
      </x:c>
      <x:c r="AH32" t="n">
        <x:v>200</x:v>
      </x:c>
      <x:c r="AI32" t="str">
        <x:v>ce480e33b06653f61aea15a51ede64165a3a4a422839af9f22a5ef30fa792fbf</x:v>
      </x:c>
      <x:c r="AJ32" t="str">
        <x:v>99e55c13b29cbadc235b4f0a7b22308079cd00d971954f9264c02b407e0220b5</x:v>
      </x:c>
    </x:row>
    <x:row r="33">
      <x:c r="A33" s="17" t="str">
        <x:v>032</x:v>
      </x:c>
      <x:c r="B33" t="str">
        <x:v>ZH-GOOD-002</x:v>
      </x:c>
      <x:c r="C33" s="17" t="str">
        <x:v>002</x:v>
      </x:c>
      <x:c r="D33" t="str">
        <x:v>Good</x:v>
      </x:c>
      <x:c r="E33" t="n">
        <x:v>70</x:v>
      </x:c>
      <x:c r="F33" t="n">
        <x:v>84</x:v>
      </x:c>
      <x:c r="G33" t="n">
        <x:v>1</x:v>
      </x:c>
      <x:c r="H33" s="18" t="n">
        <x:v>89</x:v>
      </x:c>
      <x:c r="I33" s="18" t="n">
        <x:v>94</x:v>
      </x:c>
      <x:c r="J33" s="18" t="n">
        <x:v>85</x:v>
      </x:c>
      <x:c r="K33" s="18" t="n">
        <x:v>95</x:v>
      </x:c>
      <x:c r="L33" s="18" t="n">
        <x:v>88</x:v>
      </x:c>
      <x:c r="M33" s="18" t="n">
        <x:v>95</x:v>
      </x:c>
      <x:c r="N33" s="18" t="n">
        <x:v>80</x:v>
      </x:c>
      <x:c r="O33" s="18" t="n">
        <x:v>90</x:v>
      </x:c>
      <x:c r="P33" s="18" t="n">
        <x:v>89</x:v>
      </x:c>
      <x:c r="Q33" t="str">
        <x:v>No</x:v>
      </x:c>
      <x:c r="R33" s="18" t="n">
        <x:v>5</x:v>
      </x:c>
      <x:c r="S33" s="18" t="n">
        <x:v>0</x:v>
      </x:c>
      <x:c r="T33" s="18" t="n">
        <x:v>5</x:v>
      </x:c>
      <x:c r="U33" t="str">
        <x:v>Excellent</x:v>
      </x:c>
      <x:c r="V33" t="str">
        <x:v>No</x:v>
      </x:c>
      <x:c r="W33" t="str">
        <x:v>STRONG_LIMITED_EDITING</x:v>
      </x:c>
      <x:c r="X33" t="str">
        <x:v>PASS</x:v>
      </x:c>
      <x:c r="Y33" t="n">
        <x:v>80</x:v>
      </x:c>
      <x:c r="Z33" t="str">
        <x:v>Success</x:v>
      </x:c>
      <x:c r="AA33"/>
      <x:c r="AB33"/>
      <x:c r="AC33" s="13"/>
      <x:c r="AD33" t="n">
        <x:v>0</x:v>
      </x:c>
      <x:c r="AE33" s="19" t="n">
        <x:v>161597</x:v>
      </x:c>
      <x:c r="AF33" t="str">
        <x:v>deepseek-v4-pro</x:v>
      </x:c>
      <x:c r="AG33" s="20" t="n">
        <x:v>46225.214759490744</x:v>
      </x:c>
      <x:c r="AH33" t="n">
        <x:v>200</x:v>
      </x:c>
      <x:c r="AI33" t="str">
        <x:v>907ed396e67c45e0455b3a82de77fe2da1b3211815166a732dce59a36809d8ea</x:v>
      </x:c>
      <x:c r="AJ33" t="str">
        <x:v>99e55c13b29cbadc235b4f0a7b22308079cd00d971954f9264c02b407e0220b5</x:v>
      </x:c>
    </x:row>
    <x:row r="34">
      <x:c r="A34" s="17" t="str">
        <x:v>033</x:v>
      </x:c>
      <x:c r="B34" t="str">
        <x:v>ZH-GOOD-003</x:v>
      </x:c>
      <x:c r="C34" s="17" t="str">
        <x:v>003</x:v>
      </x:c>
      <x:c r="D34" t="str">
        <x:v>Good</x:v>
      </x:c>
      <x:c r="E34" t="n">
        <x:v>70</x:v>
      </x:c>
      <x:c r="F34" t="n">
        <x:v>84</x:v>
      </x:c>
      <x:c r="G34" t="n">
        <x:v>1</x:v>
      </x:c>
      <x:c r="H34" s="18" t="n">
        <x:v>83</x:v>
      </x:c>
      <x:c r="I34" s="18" t="n">
        <x:v>78</x:v>
      </x:c>
      <x:c r="J34" s="18" t="n">
        <x:v>78</x:v>
      </x:c>
      <x:c r="K34" s="18" t="n">
        <x:v>88</x:v>
      </x:c>
      <x:c r="L34" s="18" t="n">
        <x:v>92</x:v>
      </x:c>
      <x:c r="M34" s="18" t="n">
        <x:v>90</x:v>
      </x:c>
      <x:c r="N34" s="18" t="n">
        <x:v>78</x:v>
      </x:c>
      <x:c r="O34" s="18" t="n">
        <x:v>83</x:v>
      </x:c>
      <x:c r="P34" s="18" t="n">
        <x:v>89</x:v>
      </x:c>
      <x:c r="Q34" t="str">
        <x:v>Yes</x:v>
      </x:c>
      <x:c r="R34" s="18" t="n">
        <x:v>0</x:v>
      </x:c>
      <x:c r="S34" s="18" t="n">
        <x:v>0</x:v>
      </x:c>
      <x:c r="T34" s="18" t="n">
        <x:v>0</x:v>
      </x:c>
      <x:c r="U34" t="str">
        <x:v>Good</x:v>
      </x:c>
      <x:c r="V34" t="str">
        <x:v>Yes</x:v>
      </x:c>
      <x:c r="W34" t="str">
        <x:v>STRONG_LIMITED_EDITING</x:v>
      </x:c>
      <x:c r="X34" t="str">
        <x:v>PASS</x:v>
      </x:c>
      <x:c r="Y34" t="n">
        <x:v>80</x:v>
      </x:c>
      <x:c r="Z34" t="str">
        <x:v>Success</x:v>
      </x:c>
      <x:c r="AA34"/>
      <x:c r="AB34"/>
      <x:c r="AC34" s="13"/>
      <x:c r="AD34" t="n">
        <x:v>0</x:v>
      </x:c>
      <x:c r="AE34" s="19" t="n">
        <x:v>84034</x:v>
      </x:c>
      <x:c r="AF34" t="str">
        <x:v>deepseek-v4-pro</x:v>
      </x:c>
      <x:c r="AG34" s="20" t="n">
        <x:v>46225.21573212963</x:v>
      </x:c>
      <x:c r="AH34" t="n">
        <x:v>200</x:v>
      </x:c>
      <x:c r="AI34" t="str">
        <x:v>1604705e017a26c537f98fe0aa1bcb88eae70ef4023ea1aa5a4a548e2b347fa5</x:v>
      </x:c>
      <x:c r="AJ34" t="str">
        <x:v>99e55c13b29cbadc235b4f0a7b22308079cd00d971954f9264c02b407e0220b5</x:v>
      </x:c>
    </x:row>
    <x:row r="35">
      <x:c r="A35" s="17" t="str">
        <x:v>034</x:v>
      </x:c>
      <x:c r="B35" t="str">
        <x:v>ZH-GOOD-004</x:v>
      </x:c>
      <x:c r="C35" s="17" t="str">
        <x:v>004</x:v>
      </x:c>
      <x:c r="D35" t="str">
        <x:v>Good</x:v>
      </x:c>
      <x:c r="E35" t="n">
        <x:v>70</x:v>
      </x:c>
      <x:c r="F35" t="n">
        <x:v>84</x:v>
      </x:c>
      <x:c r="G35" t="n">
        <x:v>1</x:v>
      </x:c>
      <x:c r="H35" s="18" t="n">
        <x:v>59</x:v>
      </x:c>
      <x:c r="I35" s="18" t="n">
        <x:v>55</x:v>
      </x:c>
      <x:c r="J35" s="18" t="n">
        <x:v>78</x:v>
      </x:c>
      <x:c r="K35" s="18" t="n">
        <x:v>92</x:v>
      </x:c>
      <x:c r="L35" s="18" t="n">
        <x:v>95</x:v>
      </x:c>
      <x:c r="M35" s="18" t="n">
        <x:v>50</x:v>
      </x:c>
      <x:c r="N35" s="18" t="n">
        <x:v>50</x:v>
      </x:c>
      <x:c r="O35" s="18" t="n">
        <x:v>70</x:v>
      </x:c>
      <x:c r="P35" s="18" t="n">
        <x:v>59</x:v>
      </x:c>
      <x:c r="Q35" t="str">
        <x:v>No</x:v>
      </x:c>
      <x:c r="R35" s="18" t="n">
        <x:v>11</x:v>
      </x:c>
      <x:c r="S35" s="18" t="n">
        <x:v>11</x:v>
      </x:c>
      <x:c r="T35" s="18" t="n">
        <x:v>0</x:v>
      </x:c>
      <x:c r="U35" t="str">
        <x:v>Normal</x:v>
      </x:c>
      <x:c r="V35" t="str">
        <x:v>No</x:v>
      </x:c>
      <x:c r="W35" t="str">
        <x:v>WEAK</x:v>
      </x:c>
      <x:c r="X35" t="str">
        <x:v>REWRITE_REQUIRED</x:v>
      </x:c>
      <x:c r="Y35" t="n">
        <x:v>80</x:v>
      </x:c>
      <x:c r="Z35" t="str">
        <x:v>Success</x:v>
      </x:c>
      <x:c r="AA35"/>
      <x:c r="AB35"/>
      <x:c r="AC35" s="13"/>
      <x:c r="AD35" t="n">
        <x:v>0</x:v>
      </x:c>
      <x:c r="AE35" s="19" t="n">
        <x:v>96438</x:v>
      </x:c>
      <x:c r="AF35" t="str">
        <x:v>deepseek-v4-pro</x:v>
      </x:c>
      <x:c r="AG35" s="20" t="n">
        <x:v>46225.21684833333</x:v>
      </x:c>
      <x:c r="AH35" t="n">
        <x:v>200</x:v>
      </x:c>
      <x:c r="AI35" t="str">
        <x:v>d1439466ed451bf5e96c162d35219f16ae36b39c0f752d1c6b6116427c2e854f</x:v>
      </x:c>
      <x:c r="AJ35" t="str">
        <x:v>99e55c13b29cbadc235b4f0a7b22308079cd00d971954f9264c02b407e0220b5</x:v>
      </x:c>
    </x:row>
    <x:row r="36">
      <x:c r="A36" s="17" t="str">
        <x:v>035</x:v>
      </x:c>
      <x:c r="B36" t="str">
        <x:v>ZH-GOOD-005</x:v>
      </x:c>
      <x:c r="C36" s="17" t="str">
        <x:v>005</x:v>
      </x:c>
      <x:c r="D36" t="str">
        <x:v>Good</x:v>
      </x:c>
      <x:c r="E36" t="n">
        <x:v>70</x:v>
      </x:c>
      <x:c r="F36" t="n">
        <x:v>84</x:v>
      </x:c>
      <x:c r="G36" t="n">
        <x:v>1</x:v>
      </x:c>
      <x:c r="H36" s="18" t="n">
        <x:v>93</x:v>
      </x:c>
      <x:c r="I36" s="18" t="n">
        <x:v>90</x:v>
      </x:c>
      <x:c r="J36" s="18" t="n">
        <x:v>95</x:v>
      </x:c>
      <x:c r="K36" s="18" t="n">
        <x:v>95</x:v>
      </x:c>
      <x:c r="L36" s="18" t="n">
        <x:v>95</x:v>
      </x:c>
      <x:c r="M36" s="18" t="n">
        <x:v>95</x:v>
      </x:c>
      <x:c r="N36" s="18" t="n">
        <x:v>90</x:v>
      </x:c>
      <x:c r="O36" s="18" t="n">
        <x:v>93</x:v>
      </x:c>
      <x:c r="P36" s="18"/>
      <x:c r="Q36" t="str">
        <x:v>No</x:v>
      </x:c>
      <x:c r="R36" s="18" t="n">
        <x:v>9</x:v>
      </x:c>
      <x:c r="S36" s="18" t="n">
        <x:v>0</x:v>
      </x:c>
      <x:c r="T36" s="18" t="n">
        <x:v>9</x:v>
      </x:c>
      <x:c r="U36" t="str">
        <x:v>Excellent</x:v>
      </x:c>
      <x:c r="V36" t="str">
        <x:v>No</x:v>
      </x:c>
      <x:c r="W36" t="str">
        <x:v>PUBLICATION_READY</x:v>
      </x:c>
      <x:c r="X36" t="str">
        <x:v>PASS</x:v>
      </x:c>
      <x:c r="Y36" t="n">
        <x:v>80</x:v>
      </x:c>
      <x:c r="Z36" t="str">
        <x:v>Success</x:v>
      </x:c>
      <x:c r="AA36"/>
      <x:c r="AB36"/>
      <x:c r="AC36" s="13"/>
      <x:c r="AD36" t="n">
        <x:v>0</x:v>
      </x:c>
      <x:c r="AE36" s="19" t="n">
        <x:v>103855</x:v>
      </x:c>
      <x:c r="AF36" t="str">
        <x:v>deepseek-v4-pro</x:v>
      </x:c>
      <x:c r="AG36" s="20" t="n">
        <x:v>46225.21805038195</x:v>
      </x:c>
      <x:c r="AH36" t="n">
        <x:v>200</x:v>
      </x:c>
      <x:c r="AI36" t="str">
        <x:v>2122b6ba2990876abc67daad21696e140c7b60919f7c1b2b2b155e11dc828622</x:v>
      </x:c>
      <x:c r="AJ36" t="str">
        <x:v>99e55c13b29cbadc235b4f0a7b22308079cd00d971954f9264c02b407e0220b5</x:v>
      </x:c>
    </x:row>
    <x:row r="37">
      <x:c r="A37" s="17" t="str">
        <x:v>036</x:v>
      </x:c>
      <x:c r="B37" t="str">
        <x:v>ZH-GOOD-006</x:v>
      </x:c>
      <x:c r="C37" s="17" t="str">
        <x:v>006</x:v>
      </x:c>
      <x:c r="D37" t="str">
        <x:v>Good</x:v>
      </x:c>
      <x:c r="E37" t="n">
        <x:v>70</x:v>
      </x:c>
      <x:c r="F37" t="n">
        <x:v>84</x:v>
      </x:c>
      <x:c r="G37" t="n">
        <x:v>1</x:v>
      </x:c>
      <x:c r="H37" s="18" t="n">
        <x:v>59</x:v>
      </x:c>
      <x:c r="I37" s="18" t="n">
        <x:v>50</x:v>
      </x:c>
      <x:c r="J37" s="18" t="n">
        <x:v>85</x:v>
      </x:c>
      <x:c r="K37" s="18" t="n">
        <x:v>90</x:v>
      </x:c>
      <x:c r="L37" s="18" t="n">
        <x:v>95</x:v>
      </x:c>
      <x:c r="M37" s="18" t="n">
        <x:v>55</x:v>
      </x:c>
      <x:c r="N37" s="18" t="n">
        <x:v>40</x:v>
      </x:c>
      <x:c r="O37" s="18" t="n">
        <x:v>70</x:v>
      </x:c>
      <x:c r="P37" s="18" t="n">
        <x:v>59</x:v>
      </x:c>
      <x:c r="Q37" t="str">
        <x:v>No</x:v>
      </x:c>
      <x:c r="R37" s="18" t="n">
        <x:v>11</x:v>
      </x:c>
      <x:c r="S37" s="18" t="n">
        <x:v>11</x:v>
      </x:c>
      <x:c r="T37" s="18" t="n">
        <x:v>0</x:v>
      </x:c>
      <x:c r="U37" t="str">
        <x:v>Normal</x:v>
      </x:c>
      <x:c r="V37" t="str">
        <x:v>No</x:v>
      </x:c>
      <x:c r="W37" t="str">
        <x:v>WEAK</x:v>
      </x:c>
      <x:c r="X37" t="str">
        <x:v>REWRITE_REQUIRED</x:v>
      </x:c>
      <x:c r="Y37" t="n">
        <x:v>80</x:v>
      </x:c>
      <x:c r="Z37" t="str">
        <x:v>Success</x:v>
      </x:c>
      <x:c r="AA37"/>
      <x:c r="AB37"/>
      <x:c r="AC37" s="13"/>
      <x:c r="AD37" t="n">
        <x:v>0</x:v>
      </x:c>
      <x:c r="AE37" s="19" t="n">
        <x:v>69981</x:v>
      </x:c>
      <x:c r="AF37" t="str">
        <x:v>deepseek-v4-pro</x:v>
      </x:c>
      <x:c r="AG37" s="20" t="n">
        <x:v>46225.21886037037</x:v>
      </x:c>
      <x:c r="AH37" t="n">
        <x:v>200</x:v>
      </x:c>
      <x:c r="AI37" t="str">
        <x:v>cb64cd8c3fc0e80ed3b04afba5bbe5d20078a17bac43bf5a202c399b291be297</x:v>
      </x:c>
      <x:c r="AJ37" t="str">
        <x:v>99e55c13b29cbadc235b4f0a7b22308079cd00d971954f9264c02b407e0220b5</x:v>
      </x:c>
    </x:row>
    <x:row r="38">
      <x:c r="A38" s="17" t="str">
        <x:v>037</x:v>
      </x:c>
      <x:c r="B38" t="str">
        <x:v>ZH-GOOD-007</x:v>
      </x:c>
      <x:c r="C38" s="17" t="str">
        <x:v>007</x:v>
      </x:c>
      <x:c r="D38" t="str">
        <x:v>Good</x:v>
      </x:c>
      <x:c r="E38" t="n">
        <x:v>70</x:v>
      </x:c>
      <x:c r="F38" t="n">
        <x:v>84</x:v>
      </x:c>
      <x:c r="G38" t="n">
        <x:v>1</x:v>
      </x:c>
      <x:c r="H38" s="18" t="n">
        <x:v>59</x:v>
      </x:c>
      <x:c r="I38" s="18" t="n">
        <x:v>70</x:v>
      </x:c>
      <x:c r="J38" s="18" t="n">
        <x:v>80</x:v>
      </x:c>
      <x:c r="K38" s="18" t="n">
        <x:v>90</x:v>
      </x:c>
      <x:c r="L38" s="18" t="n">
        <x:v>95</x:v>
      </x:c>
      <x:c r="M38" s="18" t="n">
        <x:v>70</x:v>
      </x:c>
      <x:c r="N38" s="18" t="n">
        <x:v>50</x:v>
      </x:c>
      <x:c r="O38" s="18" t="n">
        <x:v>77</x:v>
      </x:c>
      <x:c r="P38" s="18" t="n">
        <x:v>59</x:v>
      </x:c>
      <x:c r="Q38" t="str">
        <x:v>No</x:v>
      </x:c>
      <x:c r="R38" s="18" t="n">
        <x:v>11</x:v>
      </x:c>
      <x:c r="S38" s="18" t="n">
        <x:v>11</x:v>
      </x:c>
      <x:c r="T38" s="18" t="n">
        <x:v>0</x:v>
      </x:c>
      <x:c r="U38" t="str">
        <x:v>Normal</x:v>
      </x:c>
      <x:c r="V38" t="str">
        <x:v>No</x:v>
      </x:c>
      <x:c r="W38" t="str">
        <x:v>WEAK</x:v>
      </x:c>
      <x:c r="X38" t="str">
        <x:v>REWRITE_REQUIRED</x:v>
      </x:c>
      <x:c r="Y38" t="n">
        <x:v>80</x:v>
      </x:c>
      <x:c r="Z38" t="str">
        <x:v>Success</x:v>
      </x:c>
      <x:c r="AA38"/>
      <x:c r="AB38"/>
      <x:c r="AC38" s="13"/>
      <x:c r="AD38" t="n">
        <x:v>0</x:v>
      </x:c>
      <x:c r="AE38" s="19" t="n">
        <x:v>147675</x:v>
      </x:c>
      <x:c r="AF38" t="str">
        <x:v>deepseek-v4-pro</x:v>
      </x:c>
      <x:c r="AG38" s="20" t="n">
        <x:v>46225.22056959491</x:v>
      </x:c>
      <x:c r="AH38" t="n">
        <x:v>200</x:v>
      </x:c>
      <x:c r="AI38" t="str">
        <x:v>8e13861a2a5b7be65414e98ca7b69a3f52806ee4dfa69bd8c7a39ec103f49018</x:v>
      </x:c>
      <x:c r="AJ38" t="str">
        <x:v>99e55c13b29cbadc235b4f0a7b22308079cd00d971954f9264c02b407e0220b5</x:v>
      </x:c>
    </x:row>
    <x:row r="39">
      <x:c r="A39" s="17" t="str">
        <x:v>038</x:v>
      </x:c>
      <x:c r="B39" t="str">
        <x:v>ZH-GOOD-008</x:v>
      </x:c>
      <x:c r="C39" s="17" t="str">
        <x:v>008</x:v>
      </x:c>
      <x:c r="D39" t="str">
        <x:v>Good</x:v>
      </x:c>
      <x:c r="E39" t="n">
        <x:v>70</x:v>
      </x:c>
      <x:c r="F39" t="n">
        <x:v>84</x:v>
      </x:c>
      <x:c r="G39" t="n">
        <x:v>1</x:v>
      </x:c>
      <x:c r="H39" s="18" t="n">
        <x:v>94</x:v>
      </x:c>
      <x:c r="I39" s="18" t="n">
        <x:v>93</x:v>
      </x:c>
      <x:c r="J39" s="18" t="n">
        <x:v>95</x:v>
      </x:c>
      <x:c r="K39" s="18" t="n">
        <x:v>95</x:v>
      </x:c>
      <x:c r="L39" s="18" t="n">
        <x:v>95</x:v>
      </x:c>
      <x:c r="M39" s="18" t="n">
        <x:v>95</x:v>
      </x:c>
      <x:c r="N39" s="18" t="n">
        <x:v>90</x:v>
      </x:c>
      <x:c r="O39" s="18" t="n">
        <x:v>94</x:v>
      </x:c>
      <x:c r="P39" s="18"/>
      <x:c r="Q39" t="str">
        <x:v>No</x:v>
      </x:c>
      <x:c r="R39" s="18" t="n">
        <x:v>10</x:v>
      </x:c>
      <x:c r="S39" s="18" t="n">
        <x:v>0</x:v>
      </x:c>
      <x:c r="T39" s="18" t="n">
        <x:v>10</x:v>
      </x:c>
      <x:c r="U39" t="str">
        <x:v>Excellent</x:v>
      </x:c>
      <x:c r="V39" t="str">
        <x:v>No</x:v>
      </x:c>
      <x:c r="W39" t="str">
        <x:v>PUBLICATION_READY</x:v>
      </x:c>
      <x:c r="X39" t="str">
        <x:v>PASS</x:v>
      </x:c>
      <x:c r="Y39" t="n">
        <x:v>80</x:v>
      </x:c>
      <x:c r="Z39" t="str">
        <x:v>Success</x:v>
      </x:c>
      <x:c r="AA39"/>
      <x:c r="AB39"/>
      <x:c r="AC39" s="13"/>
      <x:c r="AD39" t="n">
        <x:v>0</x:v>
      </x:c>
      <x:c r="AE39" s="19" t="n">
        <x:v>133592</x:v>
      </x:c>
      <x:c r="AF39" t="str">
        <x:v>deepseek-v4-pro</x:v>
      </x:c>
      <x:c r="AG39" s="20" t="n">
        <x:v>46225.222115833334</x:v>
      </x:c>
      <x:c r="AH39" t="n">
        <x:v>200</x:v>
      </x:c>
      <x:c r="AI39" t="str">
        <x:v>a0102002811396252dae8b2dc6f37d4238145bc0d441b0dcf72b5e36a91b5894</x:v>
      </x:c>
      <x:c r="AJ39" t="str">
        <x:v>99e55c13b29cbadc235b4f0a7b22308079cd00d971954f9264c02b407e0220b5</x:v>
      </x:c>
    </x:row>
    <x:row r="40">
      <x:c r="A40" s="17" t="str">
        <x:v>039</x:v>
      </x:c>
      <x:c r="B40" t="str">
        <x:v>ZH-GOOD-009</x:v>
      </x:c>
      <x:c r="C40" s="17" t="str">
        <x:v>009</x:v>
      </x:c>
      <x:c r="D40" t="str">
        <x:v>Good</x:v>
      </x:c>
      <x:c r="E40" t="n">
        <x:v>70</x:v>
      </x:c>
      <x:c r="F40" t="n">
        <x:v>84</x:v>
      </x:c>
      <x:c r="G40" t="n">
        <x:v>1</x:v>
      </x:c>
      <x:c r="H40" s="18" t="n">
        <x:v>89</x:v>
      </x:c>
      <x:c r="I40" s="18" t="n">
        <x:v>88</x:v>
      </x:c>
      <x:c r="J40" s="18" t="n">
        <x:v>92</x:v>
      </x:c>
      <x:c r="K40" s="18" t="n">
        <x:v>95</x:v>
      </x:c>
      <x:c r="L40" s="18" t="n">
        <x:v>95</x:v>
      </x:c>
      <x:c r="M40" s="18" t="n">
        <x:v>88</x:v>
      </x:c>
      <x:c r="N40" s="18" t="n">
        <x:v>85</x:v>
      </x:c>
      <x:c r="O40" s="18" t="n">
        <x:v>91</x:v>
      </x:c>
      <x:c r="P40" s="18" t="n">
        <x:v>89</x:v>
      </x:c>
      <x:c r="Q40" t="str">
        <x:v>No</x:v>
      </x:c>
      <x:c r="R40" s="18" t="n">
        <x:v>5</x:v>
      </x:c>
      <x:c r="S40" s="18" t="n">
        <x:v>0</x:v>
      </x:c>
      <x:c r="T40" s="18" t="n">
        <x:v>5</x:v>
      </x:c>
      <x:c r="U40" t="str">
        <x:v>Excellent</x:v>
      </x:c>
      <x:c r="V40" t="str">
        <x:v>No</x:v>
      </x:c>
      <x:c r="W40" t="str">
        <x:v>STRONG_LIMITED_EDITING</x:v>
      </x:c>
      <x:c r="X40" t="str">
        <x:v>PASS</x:v>
      </x:c>
      <x:c r="Y40" t="n">
        <x:v>80</x:v>
      </x:c>
      <x:c r="Z40" t="str">
        <x:v>Success</x:v>
      </x:c>
      <x:c r="AA40"/>
      <x:c r="AB40"/>
      <x:c r="AC40" s="13"/>
      <x:c r="AD40" t="n">
        <x:v>0</x:v>
      </x:c>
      <x:c r="AE40" s="19" t="n">
        <x:v>187263</x:v>
      </x:c>
      <x:c r="AF40" t="str">
        <x:v>deepseek-v4-pro</x:v>
      </x:c>
      <x:c r="AG40" s="20" t="n">
        <x:v>46225.22428326389</x:v>
      </x:c>
      <x:c r="AH40" t="n">
        <x:v>200</x:v>
      </x:c>
      <x:c r="AI40" t="str">
        <x:v>3ee5bf704fa854db96248e51a6dfdb9b862862f168bf171b8808f35598f25d77</x:v>
      </x:c>
      <x:c r="AJ40" t="str">
        <x:v>99e55c13b29cbadc235b4f0a7b22308079cd00d971954f9264c02b407e0220b5</x:v>
      </x:c>
    </x:row>
    <x:row r="41">
      <x:c r="A41" s="17" t="str">
        <x:v>040</x:v>
      </x:c>
      <x:c r="B41" t="str">
        <x:v>ZH-GOOD-010</x:v>
      </x:c>
      <x:c r="C41" s="17" t="str">
        <x:v>010</x:v>
      </x:c>
      <x:c r="D41" t="str">
        <x:v>Good</x:v>
      </x:c>
      <x:c r="E41" t="n">
        <x:v>70</x:v>
      </x:c>
      <x:c r="F41" t="n">
        <x:v>84</x:v>
      </x:c>
      <x:c r="G41" t="n">
        <x:v>1</x:v>
      </x:c>
      <x:c r="H41" s="18" t="n">
        <x:v>95</x:v>
      </x:c>
      <x:c r="I41" s="18" t="n">
        <x:v>95</x:v>
      </x:c>
      <x:c r="J41" s="18" t="n">
        <x:v>95</x:v>
      </x:c>
      <x:c r="K41" s="18" t="n">
        <x:v>95</x:v>
      </x:c>
      <x:c r="L41" s="18" t="n">
        <x:v>95</x:v>
      </x:c>
      <x:c r="M41" s="18" t="n">
        <x:v>95</x:v>
      </x:c>
      <x:c r="N41" s="18" t="n">
        <x:v>95</x:v>
      </x:c>
      <x:c r="O41" s="18" t="n">
        <x:v>95</x:v>
      </x:c>
      <x:c r="P41" s="18"/>
      <x:c r="Q41" t="str">
        <x:v>No</x:v>
      </x:c>
      <x:c r="R41" s="18" t="n">
        <x:v>11</x:v>
      </x:c>
      <x:c r="S41" s="18" t="n">
        <x:v>0</x:v>
      </x:c>
      <x:c r="T41" s="18" t="n">
        <x:v>11</x:v>
      </x:c>
      <x:c r="U41" t="str">
        <x:v>Excellent</x:v>
      </x:c>
      <x:c r="V41" t="str">
        <x:v>No</x:v>
      </x:c>
      <x:c r="W41" t="str">
        <x:v>PUBLICATION_READY</x:v>
      </x:c>
      <x:c r="X41" t="str">
        <x:v>PASS</x:v>
      </x:c>
      <x:c r="Y41" t="n">
        <x:v>80</x:v>
      </x:c>
      <x:c r="Z41" t="str">
        <x:v>Success</x:v>
      </x:c>
      <x:c r="AA41"/>
      <x:c r="AB41"/>
      <x:c r="AC41" s="13"/>
      <x:c r="AD41" t="n">
        <x:v>0</x:v>
      </x:c>
      <x:c r="AE41" s="19" t="n">
        <x:v>53140</x:v>
      </x:c>
      <x:c r="AF41" t="str">
        <x:v>deepseek-v4-pro</x:v>
      </x:c>
      <x:c r="AG41" s="20" t="n">
        <x:v>46225.22489832176</x:v>
      </x:c>
      <x:c r="AH41" t="n">
        <x:v>200</x:v>
      </x:c>
      <x:c r="AI41" t="str">
        <x:v>c1c8e7677b5c302f706daf478f0e0079bd88ea093b4e481c2a4a59a8a82b3ae0</x:v>
      </x:c>
      <x:c r="AJ41" t="str">
        <x:v>99e55c13b29cbadc235b4f0a7b22308079cd00d971954f9264c02b407e0220b5</x:v>
      </x:c>
    </x:row>
    <x:row r="42">
      <x:c r="A42" s="17" t="str">
        <x:v>041</x:v>
      </x:c>
      <x:c r="B42" t="str">
        <x:v>ZH-GOOD-011</x:v>
      </x:c>
      <x:c r="C42" s="17" t="str">
        <x:v>011</x:v>
      </x:c>
      <x:c r="D42" t="str">
        <x:v>Good</x:v>
      </x:c>
      <x:c r="E42" t="n">
        <x:v>70</x:v>
      </x:c>
      <x:c r="F42" t="n">
        <x:v>84</x:v>
      </x:c>
      <x:c r="G42" t="n">
        <x:v>1</x:v>
      </x:c>
      <x:c r="H42" s="18" t="n">
        <x:v>93</x:v>
      </x:c>
      <x:c r="I42" s="18" t="n">
        <x:v>90</x:v>
      </x:c>
      <x:c r="J42" s="18" t="n">
        <x:v>93</x:v>
      </x:c>
      <x:c r="K42" s="18" t="n">
        <x:v>93</x:v>
      </x:c>
      <x:c r="L42" s="18" t="n">
        <x:v>94</x:v>
      </x:c>
      <x:c r="M42" s="18" t="n">
        <x:v>95</x:v>
      </x:c>
      <x:c r="N42" s="18" t="n">
        <x:v>92</x:v>
      </x:c>
      <x:c r="O42" s="18" t="n">
        <x:v>93</x:v>
      </x:c>
      <x:c r="P42" s="18"/>
      <x:c r="Q42" t="str">
        <x:v>No</x:v>
      </x:c>
      <x:c r="R42" s="18" t="n">
        <x:v>9</x:v>
      </x:c>
      <x:c r="S42" s="18" t="n">
        <x:v>0</x:v>
      </x:c>
      <x:c r="T42" s="18" t="n">
        <x:v>9</x:v>
      </x:c>
      <x:c r="U42" t="str">
        <x:v>Excellent</x:v>
      </x:c>
      <x:c r="V42" t="str">
        <x:v>No</x:v>
      </x:c>
      <x:c r="W42" t="str">
        <x:v>PUBLICATION_READY</x:v>
      </x:c>
      <x:c r="X42" t="str">
        <x:v>PASS</x:v>
      </x:c>
      <x:c r="Y42" t="n">
        <x:v>80</x:v>
      </x:c>
      <x:c r="Z42" t="str">
        <x:v>Success</x:v>
      </x:c>
      <x:c r="AA42"/>
      <x:c r="AB42"/>
      <x:c r="AC42" s="13"/>
      <x:c r="AD42" t="n">
        <x:v>0</x:v>
      </x:c>
      <x:c r="AE42" s="19" t="n">
        <x:v>101363</x:v>
      </x:c>
      <x:c r="AF42" t="str">
        <x:v>deepseek-v4-pro</x:v>
      </x:c>
      <x:c r="AG42" s="20" t="n">
        <x:v>46225.22607152778</x:v>
      </x:c>
      <x:c r="AH42" t="n">
        <x:v>200</x:v>
      </x:c>
      <x:c r="AI42" t="str">
        <x:v>7e635b0f0794d971e30de83954798cae2e5fd4cbcda46e3ac5c6b83c01d931e9</x:v>
      </x:c>
      <x:c r="AJ42" t="str">
        <x:v>99e55c13b29cbadc235b4f0a7b22308079cd00d971954f9264c02b407e0220b5</x:v>
      </x:c>
    </x:row>
    <x:row r="43">
      <x:c r="A43" s="17" t="str">
        <x:v>042</x:v>
      </x:c>
      <x:c r="B43" t="str">
        <x:v>ZH-GOOD-012</x:v>
      </x:c>
      <x:c r="C43" s="17" t="str">
        <x:v>012</x:v>
      </x:c>
      <x:c r="D43" t="str">
        <x:v>Good</x:v>
      </x:c>
      <x:c r="E43" t="n">
        <x:v>70</x:v>
      </x:c>
      <x:c r="F43" t="n">
        <x:v>84</x:v>
      </x:c>
      <x:c r="G43" t="n">
        <x:v>1</x:v>
      </x:c>
      <x:c r="H43" s="18" t="n">
        <x:v>59</x:v>
      </x:c>
      <x:c r="I43" s="18" t="n">
        <x:v>55</x:v>
      </x:c>
      <x:c r="J43" s="18" t="n">
        <x:v>80</x:v>
      </x:c>
      <x:c r="K43" s="18" t="n">
        <x:v>92</x:v>
      </x:c>
      <x:c r="L43" s="18" t="n">
        <x:v>95</x:v>
      </x:c>
      <x:c r="M43" s="18" t="n">
        <x:v>55</x:v>
      </x:c>
      <x:c r="N43" s="18" t="n">
        <x:v>40</x:v>
      </x:c>
      <x:c r="O43" s="18" t="n">
        <x:v>70</x:v>
      </x:c>
      <x:c r="P43" s="18" t="n">
        <x:v>59</x:v>
      </x:c>
      <x:c r="Q43" t="str">
        <x:v>No</x:v>
      </x:c>
      <x:c r="R43" s="18" t="n">
        <x:v>11</x:v>
      </x:c>
      <x:c r="S43" s="18" t="n">
        <x:v>11</x:v>
      </x:c>
      <x:c r="T43" s="18" t="n">
        <x:v>0</x:v>
      </x:c>
      <x:c r="U43" t="str">
        <x:v>Normal</x:v>
      </x:c>
      <x:c r="V43" t="str">
        <x:v>No</x:v>
      </x:c>
      <x:c r="W43" t="str">
        <x:v>WEAK</x:v>
      </x:c>
      <x:c r="X43" t="str">
        <x:v>REWRITE_REQUIRED</x:v>
      </x:c>
      <x:c r="Y43" t="n">
        <x:v>80</x:v>
      </x:c>
      <x:c r="Z43" t="str">
        <x:v>Success</x:v>
      </x:c>
      <x:c r="AA43"/>
      <x:c r="AB43"/>
      <x:c r="AC43" s="13"/>
      <x:c r="AD43" t="n">
        <x:v>0</x:v>
      </x:c>
      <x:c r="AE43" s="19" t="n">
        <x:v>109564</x:v>
      </x:c>
      <x:c r="AF43" t="str">
        <x:v>deepseek-v4-pro</x:v>
      </x:c>
      <x:c r="AG43" s="20" t="n">
        <x:v>46225.227339652774</x:v>
      </x:c>
      <x:c r="AH43" t="n">
        <x:v>200</x:v>
      </x:c>
      <x:c r="AI43" t="str">
        <x:v>3f394800be68b799c1495abcf4019d624c3a473f7802f590a884c52fc939c980</x:v>
      </x:c>
      <x:c r="AJ43" t="str">
        <x:v>99e55c13b29cbadc235b4f0a7b22308079cd00d971954f9264c02b407e0220b5</x:v>
      </x:c>
    </x:row>
    <x:row r="44">
      <x:c r="A44" s="17" t="str">
        <x:v>043</x:v>
      </x:c>
      <x:c r="B44" t="str">
        <x:v>ZH-GOOD-013</x:v>
      </x:c>
      <x:c r="C44" s="17" t="str">
        <x:v>013</x:v>
      </x:c>
      <x:c r="D44" t="str">
        <x:v>Good</x:v>
      </x:c>
      <x:c r="E44" t="n">
        <x:v>70</x:v>
      </x:c>
      <x:c r="F44" t="n">
        <x:v>84</x:v>
      </x:c>
      <x:c r="G44" t="n">
        <x:v>1</x:v>
      </x:c>
      <x:c r="H44" s="18" t="n">
        <x:v>87</x:v>
      </x:c>
      <x:c r="I44" s="18" t="n">
        <x:v>88</x:v>
      </x:c>
      <x:c r="J44" s="18" t="n">
        <x:v>80</x:v>
      </x:c>
      <x:c r="K44" s="18" t="n">
        <x:v>90</x:v>
      </x:c>
      <x:c r="L44" s="18" t="n">
        <x:v>95</x:v>
      </x:c>
      <x:c r="M44" s="18" t="n">
        <x:v>92</x:v>
      </x:c>
      <x:c r="N44" s="18" t="n">
        <x:v>78</x:v>
      </x:c>
      <x:c r="O44" s="18" t="n">
        <x:v>87</x:v>
      </x:c>
      <x:c r="P44" s="18" t="n">
        <x:v>89</x:v>
      </x:c>
      <x:c r="Q44" t="str">
        <x:v>No</x:v>
      </x:c>
      <x:c r="R44" s="18" t="n">
        <x:v>3</x:v>
      </x:c>
      <x:c r="S44" s="18" t="n">
        <x:v>0</x:v>
      </x:c>
      <x:c r="T44" s="18" t="n">
        <x:v>3</x:v>
      </x:c>
      <x:c r="U44" t="str">
        <x:v>Excellent</x:v>
      </x:c>
      <x:c r="V44" t="str">
        <x:v>No</x:v>
      </x:c>
      <x:c r="W44" t="str">
        <x:v>STRONG_LIMITED_EDITING</x:v>
      </x:c>
      <x:c r="X44" t="str">
        <x:v>PASS</x:v>
      </x:c>
      <x:c r="Y44" t="n">
        <x:v>80</x:v>
      </x:c>
      <x:c r="Z44" t="str">
        <x:v>Success</x:v>
      </x:c>
      <x:c r="AA44"/>
      <x:c r="AB44"/>
      <x:c r="AC44" s="13"/>
      <x:c r="AD44" t="n">
        <x:v>0</x:v>
      </x:c>
      <x:c r="AE44" s="19" t="n">
        <x:v>118472</x:v>
      </x:c>
      <x:c r="AF44" t="str">
        <x:v>deepseek-v4-pro</x:v>
      </x:c>
      <x:c r="AG44" s="20" t="n">
        <x:v>46225.22871087963</x:v>
      </x:c>
      <x:c r="AH44" t="n">
        <x:v>200</x:v>
      </x:c>
      <x:c r="AI44" t="str">
        <x:v>22aa6acd7db27ff40cfe3c300013724545913e2db72b9077b2791f1b2e6dfab7</x:v>
      </x:c>
      <x:c r="AJ44" t="str">
        <x:v>99e55c13b29cbadc235b4f0a7b22308079cd00d971954f9264c02b407e0220b5</x:v>
      </x:c>
    </x:row>
    <x:row r="45">
      <x:c r="A45" s="17" t="str">
        <x:v>044</x:v>
      </x:c>
      <x:c r="B45" t="str">
        <x:v>ZH-GOOD-014</x:v>
      </x:c>
      <x:c r="C45" s="17" t="str">
        <x:v>014</x:v>
      </x:c>
      <x:c r="D45" t="str">
        <x:v>Good</x:v>
      </x:c>
      <x:c r="E45" t="n">
        <x:v>70</x:v>
      </x:c>
      <x:c r="F45" t="n">
        <x:v>84</x:v>
      </x:c>
      <x:c r="G45" t="n">
        <x:v>1</x:v>
      </x:c>
      <x:c r="H45" s="18" t="n">
        <x:v>59</x:v>
      </x:c>
      <x:c r="I45" s="18" t="n">
        <x:v>55</x:v>
      </x:c>
      <x:c r="J45" s="18" t="n">
        <x:v>80</x:v>
      </x:c>
      <x:c r="K45" s="18" t="n">
        <x:v>90</x:v>
      </x:c>
      <x:c r="L45" s="18" t="n">
        <x:v>92</x:v>
      </x:c>
      <x:c r="M45" s="18" t="n">
        <x:v>55</x:v>
      </x:c>
      <x:c r="N45" s="18" t="n">
        <x:v>45</x:v>
      </x:c>
      <x:c r="O45" s="18" t="n">
        <x:v>70</x:v>
      </x:c>
      <x:c r="P45" s="18" t="n">
        <x:v>59</x:v>
      </x:c>
      <x:c r="Q45" t="str">
        <x:v>No</x:v>
      </x:c>
      <x:c r="R45" s="18" t="n">
        <x:v>11</x:v>
      </x:c>
      <x:c r="S45" s="18" t="n">
        <x:v>11</x:v>
      </x:c>
      <x:c r="T45" s="18" t="n">
        <x:v>0</x:v>
      </x:c>
      <x:c r="U45" t="str">
        <x:v>Normal</x:v>
      </x:c>
      <x:c r="V45" t="str">
        <x:v>No</x:v>
      </x:c>
      <x:c r="W45" t="str">
        <x:v>WEAK</x:v>
      </x:c>
      <x:c r="X45" t="str">
        <x:v>REWRITE_REQUIRED</x:v>
      </x:c>
      <x:c r="Y45" t="n">
        <x:v>80</x:v>
      </x:c>
      <x:c r="Z45" t="str">
        <x:v>Success</x:v>
      </x:c>
      <x:c r="AA45"/>
      <x:c r="AB45"/>
      <x:c r="AC45" s="13"/>
      <x:c r="AD45" t="n">
        <x:v>0</x:v>
      </x:c>
      <x:c r="AE45" s="19" t="n">
        <x:v>95187</x:v>
      </x:c>
      <x:c r="AF45" t="str">
        <x:v>deepseek-v4-pro</x:v>
      </x:c>
      <x:c r="AG45" s="20" t="n">
        <x:v>46225.229812604164</x:v>
      </x:c>
      <x:c r="AH45" t="n">
        <x:v>200</x:v>
      </x:c>
      <x:c r="AI45" t="str">
        <x:v>e35da7845cd8a5d23395af68a66b04b5461677ddadd0aba66aedf08507a3c176</x:v>
      </x:c>
      <x:c r="AJ45" t="str">
        <x:v>99e55c13b29cbadc235b4f0a7b22308079cd00d971954f9264c02b407e0220b5</x:v>
      </x:c>
    </x:row>
    <x:row r="46">
      <x:c r="A46" s="17" t="str">
        <x:v>045</x:v>
      </x:c>
      <x:c r="B46" t="str">
        <x:v>ZH-GOOD-015</x:v>
      </x:c>
      <x:c r="C46" s="17" t="str">
        <x:v>015</x:v>
      </x:c>
      <x:c r="D46" t="str">
        <x:v>Good</x:v>
      </x:c>
      <x:c r="E46" t="n">
        <x:v>70</x:v>
      </x:c>
      <x:c r="F46" t="n">
        <x:v>84</x:v>
      </x:c>
      <x:c r="G46" t="n">
        <x:v>1</x:v>
      </x:c>
      <x:c r="H46" s="18" t="n">
        <x:v>87</x:v>
      </x:c>
      <x:c r="I46" s="18" t="n">
        <x:v>80</x:v>
      </x:c>
      <x:c r="J46" s="18" t="n">
        <x:v>88</x:v>
      </x:c>
      <x:c r="K46" s="18" t="n">
        <x:v>92</x:v>
      </x:c>
      <x:c r="L46" s="18" t="n">
        <x:v>95</x:v>
      </x:c>
      <x:c r="M46" s="18" t="n">
        <x:v>92</x:v>
      </x:c>
      <x:c r="N46" s="18" t="n">
        <x:v>75</x:v>
      </x:c>
      <x:c r="O46" s="18" t="n">
        <x:v>87</x:v>
      </x:c>
      <x:c r="P46" s="18" t="n">
        <x:v>89</x:v>
      </x:c>
      <x:c r="Q46" t="str">
        <x:v>No</x:v>
      </x:c>
      <x:c r="R46" s="18" t="n">
        <x:v>3</x:v>
      </x:c>
      <x:c r="S46" s="18" t="n">
        <x:v>0</x:v>
      </x:c>
      <x:c r="T46" s="18" t="n">
        <x:v>3</x:v>
      </x:c>
      <x:c r="U46" t="str">
        <x:v>Excellent</x:v>
      </x:c>
      <x:c r="V46" t="str">
        <x:v>No</x:v>
      </x:c>
      <x:c r="W46" t="str">
        <x:v>STRONG_LIMITED_EDITING</x:v>
      </x:c>
      <x:c r="X46" t="str">
        <x:v>PASS</x:v>
      </x:c>
      <x:c r="Y46" t="n">
        <x:v>80</x:v>
      </x:c>
      <x:c r="Z46" t="str">
        <x:v>Success</x:v>
      </x:c>
      <x:c r="AA46"/>
      <x:c r="AB46"/>
      <x:c r="AC46" s="13"/>
      <x:c r="AD46" t="n">
        <x:v>0</x:v>
      </x:c>
      <x:c r="AE46" s="19" t="n">
        <x:v>100758</x:v>
      </x:c>
      <x:c r="AF46" t="str">
        <x:v>deepseek-v4-pro</x:v>
      </x:c>
      <x:c r="AG46" s="20" t="n">
        <x:v>46225.23097880787</x:v>
      </x:c>
      <x:c r="AH46" t="n">
        <x:v>200</x:v>
      </x:c>
      <x:c r="AI46" t="str">
        <x:v>d594ae00219708ef787fee626316ba71a2ba60044870267781c91c16837ac027</x:v>
      </x:c>
      <x:c r="AJ46" t="str">
        <x:v>99e55c13b29cbadc235b4f0a7b22308079cd00d971954f9264c02b407e0220b5</x:v>
      </x:c>
    </x:row>
    <x:row r="47">
      <x:c r="A47" s="17" t="str">
        <x:v>046</x:v>
      </x:c>
      <x:c r="B47" t="str">
        <x:v>ZH-GOOD-016</x:v>
      </x:c>
      <x:c r="C47" s="17" t="str">
        <x:v>016</x:v>
      </x:c>
      <x:c r="D47" t="str">
        <x:v>Good</x:v>
      </x:c>
      <x:c r="E47" t="n">
        <x:v>70</x:v>
      </x:c>
      <x:c r="F47" t="n">
        <x:v>84</x:v>
      </x:c>
      <x:c r="G47" t="n">
        <x:v>1</x:v>
      </x:c>
      <x:c r="H47" s="18" t="n">
        <x:v>89</x:v>
      </x:c>
      <x:c r="I47" s="18" t="n">
        <x:v>88</x:v>
      </x:c>
      <x:c r="J47" s="18" t="n">
        <x:v>85</x:v>
      </x:c>
      <x:c r="K47" s="18" t="n">
        <x:v>95</x:v>
      </x:c>
      <x:c r="L47" s="18" t="n">
        <x:v>98</x:v>
      </x:c>
      <x:c r="M47" s="18" t="n">
        <x:v>90</x:v>
      </x:c>
      <x:c r="N47" s="18" t="n">
        <x:v>78</x:v>
      </x:c>
      <x:c r="O47" s="18" t="n">
        <x:v>89</x:v>
      </x:c>
      <x:c r="P47" s="18" t="n">
        <x:v>89</x:v>
      </x:c>
      <x:c r="Q47" t="str">
        <x:v>No</x:v>
      </x:c>
      <x:c r="R47" s="18" t="n">
        <x:v>5</x:v>
      </x:c>
      <x:c r="S47" s="18" t="n">
        <x:v>0</x:v>
      </x:c>
      <x:c r="T47" s="18" t="n">
        <x:v>5</x:v>
      </x:c>
      <x:c r="U47" t="str">
        <x:v>Excellent</x:v>
      </x:c>
      <x:c r="V47" t="str">
        <x:v>No</x:v>
      </x:c>
      <x:c r="W47" t="str">
        <x:v>STRONG_LIMITED_EDITING</x:v>
      </x:c>
      <x:c r="X47" t="str">
        <x:v>PASS</x:v>
      </x:c>
      <x:c r="Y47" t="n">
        <x:v>80</x:v>
      </x:c>
      <x:c r="Z47" t="str">
        <x:v>Success</x:v>
      </x:c>
      <x:c r="AA47"/>
      <x:c r="AB47"/>
      <x:c r="AC47" s="13"/>
      <x:c r="AD47" t="n">
        <x:v>0</x:v>
      </x:c>
      <x:c r="AE47" s="19" t="n">
        <x:v>135273</x:v>
      </x:c>
      <x:c r="AF47" t="str">
        <x:v>deepseek-v4-pro</x:v>
      </x:c>
      <x:c r="AG47" s="20" t="n">
        <x:v>46225.232544502316</x:v>
      </x:c>
      <x:c r="AH47" t="n">
        <x:v>200</x:v>
      </x:c>
      <x:c r="AI47" t="str">
        <x:v>f8927b183b8ce01d76f8d8d020ff6265cc6a79705e7803338b58595ee8fe7371</x:v>
      </x:c>
      <x:c r="AJ47" t="str">
        <x:v>99e55c13b29cbadc235b4f0a7b22308079cd00d971954f9264c02b407e0220b5</x:v>
      </x:c>
    </x:row>
    <x:row r="48">
      <x:c r="A48" s="17" t="str">
        <x:v>047</x:v>
      </x:c>
      <x:c r="B48" t="str">
        <x:v>ZH-GOOD-017</x:v>
      </x:c>
      <x:c r="C48" s="17" t="str">
        <x:v>017</x:v>
      </x:c>
      <x:c r="D48" t="str">
        <x:v>Good</x:v>
      </x:c>
      <x:c r="E48" t="n">
        <x:v>70</x:v>
      </x:c>
      <x:c r="F48" t="n">
        <x:v>84</x:v>
      </x:c>
      <x:c r="G48" t="n">
        <x:v>1</x:v>
      </x:c>
      <x:c r="H48" s="18" t="n">
        <x:v>95</x:v>
      </x:c>
      <x:c r="I48" s="18" t="n">
        <x:v>95</x:v>
      </x:c>
      <x:c r="J48" s="18" t="n">
        <x:v>95</x:v>
      </x:c>
      <x:c r="K48" s="18" t="n">
        <x:v>95</x:v>
      </x:c>
      <x:c r="L48" s="18" t="n">
        <x:v>95</x:v>
      </x:c>
      <x:c r="M48" s="18" t="n">
        <x:v>95</x:v>
      </x:c>
      <x:c r="N48" s="18" t="n">
        <x:v>95</x:v>
      </x:c>
      <x:c r="O48" s="18" t="n">
        <x:v>95</x:v>
      </x:c>
      <x:c r="P48" s="18"/>
      <x:c r="Q48" t="str">
        <x:v>No</x:v>
      </x:c>
      <x:c r="R48" s="18" t="n">
        <x:v>11</x:v>
      </x:c>
      <x:c r="S48" s="18" t="n">
        <x:v>0</x:v>
      </x:c>
      <x:c r="T48" s="18" t="n">
        <x:v>11</x:v>
      </x:c>
      <x:c r="U48" t="str">
        <x:v>Excellent</x:v>
      </x:c>
      <x:c r="V48" t="str">
        <x:v>No</x:v>
      </x:c>
      <x:c r="W48" t="str">
        <x:v>PUBLICATION_READY</x:v>
      </x:c>
      <x:c r="X48" t="str">
        <x:v>PASS</x:v>
      </x:c>
      <x:c r="Y48" t="n">
        <x:v>80</x:v>
      </x:c>
      <x:c r="Z48" t="str">
        <x:v>Success</x:v>
      </x:c>
      <x:c r="AA48"/>
      <x:c r="AB48"/>
      <x:c r="AC48" s="13"/>
      <x:c r="AD48" t="n">
        <x:v>0</x:v>
      </x:c>
      <x:c r="AE48" s="19" t="n">
        <x:v>48177</x:v>
      </x:c>
      <x:c r="AF48" t="str">
        <x:v>deepseek-v4-pro</x:v>
      </x:c>
      <x:c r="AG48" s="20" t="n">
        <x:v>46225.23310212963</x:v>
      </x:c>
      <x:c r="AH48" t="n">
        <x:v>200</x:v>
      </x:c>
      <x:c r="AI48" t="str">
        <x:v>db21326a72904c3bb482c1390f439ae73bc0088abbbfdc23e2a02293d3b53713</x:v>
      </x:c>
      <x:c r="AJ48" t="str">
        <x:v>99e55c13b29cbadc235b4f0a7b22308079cd00d971954f9264c02b407e0220b5</x:v>
      </x:c>
    </x:row>
    <x:row r="49">
      <x:c r="A49" s="17" t="str">
        <x:v>048</x:v>
      </x:c>
      <x:c r="B49" t="str">
        <x:v>ZH-GOOD-018</x:v>
      </x:c>
      <x:c r="C49" s="17" t="str">
        <x:v>018</x:v>
      </x:c>
      <x:c r="D49" t="str">
        <x:v>Good</x:v>
      </x:c>
      <x:c r="E49" t="n">
        <x:v>70</x:v>
      </x:c>
      <x:c r="F49" t="n">
        <x:v>84</x:v>
      </x:c>
      <x:c r="G49" t="n">
        <x:v>1</x:v>
      </x:c>
      <x:c r="H49" s="18" t="n">
        <x:v>89</x:v>
      </x:c>
      <x:c r="I49" s="18" t="n">
        <x:v>95</x:v>
      </x:c>
      <x:c r="J49" s="18" t="n">
        <x:v>95</x:v>
      </x:c>
      <x:c r="K49" s="18" t="n">
        <x:v>95</x:v>
      </x:c>
      <x:c r="L49" s="18" t="n">
        <x:v>95</x:v>
      </x:c>
      <x:c r="M49" s="18" t="n">
        <x:v>90</x:v>
      </x:c>
      <x:c r="N49" s="18" t="n">
        <x:v>85</x:v>
      </x:c>
      <x:c r="O49" s="18" t="n">
        <x:v>93</x:v>
      </x:c>
      <x:c r="P49" s="18" t="n">
        <x:v>89</x:v>
      </x:c>
      <x:c r="Q49" t="str">
        <x:v>No</x:v>
      </x:c>
      <x:c r="R49" s="18" t="n">
        <x:v>5</x:v>
      </x:c>
      <x:c r="S49" s="18" t="n">
        <x:v>0</x:v>
      </x:c>
      <x:c r="T49" s="18" t="n">
        <x:v>5</x:v>
      </x:c>
      <x:c r="U49" t="str">
        <x:v>Excellent</x:v>
      </x:c>
      <x:c r="V49" t="str">
        <x:v>No</x:v>
      </x:c>
      <x:c r="W49" t="str">
        <x:v>STRONG_LIMITED_EDITING</x:v>
      </x:c>
      <x:c r="X49" t="str">
        <x:v>PASS</x:v>
      </x:c>
      <x:c r="Y49" t="n">
        <x:v>80</x:v>
      </x:c>
      <x:c r="Z49" t="str">
        <x:v>Success</x:v>
      </x:c>
      <x:c r="AA49"/>
      <x:c r="AB49"/>
      <x:c r="AC49" s="13"/>
      <x:c r="AD49" t="n">
        <x:v>0</x:v>
      </x:c>
      <x:c r="AE49" s="19" t="n">
        <x:v>95362</x:v>
      </x:c>
      <x:c r="AF49" t="str">
        <x:v>deepseek-v4-pro</x:v>
      </x:c>
      <x:c r="AG49" s="20" t="n">
        <x:v>46225.23420587963</x:v>
      </x:c>
      <x:c r="AH49" t="n">
        <x:v>200</x:v>
      </x:c>
      <x:c r="AI49" t="str">
        <x:v>e020a2f37b85225af6865affae7c3a6a247611a999afee787ef7be5a877e0a8a</x:v>
      </x:c>
      <x:c r="AJ49" t="str">
        <x:v>99e55c13b29cbadc235b4f0a7b22308079cd00d971954f9264c02b407e0220b5</x:v>
      </x:c>
    </x:row>
    <x:row r="50">
      <x:c r="A50" s="17" t="str">
        <x:v>049</x:v>
      </x:c>
      <x:c r="B50" t="str">
        <x:v>ZH-GOOD-019</x:v>
      </x:c>
      <x:c r="C50" s="17" t="str">
        <x:v>019</x:v>
      </x:c>
      <x:c r="D50" t="str">
        <x:v>Good</x:v>
      </x:c>
      <x:c r="E50" t="n">
        <x:v>70</x:v>
      </x:c>
      <x:c r="F50" t="n">
        <x:v>84</x:v>
      </x:c>
      <x:c r="G50" t="n">
        <x:v>1</x:v>
      </x:c>
      <x:c r="H50" s="18" t="n">
        <x:v>89</x:v>
      </x:c>
      <x:c r="I50" s="18" t="n">
        <x:v>95</x:v>
      </x:c>
      <x:c r="J50" s="18" t="n">
        <x:v>95</x:v>
      </x:c>
      <x:c r="K50" s="18" t="n">
        <x:v>95</x:v>
      </x:c>
      <x:c r="L50" s="18" t="n">
        <x:v>95</x:v>
      </x:c>
      <x:c r="M50" s="18" t="n">
        <x:v>89</x:v>
      </x:c>
      <x:c r="N50" s="18" t="n">
        <x:v>85</x:v>
      </x:c>
      <x:c r="O50" s="18" t="n">
        <x:v>93</x:v>
      </x:c>
      <x:c r="P50" s="18" t="n">
        <x:v>89</x:v>
      </x:c>
      <x:c r="Q50" t="str">
        <x:v>No</x:v>
      </x:c>
      <x:c r="R50" s="18" t="n">
        <x:v>5</x:v>
      </x:c>
      <x:c r="S50" s="18" t="n">
        <x:v>0</x:v>
      </x:c>
      <x:c r="T50" s="18" t="n">
        <x:v>5</x:v>
      </x:c>
      <x:c r="U50" t="str">
        <x:v>Excellent</x:v>
      </x:c>
      <x:c r="V50" t="str">
        <x:v>No</x:v>
      </x:c>
      <x:c r="W50" t="str">
        <x:v>STRONG_LIMITED_EDITING</x:v>
      </x:c>
      <x:c r="X50" t="str">
        <x:v>PASS</x:v>
      </x:c>
      <x:c r="Y50" t="n">
        <x:v>80</x:v>
      </x:c>
      <x:c r="Z50" t="str">
        <x:v>Success</x:v>
      </x:c>
      <x:c r="AA50"/>
      <x:c r="AB50"/>
      <x:c r="AC50" s="13"/>
      <x:c r="AD50" t="n">
        <x:v>0</x:v>
      </x:c>
      <x:c r="AE50" s="19" t="n">
        <x:v>169846</x:v>
      </x:c>
      <x:c r="AF50" t="str">
        <x:v>deepseek-v4-pro</x:v>
      </x:c>
      <x:c r="AG50" s="20" t="n">
        <x:v>46225.23617173611</x:v>
      </x:c>
      <x:c r="AH50" t="n">
        <x:v>200</x:v>
      </x:c>
      <x:c r="AI50" t="str">
        <x:v>9626f6278b20ff240cefa678bb910f5d22cb2268c2843b21a677ca40a5e20191</x:v>
      </x:c>
      <x:c r="AJ50" t="str">
        <x:v>99e55c13b29cbadc235b4f0a7b22308079cd00d971954f9264c02b407e0220b5</x:v>
      </x:c>
    </x:row>
    <x:row r="51">
      <x:c r="A51" s="17" t="str">
        <x:v>050</x:v>
      </x:c>
      <x:c r="B51" t="str">
        <x:v>ZH-GOOD-020</x:v>
      </x:c>
      <x:c r="C51" s="17" t="str">
        <x:v>020</x:v>
      </x:c>
      <x:c r="D51" t="str">
        <x:v>Good</x:v>
      </x:c>
      <x:c r="E51" t="n">
        <x:v>70</x:v>
      </x:c>
      <x:c r="F51" t="n">
        <x:v>84</x:v>
      </x:c>
      <x:c r="G51" t="n">
        <x:v>1</x:v>
      </x:c>
      <x:c r="H51" s="18" t="n">
        <x:v>59</x:v>
      </x:c>
      <x:c r="I51" s="18" t="n">
        <x:v>55</x:v>
      </x:c>
      <x:c r="J51" s="18" t="n">
        <x:v>90</x:v>
      </x:c>
      <x:c r="K51" s="18" t="n">
        <x:v>92</x:v>
      </x:c>
      <x:c r="L51" s="18" t="n">
        <x:v>90</x:v>
      </x:c>
      <x:c r="M51" s="18" t="n">
        <x:v>45</x:v>
      </x:c>
      <x:c r="N51" s="18" t="n">
        <x:v>25</x:v>
      </x:c>
      <x:c r="O51" s="18" t="n">
        <x:v>68</x:v>
      </x:c>
      <x:c r="P51" s="18" t="n">
        <x:v>59</x:v>
      </x:c>
      <x:c r="Q51" t="str">
        <x:v>No</x:v>
      </x:c>
      <x:c r="R51" s="18" t="n">
        <x:v>11</x:v>
      </x:c>
      <x:c r="S51" s="18" t="n">
        <x:v>11</x:v>
      </x:c>
      <x:c r="T51" s="18" t="n">
        <x:v>0</x:v>
      </x:c>
      <x:c r="U51" t="str">
        <x:v>Normal</x:v>
      </x:c>
      <x:c r="V51" t="str">
        <x:v>No</x:v>
      </x:c>
      <x:c r="W51" t="str">
        <x:v>WEAK</x:v>
      </x:c>
      <x:c r="X51" t="str">
        <x:v>REWRITE_REQUIRED</x:v>
      </x:c>
      <x:c r="Y51" t="n">
        <x:v>80</x:v>
      </x:c>
      <x:c r="Z51" t="str">
        <x:v>Success</x:v>
      </x:c>
      <x:c r="AA51"/>
      <x:c r="AB51"/>
      <x:c r="AC51" s="13"/>
      <x:c r="AD51" t="n">
        <x:v>0</x:v>
      </x:c>
      <x:c r="AE51" s="19" t="n">
        <x:v>109136</x:v>
      </x:c>
      <x:c r="AF51" t="str">
        <x:v>deepseek-v4-pro</x:v>
      </x:c>
      <x:c r="AG51" s="20" t="n">
        <x:v>46225.237434918985</x:v>
      </x:c>
      <x:c r="AH51" t="n">
        <x:v>200</x:v>
      </x:c>
      <x:c r="AI51" t="str">
        <x:v>cc463e46a2ba40f8e136bc4ca5f553ad78d2d723ca65b400596f345aec6a54a9</x:v>
      </x:c>
      <x:c r="AJ51" t="str">
        <x:v>99e55c13b29cbadc235b4f0a7b22308079cd00d971954f9264c02b407e0220b5</x:v>
      </x:c>
    </x:row>
    <x:row r="52">
      <x:c r="A52" s="17" t="str">
        <x:v>051</x:v>
      </x:c>
      <x:c r="B52" t="str">
        <x:v>ZH-GOOD-021</x:v>
      </x:c>
      <x:c r="C52" s="17" t="str">
        <x:v>021</x:v>
      </x:c>
      <x:c r="D52" t="str">
        <x:v>Good</x:v>
      </x:c>
      <x:c r="E52" t="n">
        <x:v>70</x:v>
      </x:c>
      <x:c r="F52" t="n">
        <x:v>84</x:v>
      </x:c>
      <x:c r="G52" t="n">
        <x:v>1</x:v>
      </x:c>
      <x:c r="H52" s="18" t="n">
        <x:v>92</x:v>
      </x:c>
      <x:c r="I52" s="18" t="n">
        <x:v>92</x:v>
      </x:c>
      <x:c r="J52" s="18" t="n">
        <x:v>92</x:v>
      </x:c>
      <x:c r="K52" s="18" t="n">
        <x:v>90</x:v>
      </x:c>
      <x:c r="L52" s="18" t="n">
        <x:v>95</x:v>
      </x:c>
      <x:c r="M52" s="18" t="n">
        <x:v>92</x:v>
      </x:c>
      <x:c r="N52" s="18" t="n">
        <x:v>90</x:v>
      </x:c>
      <x:c r="O52" s="18" t="n">
        <x:v>92</x:v>
      </x:c>
      <x:c r="P52" s="18"/>
      <x:c r="Q52" t="str">
        <x:v>No</x:v>
      </x:c>
      <x:c r="R52" s="18" t="n">
        <x:v>8</x:v>
      </x:c>
      <x:c r="S52" s="18" t="n">
        <x:v>0</x:v>
      </x:c>
      <x:c r="T52" s="18" t="n">
        <x:v>8</x:v>
      </x:c>
      <x:c r="U52" t="str">
        <x:v>Excellent</x:v>
      </x:c>
      <x:c r="V52" t="str">
        <x:v>No</x:v>
      </x:c>
      <x:c r="W52" t="str">
        <x:v>PUBLICATION_READY</x:v>
      </x:c>
      <x:c r="X52" t="str">
        <x:v>PASS</x:v>
      </x:c>
      <x:c r="Y52" t="n">
        <x:v>80</x:v>
      </x:c>
      <x:c r="Z52" t="str">
        <x:v>Success</x:v>
      </x:c>
      <x:c r="AA52"/>
      <x:c r="AB52"/>
      <x:c r="AC52" s="13"/>
      <x:c r="AD52" t="n">
        <x:v>0</x:v>
      </x:c>
      <x:c r="AE52" s="19" t="n">
        <x:v>81092</x:v>
      </x:c>
      <x:c r="AF52" t="str">
        <x:v>deepseek-v4-pro</x:v>
      </x:c>
      <x:c r="AG52" s="20" t="n">
        <x:v>46225.23837349537</x:v>
      </x:c>
      <x:c r="AH52" t="n">
        <x:v>200</x:v>
      </x:c>
      <x:c r="AI52" t="str">
        <x:v>6ddcefdd5d81c948531cdbdf91b29918bebd55d9774844adc36fb6b6417db7a6</x:v>
      </x:c>
      <x:c r="AJ52" t="str">
        <x:v>99e55c13b29cbadc235b4f0a7b22308079cd00d971954f9264c02b407e0220b5</x:v>
      </x:c>
    </x:row>
    <x:row r="53">
      <x:c r="A53" s="17" t="str">
        <x:v>052</x:v>
      </x:c>
      <x:c r="B53" t="str">
        <x:v>ZH-GOOD-022</x:v>
      </x:c>
      <x:c r="C53" s="17" t="str">
        <x:v>022</x:v>
      </x:c>
      <x:c r="D53" t="str">
        <x:v>Good</x:v>
      </x:c>
      <x:c r="E53" t="n">
        <x:v>70</x:v>
      </x:c>
      <x:c r="F53" t="n">
        <x:v>84</x:v>
      </x:c>
      <x:c r="G53" t="n">
        <x:v>1</x:v>
      </x:c>
      <x:c r="H53" s="18" t="n">
        <x:v>89</x:v>
      </x:c>
      <x:c r="I53" s="18" t="n">
        <x:v>95</x:v>
      </x:c>
      <x:c r="J53" s="18" t="n">
        <x:v>92</x:v>
      </x:c>
      <x:c r="K53" s="18" t="n">
        <x:v>95</x:v>
      </x:c>
      <x:c r="L53" s="18" t="n">
        <x:v>95</x:v>
      </x:c>
      <x:c r="M53" s="18" t="n">
        <x:v>92</x:v>
      </x:c>
      <x:c r="N53" s="18" t="n">
        <x:v>85</x:v>
      </x:c>
      <x:c r="O53" s="18" t="n">
        <x:v>93</x:v>
      </x:c>
      <x:c r="P53" s="18" t="n">
        <x:v>89</x:v>
      </x:c>
      <x:c r="Q53" t="str">
        <x:v>No</x:v>
      </x:c>
      <x:c r="R53" s="18" t="n">
        <x:v>5</x:v>
      </x:c>
      <x:c r="S53" s="18" t="n">
        <x:v>0</x:v>
      </x:c>
      <x:c r="T53" s="18" t="n">
        <x:v>5</x:v>
      </x:c>
      <x:c r="U53" t="str">
        <x:v>Excellent</x:v>
      </x:c>
      <x:c r="V53" t="str">
        <x:v>No</x:v>
      </x:c>
      <x:c r="W53" t="str">
        <x:v>STRONG_LIMITED_EDITING</x:v>
      </x:c>
      <x:c r="X53" t="str">
        <x:v>PASS</x:v>
      </x:c>
      <x:c r="Y53" t="n">
        <x:v>80</x:v>
      </x:c>
      <x:c r="Z53" t="str">
        <x:v>Success</x:v>
      </x:c>
      <x:c r="AA53"/>
      <x:c r="AB53"/>
      <x:c r="AC53" s="13"/>
      <x:c r="AD53" t="n">
        <x:v>0</x:v>
      </x:c>
      <x:c r="AE53" s="19" t="n">
        <x:v>146248</x:v>
      </x:c>
      <x:c r="AF53" t="str">
        <x:v>deepseek-v4-pro</x:v>
      </x:c>
      <x:c r="AG53" s="20" t="n">
        <x:v>46225.24006621528</x:v>
      </x:c>
      <x:c r="AH53" t="n">
        <x:v>200</x:v>
      </x:c>
      <x:c r="AI53" t="str">
        <x:v>ff9fe12ce6f4921a4ff53216e4748d90088d57436df60e6955838a60ff40dbc8</x:v>
      </x:c>
      <x:c r="AJ53" t="str">
        <x:v>99e55c13b29cbadc235b4f0a7b22308079cd00d971954f9264c02b407e0220b5</x:v>
      </x:c>
    </x:row>
    <x:row r="54">
      <x:c r="A54" s="17" t="str">
        <x:v>053</x:v>
      </x:c>
      <x:c r="B54" t="str">
        <x:v>ZH-GOOD-023</x:v>
      </x:c>
      <x:c r="C54" s="17" t="str">
        <x:v>023</x:v>
      </x:c>
      <x:c r="D54" t="str">
        <x:v>Good</x:v>
      </x:c>
      <x:c r="E54" t="n">
        <x:v>70</x:v>
      </x:c>
      <x:c r="F54" t="n">
        <x:v>84</x:v>
      </x:c>
      <x:c r="G54" t="n">
        <x:v>1</x:v>
      </x:c>
      <x:c r="H54" s="18" t="n">
        <x:v>59</x:v>
      </x:c>
      <x:c r="I54" s="18" t="n">
        <x:v>58</x:v>
      </x:c>
      <x:c r="J54" s="18" t="n">
        <x:v>85</x:v>
      </x:c>
      <x:c r="K54" s="18" t="n">
        <x:v>95</x:v>
      </x:c>
      <x:c r="L54" s="18" t="n">
        <x:v>95</x:v>
      </x:c>
      <x:c r="M54" s="18" t="n">
        <x:v>58</x:v>
      </x:c>
      <x:c r="N54" s="18" t="n">
        <x:v>40</x:v>
      </x:c>
      <x:c r="O54" s="18" t="n">
        <x:v>73</x:v>
      </x:c>
      <x:c r="P54" s="18" t="n">
        <x:v>59</x:v>
      </x:c>
      <x:c r="Q54" t="str">
        <x:v>No</x:v>
      </x:c>
      <x:c r="R54" s="18" t="n">
        <x:v>11</x:v>
      </x:c>
      <x:c r="S54" s="18" t="n">
        <x:v>11</x:v>
      </x:c>
      <x:c r="T54" s="18" t="n">
        <x:v>0</x:v>
      </x:c>
      <x:c r="U54" t="str">
        <x:v>Normal</x:v>
      </x:c>
      <x:c r="V54" t="str">
        <x:v>No</x:v>
      </x:c>
      <x:c r="W54" t="str">
        <x:v>WEAK</x:v>
      </x:c>
      <x:c r="X54" t="str">
        <x:v>REWRITE_REQUIRED</x:v>
      </x:c>
      <x:c r="Y54" t="n">
        <x:v>80</x:v>
      </x:c>
      <x:c r="Z54" t="str">
        <x:v>Success</x:v>
      </x:c>
      <x:c r="AA54"/>
      <x:c r="AB54"/>
      <x:c r="AC54" s="13"/>
      <x:c r="AD54" t="n">
        <x:v>0</x:v>
      </x:c>
      <x:c r="AE54" s="19" t="n">
        <x:v>109925</x:v>
      </x:c>
      <x:c r="AF54" t="str">
        <x:v>deepseek-v4-pro</x:v>
      </x:c>
      <x:c r="AG54" s="20" t="n">
        <x:v>46225.24133851852</x:v>
      </x:c>
      <x:c r="AH54" t="n">
        <x:v>200</x:v>
      </x:c>
      <x:c r="AI54" t="str">
        <x:v>a2e71bb1289cb102a14f0c7fa0a9fb44cab83b0f4b778466a9ff889c3d2bc707</x:v>
      </x:c>
      <x:c r="AJ54" t="str">
        <x:v>99e55c13b29cbadc235b4f0a7b22308079cd00d971954f9264c02b407e0220b5</x:v>
      </x:c>
    </x:row>
    <x:row r="55">
      <x:c r="A55" s="17" t="str">
        <x:v>054</x:v>
      </x:c>
      <x:c r="B55" t="str">
        <x:v>ZH-GOOD-024</x:v>
      </x:c>
      <x:c r="C55" s="17" t="str">
        <x:v>024</x:v>
      </x:c>
      <x:c r="D55" t="str">
        <x:v>Good</x:v>
      </x:c>
      <x:c r="E55" t="n">
        <x:v>70</x:v>
      </x:c>
      <x:c r="F55" t="n">
        <x:v>84</x:v>
      </x:c>
      <x:c r="G55" t="n">
        <x:v>1</x:v>
      </x:c>
      <x:c r="H55" s="18" t="n">
        <x:v>59</x:v>
      </x:c>
      <x:c r="I55" s="18" t="n">
        <x:v>52</x:v>
      </x:c>
      <x:c r="J55" s="18" t="n">
        <x:v>78</x:v>
      </x:c>
      <x:c r="K55" s="18" t="n">
        <x:v>95</x:v>
      </x:c>
      <x:c r="L55" s="18" t="n">
        <x:v>98</x:v>
      </x:c>
      <x:c r="M55" s="18" t="n">
        <x:v>48</x:v>
      </x:c>
      <x:c r="N55" s="18" t="n">
        <x:v>35</x:v>
      </x:c>
      <x:c r="O55" s="18" t="n">
        <x:v>68</x:v>
      </x:c>
      <x:c r="P55" s="18" t="n">
        <x:v>59</x:v>
      </x:c>
      <x:c r="Q55" t="str">
        <x:v>No</x:v>
      </x:c>
      <x:c r="R55" s="18" t="n">
        <x:v>11</x:v>
      </x:c>
      <x:c r="S55" s="18" t="n">
        <x:v>11</x:v>
      </x:c>
      <x:c r="T55" s="18" t="n">
        <x:v>0</x:v>
      </x:c>
      <x:c r="U55" t="str">
        <x:v>Normal</x:v>
      </x:c>
      <x:c r="V55" t="str">
        <x:v>No</x:v>
      </x:c>
      <x:c r="W55" t="str">
        <x:v>WEAK</x:v>
      </x:c>
      <x:c r="X55" t="str">
        <x:v>REWRITE_REQUIRED</x:v>
      </x:c>
      <x:c r="Y55" t="n">
        <x:v>80</x:v>
      </x:c>
      <x:c r="Z55" t="str">
        <x:v>Success</x:v>
      </x:c>
      <x:c r="AA55"/>
      <x:c r="AB55"/>
      <x:c r="AC55" s="13"/>
      <x:c r="AD55" t="n">
        <x:v>0</x:v>
      </x:c>
      <x:c r="AE55" s="19" t="n">
        <x:v>74553</x:v>
      </x:c>
      <x:c r="AF55" t="str">
        <x:v>deepseek-v4-pro</x:v>
      </x:c>
      <x:c r="AG55" s="20" t="n">
        <x:v>46225.24220144676</x:v>
      </x:c>
      <x:c r="AH55" t="n">
        <x:v>200</x:v>
      </x:c>
      <x:c r="AI55" t="str">
        <x:v>c57106cd22a0e28f996ce4e5d998c56d7f7db32f675e26e85f1e824af533abaa</x:v>
      </x:c>
      <x:c r="AJ55" t="str">
        <x:v>99e55c13b29cbadc235b4f0a7b22308079cd00d971954f9264c02b407e0220b5</x:v>
      </x:c>
    </x:row>
    <x:row r="56">
      <x:c r="A56" s="17" t="str">
        <x:v>055</x:v>
      </x:c>
      <x:c r="B56" t="str">
        <x:v>ZH-GOOD-025</x:v>
      </x:c>
      <x:c r="C56" s="17" t="str">
        <x:v>025</x:v>
      </x:c>
      <x:c r="D56" t="str">
        <x:v>Good</x:v>
      </x:c>
      <x:c r="E56" t="n">
        <x:v>70</x:v>
      </x:c>
      <x:c r="F56" t="n">
        <x:v>84</x:v>
      </x:c>
      <x:c r="G56" t="n">
        <x:v>1</x:v>
      </x:c>
      <x:c r="H56" s="18" t="n">
        <x:v>89</x:v>
      </x:c>
      <x:c r="I56" s="18" t="n">
        <x:v>90</x:v>
      </x:c>
      <x:c r="J56" s="18" t="n">
        <x:v>90</x:v>
      </x:c>
      <x:c r="K56" s="18" t="n">
        <x:v>95</x:v>
      </x:c>
      <x:c r="L56" s="18" t="n">
        <x:v>95</x:v>
      </x:c>
      <x:c r="M56" s="18" t="n">
        <x:v>85</x:v>
      </x:c>
      <x:c r="N56" s="18" t="n">
        <x:v>75</x:v>
      </x:c>
      <x:c r="O56" s="18" t="n">
        <x:v>89</x:v>
      </x:c>
      <x:c r="P56" s="18" t="n">
        <x:v>89</x:v>
      </x:c>
      <x:c r="Q56" t="str">
        <x:v>No</x:v>
      </x:c>
      <x:c r="R56" s="18" t="n">
        <x:v>5</x:v>
      </x:c>
      <x:c r="S56" s="18" t="n">
        <x:v>0</x:v>
      </x:c>
      <x:c r="T56" s="18" t="n">
        <x:v>5</x:v>
      </x:c>
      <x:c r="U56" t="str">
        <x:v>Excellent</x:v>
      </x:c>
      <x:c r="V56" t="str">
        <x:v>No</x:v>
      </x:c>
      <x:c r="W56" t="str">
        <x:v>STRONG_LIMITED_EDITING</x:v>
      </x:c>
      <x:c r="X56" t="str">
        <x:v>PASS</x:v>
      </x:c>
      <x:c r="Y56" t="n">
        <x:v>80</x:v>
      </x:c>
      <x:c r="Z56" t="str">
        <x:v>Success</x:v>
      </x:c>
      <x:c r="AA56"/>
      <x:c r="AB56"/>
      <x:c r="AC56" s="13"/>
      <x:c r="AD56" t="n">
        <x:v>0</x:v>
      </x:c>
      <x:c r="AE56" s="19" t="n">
        <x:v>140552</x:v>
      </x:c>
      <x:c r="AF56" t="str">
        <x:v>deepseek-v4-pro</x:v>
      </x:c>
      <x:c r="AG56" s="20" t="n">
        <x:v>46225.24382821759</x:v>
      </x:c>
      <x:c r="AH56" t="n">
        <x:v>200</x:v>
      </x:c>
      <x:c r="AI56" t="str">
        <x:v>effbf2f809fd840f162824e46007a5c4084edd7a2425a1629bb17384ada0a845</x:v>
      </x:c>
      <x:c r="AJ56" t="str">
        <x:v>99e55c13b29cbadc235b4f0a7b22308079cd00d971954f9264c02b407e0220b5</x:v>
      </x:c>
    </x:row>
    <x:row r="57">
      <x:c r="A57" s="17" t="str">
        <x:v>056</x:v>
      </x:c>
      <x:c r="B57" t="str">
        <x:v>ZH-GOOD-026</x:v>
      </x:c>
      <x:c r="C57" s="17" t="str">
        <x:v>026</x:v>
      </x:c>
      <x:c r="D57" t="str">
        <x:v>Good</x:v>
      </x:c>
      <x:c r="E57" t="n">
        <x:v>70</x:v>
      </x:c>
      <x:c r="F57" t="n">
        <x:v>84</x:v>
      </x:c>
      <x:c r="G57" t="n">
        <x:v>1</x:v>
      </x:c>
      <x:c r="H57" s="18" t="n">
        <x:v>59</x:v>
      </x:c>
      <x:c r="I57" s="18" t="n">
        <x:v>92</x:v>
      </x:c>
      <x:c r="J57" s="18" t="n">
        <x:v>85</x:v>
      </x:c>
      <x:c r="K57" s="18" t="n">
        <x:v>95</x:v>
      </x:c>
      <x:c r="L57" s="18" t="n">
        <x:v>95</x:v>
      </x:c>
      <x:c r="M57" s="18" t="n">
        <x:v>88</x:v>
      </x:c>
      <x:c r="N57" s="18" t="n">
        <x:v>55</x:v>
      </x:c>
      <x:c r="O57" s="18" t="n">
        <x:v>87</x:v>
      </x:c>
      <x:c r="P57" s="18" t="n">
        <x:v>59</x:v>
      </x:c>
      <x:c r="Q57" t="str">
        <x:v>No</x:v>
      </x:c>
      <x:c r="R57" s="18" t="n">
        <x:v>11</x:v>
      </x:c>
      <x:c r="S57" s="18" t="n">
        <x:v>11</x:v>
      </x:c>
      <x:c r="T57" s="18" t="n">
        <x:v>0</x:v>
      </x:c>
      <x:c r="U57" t="str">
        <x:v>Normal</x:v>
      </x:c>
      <x:c r="V57" t="str">
        <x:v>No</x:v>
      </x:c>
      <x:c r="W57" t="str">
        <x:v>WEAK</x:v>
      </x:c>
      <x:c r="X57" t="str">
        <x:v>REWRITE_REQUIRED</x:v>
      </x:c>
      <x:c r="Y57" t="n">
        <x:v>80</x:v>
      </x:c>
      <x:c r="Z57" t="str">
        <x:v>Success</x:v>
      </x:c>
      <x:c r="AA57"/>
      <x:c r="AB57"/>
      <x:c r="AC57" s="13"/>
      <x:c r="AD57" t="n">
        <x:v>0</x:v>
      </x:c>
      <x:c r="AE57" s="19" t="n">
        <x:v>157130</x:v>
      </x:c>
      <x:c r="AF57" t="str">
        <x:v>deepseek-v4-pro</x:v>
      </x:c>
      <x:c r="AG57" s="20" t="n">
        <x:v>46225.24564688657</x:v>
      </x:c>
      <x:c r="AH57" t="n">
        <x:v>200</x:v>
      </x:c>
      <x:c r="AI57" t="str">
        <x:v>0ad1fa2630f3fd83e616012f75126cda9b47d61bdb9f99df04b9b71d19e83d92</x:v>
      </x:c>
      <x:c r="AJ57" t="str">
        <x:v>99e55c13b29cbadc235b4f0a7b22308079cd00d971954f9264c02b407e0220b5</x:v>
      </x:c>
    </x:row>
    <x:row r="58">
      <x:c r="A58" s="17" t="str">
        <x:v>057</x:v>
      </x:c>
      <x:c r="B58" t="str">
        <x:v>ZH-GOOD-027</x:v>
      </x:c>
      <x:c r="C58" s="17" t="str">
        <x:v>027</x:v>
      </x:c>
      <x:c r="D58" t="str">
        <x:v>Good</x:v>
      </x:c>
      <x:c r="E58" t="n">
        <x:v>70</x:v>
      </x:c>
      <x:c r="F58" t="n">
        <x:v>84</x:v>
      </x:c>
      <x:c r="G58" t="n">
        <x:v>1</x:v>
      </x:c>
      <x:c r="H58" s="18" t="n">
        <x:v>89</x:v>
      </x:c>
      <x:c r="I58" s="18" t="n">
        <x:v>92</x:v>
      </x:c>
      <x:c r="J58" s="18" t="n">
        <x:v>85</x:v>
      </x:c>
      <x:c r="K58" s="18" t="n">
        <x:v>92</x:v>
      </x:c>
      <x:c r="L58" s="18" t="n">
        <x:v>98</x:v>
      </x:c>
      <x:c r="M58" s="18" t="n">
        <x:v>95</x:v>
      </x:c>
      <x:c r="N58" s="18" t="n">
        <x:v>95</x:v>
      </x:c>
      <x:c r="O58" s="18" t="n">
        <x:v>92</x:v>
      </x:c>
      <x:c r="P58" s="18" t="n">
        <x:v>89</x:v>
      </x:c>
      <x:c r="Q58" t="str">
        <x:v>No</x:v>
      </x:c>
      <x:c r="R58" s="18" t="n">
        <x:v>5</x:v>
      </x:c>
      <x:c r="S58" s="18" t="n">
        <x:v>0</x:v>
      </x:c>
      <x:c r="T58" s="18" t="n">
        <x:v>5</x:v>
      </x:c>
      <x:c r="U58" t="str">
        <x:v>Excellent</x:v>
      </x:c>
      <x:c r="V58" t="str">
        <x:v>No</x:v>
      </x:c>
      <x:c r="W58" t="str">
        <x:v>STRONG_LIMITED_EDITING</x:v>
      </x:c>
      <x:c r="X58" t="str">
        <x:v>PASS</x:v>
      </x:c>
      <x:c r="Y58" t="n">
        <x:v>80</x:v>
      </x:c>
      <x:c r="Z58" t="str">
        <x:v>Success</x:v>
      </x:c>
      <x:c r="AA58"/>
      <x:c r="AB58"/>
      <x:c r="AC58" s="13"/>
      <x:c r="AD58" t="n">
        <x:v>0</x:v>
      </x:c>
      <x:c r="AE58" s="19" t="n">
        <x:v>59724</x:v>
      </x:c>
      <x:c r="AF58" t="str">
        <x:v>deepseek-v4-pro</x:v>
      </x:c>
      <x:c r="AG58" s="20" t="n">
        <x:v>46225.24633815972</x:v>
      </x:c>
      <x:c r="AH58" t="n">
        <x:v>200</x:v>
      </x:c>
      <x:c r="AI58" t="str">
        <x:v>5e50968dec8a005f00e82a0d997d4ab9b62c96228b8566f98a0d68cc2a06b62e</x:v>
      </x:c>
      <x:c r="AJ58" t="str">
        <x:v>99e55c13b29cbadc235b4f0a7b22308079cd00d971954f9264c02b407e0220b5</x:v>
      </x:c>
    </x:row>
    <x:row r="59">
      <x:c r="A59" s="17" t="str">
        <x:v>058</x:v>
      </x:c>
      <x:c r="B59" t="str">
        <x:v>ZH-GOOD-028</x:v>
      </x:c>
      <x:c r="C59" s="17" t="str">
        <x:v>028</x:v>
      </x:c>
      <x:c r="D59" t="str">
        <x:v>Good</x:v>
      </x:c>
      <x:c r="E59" t="n">
        <x:v>70</x:v>
      </x:c>
      <x:c r="F59" t="n">
        <x:v>84</x:v>
      </x:c>
      <x:c r="G59" t="n">
        <x:v>1</x:v>
      </x:c>
      <x:c r="H59" s="18" t="n">
        <x:v>74</x:v>
      </x:c>
      <x:c r="I59" s="18" t="n">
        <x:v>70</x:v>
      </x:c>
      <x:c r="J59" s="18" t="n">
        <x:v>95</x:v>
      </x:c>
      <x:c r="K59" s="18" t="n">
        <x:v>95</x:v>
      </x:c>
      <x:c r="L59" s="18" t="n">
        <x:v>95</x:v>
      </x:c>
      <x:c r="M59" s="18" t="n">
        <x:v>95</x:v>
      </x:c>
      <x:c r="N59" s="18" t="n">
        <x:v>85</x:v>
      </x:c>
      <x:c r="O59" s="18" t="n">
        <x:v>88</x:v>
      </x:c>
      <x:c r="P59" s="18" t="n">
        <x:v>74</x:v>
      </x:c>
      <x:c r="Q59" t="str">
        <x:v>Yes</x:v>
      </x:c>
      <x:c r="R59" s="18" t="n">
        <x:v>0</x:v>
      </x:c>
      <x:c r="S59" s="18" t="n">
        <x:v>0</x:v>
      </x:c>
      <x:c r="T59" s="18" t="n">
        <x:v>0</x:v>
      </x:c>
      <x:c r="U59" t="str">
        <x:v>Good</x:v>
      </x:c>
      <x:c r="V59" t="str">
        <x:v>Yes</x:v>
      </x:c>
      <x:c r="W59" t="str">
        <x:v>SUBSTANTIAL_REWRITE</x:v>
      </x:c>
      <x:c r="X59" t="str">
        <x:v>REWRITE_REQUIRED</x:v>
      </x:c>
      <x:c r="Y59" t="n">
        <x:v>80</x:v>
      </x:c>
      <x:c r="Z59" t="str">
        <x:v>Success</x:v>
      </x:c>
      <x:c r="AA59"/>
      <x:c r="AB59"/>
      <x:c r="AC59" s="13"/>
      <x:c r="AD59" t="n">
        <x:v>0</x:v>
      </x:c>
      <x:c r="AE59" s="19" t="n">
        <x:v>102100</x:v>
      </x:c>
      <x:c r="AF59" t="str">
        <x:v>deepseek-v4-pro</x:v>
      </x:c>
      <x:c r="AG59" s="20" t="n">
        <x:v>46225.247519895835</x:v>
      </x:c>
      <x:c r="AH59" t="n">
        <x:v>200</x:v>
      </x:c>
      <x:c r="AI59" t="str">
        <x:v>bba655eb7946b87bc0cbdad8bc2c94784af54ed8c49689313e991e47459a379e</x:v>
      </x:c>
      <x:c r="AJ59" t="str">
        <x:v>99e55c13b29cbadc235b4f0a7b22308079cd00d971954f9264c02b407e0220b5</x:v>
      </x:c>
    </x:row>
    <x:row r="60">
      <x:c r="A60" s="17" t="str">
        <x:v>059</x:v>
      </x:c>
      <x:c r="B60" t="str">
        <x:v>ZH-GOOD-029</x:v>
      </x:c>
      <x:c r="C60" s="17" t="str">
        <x:v>029</x:v>
      </x:c>
      <x:c r="D60" t="str">
        <x:v>Good</x:v>
      </x:c>
      <x:c r="E60" t="n">
        <x:v>70</x:v>
      </x:c>
      <x:c r="F60" t="n">
        <x:v>84</x:v>
      </x:c>
      <x:c r="G60" t="n">
        <x:v>1</x:v>
      </x:c>
      <x:c r="H60" s="18" t="n">
        <x:v>59</x:v>
      </x:c>
      <x:c r="I60" s="18" t="n">
        <x:v>55</x:v>
      </x:c>
      <x:c r="J60" s="18" t="n">
        <x:v>85</x:v>
      </x:c>
      <x:c r="K60" s="18" t="n">
        <x:v>90</x:v>
      </x:c>
      <x:c r="L60" s="18" t="n">
        <x:v>95</x:v>
      </x:c>
      <x:c r="M60" s="18" t="n">
        <x:v>55</x:v>
      </x:c>
      <x:c r="N60" s="18" t="n">
        <x:v>40</x:v>
      </x:c>
      <x:c r="O60" s="18" t="n">
        <x:v>71</x:v>
      </x:c>
      <x:c r="P60" s="18" t="n">
        <x:v>59</x:v>
      </x:c>
      <x:c r="Q60" t="str">
        <x:v>No</x:v>
      </x:c>
      <x:c r="R60" s="18" t="n">
        <x:v>11</x:v>
      </x:c>
      <x:c r="S60" s="18" t="n">
        <x:v>11</x:v>
      </x:c>
      <x:c r="T60" s="18" t="n">
        <x:v>0</x:v>
      </x:c>
      <x:c r="U60" t="str">
        <x:v>Normal</x:v>
      </x:c>
      <x:c r="V60" t="str">
        <x:v>No</x:v>
      </x:c>
      <x:c r="W60" t="str">
        <x:v>WEAK</x:v>
      </x:c>
      <x:c r="X60" t="str">
        <x:v>REWRITE_REQUIRED</x:v>
      </x:c>
      <x:c r="Y60" t="n">
        <x:v>80</x:v>
      </x:c>
      <x:c r="Z60" t="str">
        <x:v>Success</x:v>
      </x:c>
      <x:c r="AA60"/>
      <x:c r="AB60"/>
      <x:c r="AC60" s="13"/>
      <x:c r="AD60" t="n">
        <x:v>0</x:v>
      </x:c>
      <x:c r="AE60" s="19" t="n">
        <x:v>141394</x:v>
      </x:c>
      <x:c r="AF60" t="str">
        <x:v>deepseek-v4-pro</x:v>
      </x:c>
      <x:c r="AG60" s="20" t="n">
        <x:v>46225.24915642361</x:v>
      </x:c>
      <x:c r="AH60" t="n">
        <x:v>200</x:v>
      </x:c>
      <x:c r="AI60" t="str">
        <x:v>9c8d63bb2c6b9c939071cd26200cd1fd751dce975ca93ed4a04dc8cd5ccb2dcb</x:v>
      </x:c>
      <x:c r="AJ60" t="str">
        <x:v>99e55c13b29cbadc235b4f0a7b22308079cd00d971954f9264c02b407e0220b5</x:v>
      </x:c>
    </x:row>
    <x:row r="61">
      <x:c r="A61" s="17" t="str">
        <x:v>060</x:v>
      </x:c>
      <x:c r="B61" t="str">
        <x:v>ZH-GOOD-030</x:v>
      </x:c>
      <x:c r="C61" s="17" t="str">
        <x:v>030</x:v>
      </x:c>
      <x:c r="D61" t="str">
        <x:v>Good</x:v>
      </x:c>
      <x:c r="E61" t="n">
        <x:v>70</x:v>
      </x:c>
      <x:c r="F61" t="n">
        <x:v>84</x:v>
      </x:c>
      <x:c r="G61" t="n">
        <x:v>1</x:v>
      </x:c>
      <x:c r="H61" s="18" t="n">
        <x:v>89</x:v>
      </x:c>
      <x:c r="I61" s="18" t="n">
        <x:v>85</x:v>
      </x:c>
      <x:c r="J61" s="18" t="n">
        <x:v>90</x:v>
      </x:c>
      <x:c r="K61" s="18" t="n">
        <x:v>92</x:v>
      </x:c>
      <x:c r="L61" s="18" t="n">
        <x:v>92</x:v>
      </x:c>
      <x:c r="M61" s="18" t="n">
        <x:v>92</x:v>
      </x:c>
      <x:c r="N61" s="18" t="n">
        <x:v>95</x:v>
      </x:c>
      <x:c r="O61" s="18" t="n">
        <x:v>90</x:v>
      </x:c>
      <x:c r="P61" s="18" t="n">
        <x:v>89</x:v>
      </x:c>
      <x:c r="Q61" t="str">
        <x:v>No</x:v>
      </x:c>
      <x:c r="R61" s="18" t="n">
        <x:v>5</x:v>
      </x:c>
      <x:c r="S61" s="18" t="n">
        <x:v>0</x:v>
      </x:c>
      <x:c r="T61" s="18" t="n">
        <x:v>5</x:v>
      </x:c>
      <x:c r="U61" t="str">
        <x:v>Excellent</x:v>
      </x:c>
      <x:c r="V61" t="str">
        <x:v>No</x:v>
      </x:c>
      <x:c r="W61" t="str">
        <x:v>STRONG_LIMITED_EDITING</x:v>
      </x:c>
      <x:c r="X61" t="str">
        <x:v>PASS</x:v>
      </x:c>
      <x:c r="Y61" t="n">
        <x:v>80</x:v>
      </x:c>
      <x:c r="Z61" t="str">
        <x:v>Success</x:v>
      </x:c>
      <x:c r="AA61"/>
      <x:c r="AB61"/>
      <x:c r="AC61" s="13"/>
      <x:c r="AD61" t="n">
        <x:v>0</x:v>
      </x:c>
      <x:c r="AE61" s="19" t="n">
        <x:v>91045</x:v>
      </x:c>
      <x:c r="AF61" t="str">
        <x:v>deepseek-v4-pro</x:v>
      </x:c>
      <x:c r="AG61" s="20" t="n">
        <x:v>46225.25021020833</x:v>
      </x:c>
      <x:c r="AH61" t="n">
        <x:v>200</x:v>
      </x:c>
      <x:c r="AI61" t="str">
        <x:v>2429e4f2e6b08e72e0520728ec8a38745f337ffba74a9c1bc93f725f763d4a56</x:v>
      </x:c>
      <x:c r="AJ61" t="str">
        <x:v>99e55c13b29cbadc235b4f0a7b22308079cd00d971954f9264c02b407e0220b5</x:v>
      </x:c>
    </x:row>
    <x:row r="62">
      <x:c r="A62" s="17" t="str">
        <x:v>061</x:v>
      </x:c>
      <x:c r="B62" t="str">
        <x:v>ZH-NORMAL-001</x:v>
      </x:c>
      <x:c r="C62" s="17" t="str">
        <x:v>001</x:v>
      </x:c>
      <x:c r="D62" t="str">
        <x:v>Normal</x:v>
      </x:c>
      <x:c r="E62" t="n">
        <x:v>50</x:v>
      </x:c>
      <x:c r="F62" t="n">
        <x:v>69</x:v>
      </x:c>
      <x:c r="G62" t="n">
        <x:v>1</x:v>
      </x:c>
      <x:c r="H62" s="18" t="n">
        <x:v>86</x:v>
      </x:c>
      <x:c r="I62" s="18" t="n">
        <x:v>85</x:v>
      </x:c>
      <x:c r="J62" s="18" t="n">
        <x:v>82</x:v>
      </x:c>
      <x:c r="K62" s="18" t="n">
        <x:v>88</x:v>
      </x:c>
      <x:c r="L62" s="18" t="n">
        <x:v>90</x:v>
      </x:c>
      <x:c r="M62" s="18" t="n">
        <x:v>90</x:v>
      </x:c>
      <x:c r="N62" s="18" t="n">
        <x:v>80</x:v>
      </x:c>
      <x:c r="O62" s="18" t="n">
        <x:v>86</x:v>
      </x:c>
      <x:c r="P62" s="18" t="n">
        <x:v>89</x:v>
      </x:c>
      <x:c r="Q62" t="str">
        <x:v>No</x:v>
      </x:c>
      <x:c r="R62" s="18" t="n">
        <x:v>17</x:v>
      </x:c>
      <x:c r="S62" s="18" t="n">
        <x:v>0</x:v>
      </x:c>
      <x:c r="T62" s="18" t="n">
        <x:v>17</x:v>
      </x:c>
      <x:c r="U62" t="str">
        <x:v>Excellent</x:v>
      </x:c>
      <x:c r="V62" t="str">
        <x:v>No</x:v>
      </x:c>
      <x:c r="W62" t="str">
        <x:v>STRONG_LIMITED_EDITING</x:v>
      </x:c>
      <x:c r="X62" t="str">
        <x:v>PASS</x:v>
      </x:c>
      <x:c r="Y62" t="n">
        <x:v>80</x:v>
      </x:c>
      <x:c r="Z62" t="str">
        <x:v>Success</x:v>
      </x:c>
      <x:c r="AA62"/>
      <x:c r="AB62"/>
      <x:c r="AC62" s="13"/>
      <x:c r="AD62" t="n">
        <x:v>0</x:v>
      </x:c>
      <x:c r="AE62" s="19" t="n">
        <x:v>136001</x:v>
      </x:c>
      <x:c r="AF62" t="str">
        <x:v>deepseek-v4-pro</x:v>
      </x:c>
      <x:c r="AG62" s="20" t="n">
        <x:v>46225.21313538194</x:v>
      </x:c>
      <x:c r="AH62" t="n">
        <x:v>200</x:v>
      </x:c>
      <x:c r="AI62" t="str">
        <x:v>ec135c5fa32eca531009bf38b994ec15d6b85e13c7b7bd9e1742d857f32c0b5a</x:v>
      </x:c>
      <x:c r="AJ62" t="str">
        <x:v>99e55c13b29cbadc235b4f0a7b22308079cd00d971954f9264c02b407e0220b5</x:v>
      </x:c>
    </x:row>
    <x:row r="63">
      <x:c r="A63" s="17" t="str">
        <x:v>062</x:v>
      </x:c>
      <x:c r="B63" t="str">
        <x:v>ZH-NORMAL-002</x:v>
      </x:c>
      <x:c r="C63" s="17" t="str">
        <x:v>002</x:v>
      </x:c>
      <x:c r="D63" t="str">
        <x:v>Normal</x:v>
      </x:c>
      <x:c r="E63" t="n">
        <x:v>50</x:v>
      </x:c>
      <x:c r="F63" t="n">
        <x:v>69</x:v>
      </x:c>
      <x:c r="G63" t="n">
        <x:v>1</x:v>
      </x:c>
      <x:c r="H63" s="18" t="n">
        <x:v>59</x:v>
      </x:c>
      <x:c r="I63" s="18" t="n">
        <x:v>55</x:v>
      </x:c>
      <x:c r="J63" s="18" t="n">
        <x:v>78</x:v>
      </x:c>
      <x:c r="K63" s="18" t="n">
        <x:v>80</x:v>
      </x:c>
      <x:c r="L63" s="18" t="n">
        <x:v>75</x:v>
      </x:c>
      <x:c r="M63" s="18" t="n">
        <x:v>55</x:v>
      </x:c>
      <x:c r="N63" s="18" t="n">
        <x:v>50</x:v>
      </x:c>
      <x:c r="O63" s="18" t="n">
        <x:v>66</x:v>
      </x:c>
      <x:c r="P63" s="18" t="n">
        <x:v>59</x:v>
      </x:c>
      <x:c r="Q63" t="str">
        <x:v>Yes</x:v>
      </x:c>
      <x:c r="R63" s="18" t="n">
        <x:v>0</x:v>
      </x:c>
      <x:c r="S63" s="18" t="n">
        <x:v>0</x:v>
      </x:c>
      <x:c r="T63" s="18" t="n">
        <x:v>0</x:v>
      </x:c>
      <x:c r="U63" t="str">
        <x:v>Normal</x:v>
      </x:c>
      <x:c r="V63" t="str">
        <x:v>Yes</x:v>
      </x:c>
      <x:c r="W63" t="str">
        <x:v>WEAK</x:v>
      </x:c>
      <x:c r="X63" t="str">
        <x:v>REWRITE_REQUIRED</x:v>
      </x:c>
      <x:c r="Y63" t="n">
        <x:v>80</x:v>
      </x:c>
      <x:c r="Z63" t="str">
        <x:v>Success</x:v>
      </x:c>
      <x:c r="AA63"/>
      <x:c r="AB63"/>
      <x:c r="AC63" s="13"/>
      <x:c r="AD63" t="n">
        <x:v>0</x:v>
      </x:c>
      <x:c r="AE63" s="19" t="n">
        <x:v>142779</x:v>
      </x:c>
      <x:c r="AF63" t="str">
        <x:v>deepseek-v4-pro</x:v>
      </x:c>
      <x:c r="AG63" s="20" t="n">
        <x:v>46225.21478795139</x:v>
      </x:c>
      <x:c r="AH63" t="n">
        <x:v>200</x:v>
      </x:c>
      <x:c r="AI63" t="str">
        <x:v>19c2fd4c9865fd2117058b65ed08348de9b2580703a23ad5d2f429ddc9d38b8f</x:v>
      </x:c>
      <x:c r="AJ63" t="str">
        <x:v>99e55c13b29cbadc235b4f0a7b22308079cd00d971954f9264c02b407e0220b5</x:v>
      </x:c>
    </x:row>
    <x:row r="64">
      <x:c r="A64" s="17" t="str">
        <x:v>063</x:v>
      </x:c>
      <x:c r="B64" t="str">
        <x:v>ZH-NORMAL-003</x:v>
      </x:c>
      <x:c r="C64" s="17" t="str">
        <x:v>003</x:v>
      </x:c>
      <x:c r="D64" t="str">
        <x:v>Normal</x:v>
      </x:c>
      <x:c r="E64" t="n">
        <x:v>50</x:v>
      </x:c>
      <x:c r="F64" t="n">
        <x:v>69</x:v>
      </x:c>
      <x:c r="G64" t="n">
        <x:v>1</x:v>
      </x:c>
      <x:c r="H64" s="18" t="n">
        <x:v>57</x:v>
      </x:c>
      <x:c r="I64" s="18" t="n">
        <x:v>45</x:v>
      </x:c>
      <x:c r="J64" s="18" t="n">
        <x:v>65</x:v>
      </x:c>
      <x:c r="K64" s="18" t="n">
        <x:v>75</x:v>
      </x:c>
      <x:c r="L64" s="18" t="n">
        <x:v>85</x:v>
      </x:c>
      <x:c r="M64" s="18" t="n">
        <x:v>45</x:v>
      </x:c>
      <x:c r="N64" s="18" t="n">
        <x:v>15</x:v>
      </x:c>
      <x:c r="O64" s="18" t="n">
        <x:v>57</x:v>
      </x:c>
      <x:c r="P64" s="18" t="n">
        <x:v>59</x:v>
      </x:c>
      <x:c r="Q64" t="str">
        <x:v>Yes</x:v>
      </x:c>
      <x:c r="R64" s="18" t="n">
        <x:v>0</x:v>
      </x:c>
      <x:c r="S64" s="18" t="n">
        <x:v>0</x:v>
      </x:c>
      <x:c r="T64" s="18" t="n">
        <x:v>0</x:v>
      </x:c>
      <x:c r="U64" t="str">
        <x:v>Normal</x:v>
      </x:c>
      <x:c r="V64" t="str">
        <x:v>Yes</x:v>
      </x:c>
      <x:c r="W64" t="str">
        <x:v>WEAK</x:v>
      </x:c>
      <x:c r="X64" t="str">
        <x:v>REWRITE_REQUIRED</x:v>
      </x:c>
      <x:c r="Y64" t="n">
        <x:v>80</x:v>
      </x:c>
      <x:c r="Z64" t="str">
        <x:v>Success</x:v>
      </x:c>
      <x:c r="AA64"/>
      <x:c r="AB64"/>
      <x:c r="AC64" s="13"/>
      <x:c r="AD64" t="n">
        <x:v>0</x:v>
      </x:c>
      <x:c r="AE64" s="19" t="n">
        <x:v>93455</x:v>
      </x:c>
      <x:c r="AF64" t="str">
        <x:v>deepseek-v4-pro</x:v>
      </x:c>
      <x:c r="AG64" s="20" t="n">
        <x:v>46225.2158696412</x:v>
      </x:c>
      <x:c r="AH64" t="n">
        <x:v>200</x:v>
      </x:c>
      <x:c r="AI64" t="str">
        <x:v>d833623991ae8cb86442c9b1f11999315f94930d29c52a3bb4efaa8b4b96e366</x:v>
      </x:c>
      <x:c r="AJ64" t="str">
        <x:v>99e55c13b29cbadc235b4f0a7b22308079cd00d971954f9264c02b407e0220b5</x:v>
      </x:c>
    </x:row>
    <x:row r="65">
      <x:c r="A65" s="17" t="str">
        <x:v>064</x:v>
      </x:c>
      <x:c r="B65" t="str">
        <x:v>ZH-NORMAL-004</x:v>
      </x:c>
      <x:c r="C65" s="17" t="str">
        <x:v>004</x:v>
      </x:c>
      <x:c r="D65" t="str">
        <x:v>Normal</x:v>
      </x:c>
      <x:c r="E65" t="n">
        <x:v>50</x:v>
      </x:c>
      <x:c r="F65" t="n">
        <x:v>69</x:v>
      </x:c>
      <x:c r="G65" t="n">
        <x:v>1</x:v>
      </x:c>
      <x:c r="H65" s="18" t="n">
        <x:v>59</x:v>
      </x:c>
      <x:c r="I65" s="18" t="n">
        <x:v>52</x:v>
      </x:c>
      <x:c r="J65" s="18" t="n">
        <x:v>68</x:v>
      </x:c>
      <x:c r="K65" s="18" t="n">
        <x:v>70</x:v>
      </x:c>
      <x:c r="L65" s="18" t="n">
        <x:v>65</x:v>
      </x:c>
      <x:c r="M65" s="18" t="n">
        <x:v>55</x:v>
      </x:c>
      <x:c r="N65" s="18" t="n">
        <x:v>45</x:v>
      </x:c>
      <x:c r="O65" s="18" t="n">
        <x:v>60</x:v>
      </x:c>
      <x:c r="P65" s="18" t="n">
        <x:v>59</x:v>
      </x:c>
      <x:c r="Q65" t="str">
        <x:v>Yes</x:v>
      </x:c>
      <x:c r="R65" s="18" t="n">
        <x:v>0</x:v>
      </x:c>
      <x:c r="S65" s="18" t="n">
        <x:v>0</x:v>
      </x:c>
      <x:c r="T65" s="18" t="n">
        <x:v>0</x:v>
      </x:c>
      <x:c r="U65" t="str">
        <x:v>Normal</x:v>
      </x:c>
      <x:c r="V65" t="str">
        <x:v>Yes</x:v>
      </x:c>
      <x:c r="W65" t="str">
        <x:v>WEAK</x:v>
      </x:c>
      <x:c r="X65" t="str">
        <x:v>REWRITE_REQUIRED</x:v>
      </x:c>
      <x:c r="Y65" t="n">
        <x:v>80</x:v>
      </x:c>
      <x:c r="Z65" t="str">
        <x:v>Success</x:v>
      </x:c>
      <x:c r="AA65"/>
      <x:c r="AB65"/>
      <x:c r="AC65" s="13"/>
      <x:c r="AD65" t="n">
        <x:v>0</x:v>
      </x:c>
      <x:c r="AE65" s="19" t="n">
        <x:v>136077</x:v>
      </x:c>
      <x:c r="AF65" t="str">
        <x:v>deepseek-v4-pro</x:v>
      </x:c>
      <x:c r="AG65" s="20" t="n">
        <x:v>46225.21744462963</x:v>
      </x:c>
      <x:c r="AH65" t="n">
        <x:v>200</x:v>
      </x:c>
      <x:c r="AI65" t="str">
        <x:v>034e8c52153b878825c20290db4ef4784cf80606396300f734568906746cc9df</x:v>
      </x:c>
      <x:c r="AJ65" t="str">
        <x:v>99e55c13b29cbadc235b4f0a7b22308079cd00d971954f9264c02b407e0220b5</x:v>
      </x:c>
    </x:row>
    <x:row r="66">
      <x:c r="A66" s="17" t="str">
        <x:v>065</x:v>
      </x:c>
      <x:c r="B66" t="str">
        <x:v>ZH-NORMAL-005</x:v>
      </x:c>
      <x:c r="C66" s="17" t="str">
        <x:v>005</x:v>
      </x:c>
      <x:c r="D66" t="str">
        <x:v>Normal</x:v>
      </x:c>
      <x:c r="E66" t="n">
        <x:v>50</x:v>
      </x:c>
      <x:c r="F66" t="n">
        <x:v>69</x:v>
      </x:c>
      <x:c r="G66" t="n">
        <x:v>1</x:v>
      </x:c>
      <x:c r="H66" s="18" t="n">
        <x:v>59</x:v>
      </x:c>
      <x:c r="I66" s="18" t="n">
        <x:v>58</x:v>
      </x:c>
      <x:c r="J66" s="18" t="n">
        <x:v>62</x:v>
      </x:c>
      <x:c r="K66" s="18" t="n">
        <x:v>68</x:v>
      </x:c>
      <x:c r="L66" s="18" t="n">
        <x:v>82</x:v>
      </x:c>
      <x:c r="M66" s="18" t="n">
        <x:v>70</x:v>
      </x:c>
      <x:c r="N66" s="18" t="n">
        <x:v>65</x:v>
      </x:c>
      <x:c r="O66" s="18" t="n">
        <x:v>66</x:v>
      </x:c>
      <x:c r="P66" s="18" t="n">
        <x:v>59</x:v>
      </x:c>
      <x:c r="Q66" t="str">
        <x:v>Yes</x:v>
      </x:c>
      <x:c r="R66" s="18" t="n">
        <x:v>0</x:v>
      </x:c>
      <x:c r="S66" s="18" t="n">
        <x:v>0</x:v>
      </x:c>
      <x:c r="T66" s="18" t="n">
        <x:v>0</x:v>
      </x:c>
      <x:c r="U66" t="str">
        <x:v>Normal</x:v>
      </x:c>
      <x:c r="V66" t="str">
        <x:v>Yes</x:v>
      </x:c>
      <x:c r="W66" t="str">
        <x:v>WEAK</x:v>
      </x:c>
      <x:c r="X66" t="str">
        <x:v>REWRITE_REQUIRED</x:v>
      </x:c>
      <x:c r="Y66" t="n">
        <x:v>80</x:v>
      </x:c>
      <x:c r="Z66" t="str">
        <x:v>Success</x:v>
      </x:c>
      <x:c r="AA66"/>
      <x:c r="AB66"/>
      <x:c r="AC66" s="13"/>
      <x:c r="AD66" t="n">
        <x:v>0</x:v>
      </x:c>
      <x:c r="AE66" s="19" t="n">
        <x:v>132951</x:v>
      </x:c>
      <x:c r="AF66" t="str">
        <x:v>deepseek-v4-pro</x:v>
      </x:c>
      <x:c r="AG66" s="20" t="n">
        <x:v>46225.2189834375</x:v>
      </x:c>
      <x:c r="AH66" t="n">
        <x:v>200</x:v>
      </x:c>
      <x:c r="AI66" t="str">
        <x:v>82555880b72cf68324b446f3c52d6f466e7f0a33dc1ba3eb9c0173d1e459f14c</x:v>
      </x:c>
      <x:c r="AJ66" t="str">
        <x:v>99e55c13b29cbadc235b4f0a7b22308079cd00d971954f9264c02b407e0220b5</x:v>
      </x:c>
    </x:row>
    <x:row r="67">
      <x:c r="A67" s="17" t="str">
        <x:v>066</x:v>
      </x:c>
      <x:c r="B67" t="str">
        <x:v>ZH-NORMAL-006</x:v>
      </x:c>
      <x:c r="C67" s="17" t="str">
        <x:v>006</x:v>
      </x:c>
      <x:c r="D67" t="str">
        <x:v>Normal</x:v>
      </x:c>
      <x:c r="E67" t="n">
        <x:v>50</x:v>
      </x:c>
      <x:c r="F67" t="n">
        <x:v>69</x:v>
      </x:c>
      <x:c r="G67" t="n">
        <x:v>1</x:v>
      </x:c>
      <x:c r="H67" s="18" t="n">
        <x:v>57</x:v>
      </x:c>
      <x:c r="I67" s="18" t="n">
        <x:v>59</x:v>
      </x:c>
      <x:c r="J67" s="18" t="n">
        <x:v>65</x:v>
      </x:c>
      <x:c r="K67" s="18" t="n">
        <x:v>60</x:v>
      </x:c>
      <x:c r="L67" s="18" t="n">
        <x:v>65</x:v>
      </x:c>
      <x:c r="M67" s="18" t="n">
        <x:v>50</x:v>
      </x:c>
      <x:c r="N67" s="18" t="n">
        <x:v>30</x:v>
      </x:c>
      <x:c r="O67" s="18" t="n">
        <x:v>57</x:v>
      </x:c>
      <x:c r="P67" s="18" t="n">
        <x:v>59</x:v>
      </x:c>
      <x:c r="Q67" t="str">
        <x:v>Yes</x:v>
      </x:c>
      <x:c r="R67" s="18" t="n">
        <x:v>0</x:v>
      </x:c>
      <x:c r="S67" s="18" t="n">
        <x:v>0</x:v>
      </x:c>
      <x:c r="T67" s="18" t="n">
        <x:v>0</x:v>
      </x:c>
      <x:c r="U67" t="str">
        <x:v>Normal</x:v>
      </x:c>
      <x:c r="V67" t="str">
        <x:v>Yes</x:v>
      </x:c>
      <x:c r="W67" t="str">
        <x:v>WEAK</x:v>
      </x:c>
      <x:c r="X67" t="str">
        <x:v>REWRITE_REQUIRED</x:v>
      </x:c>
      <x:c r="Y67" t="n">
        <x:v>80</x:v>
      </x:c>
      <x:c r="Z67" t="str">
        <x:v>Success</x:v>
      </x:c>
      <x:c r="AA67"/>
      <x:c r="AB67"/>
      <x:c r="AC67" s="13"/>
      <x:c r="AD67" t="n">
        <x:v>0</x:v>
      </x:c>
      <x:c r="AE67" s="19" t="n">
        <x:v>86407</x:v>
      </x:c>
      <x:c r="AF67" t="str">
        <x:v>deepseek-v4-pro</x:v>
      </x:c>
      <x:c r="AG67" s="20" t="n">
        <x:v>46225.21998354167</x:v>
      </x:c>
      <x:c r="AH67" t="n">
        <x:v>200</x:v>
      </x:c>
      <x:c r="AI67" t="str">
        <x:v>b219b9200b2973ce60591a2ea08d82953a35efa4f9eeee9474dba8f7e49ce6c0</x:v>
      </x:c>
      <x:c r="AJ67" t="str">
        <x:v>99e55c13b29cbadc235b4f0a7b22308079cd00d971954f9264c02b407e0220b5</x:v>
      </x:c>
    </x:row>
    <x:row r="68">
      <x:c r="A68" s="17" t="str">
        <x:v>067</x:v>
      </x:c>
      <x:c r="B68" t="str">
        <x:v>ZH-NORMAL-007</x:v>
      </x:c>
      <x:c r="C68" s="17" t="str">
        <x:v>007</x:v>
      </x:c>
      <x:c r="D68" t="str">
        <x:v>Normal</x:v>
      </x:c>
      <x:c r="E68" t="n">
        <x:v>50</x:v>
      </x:c>
      <x:c r="F68" t="n">
        <x:v>69</x:v>
      </x:c>
      <x:c r="G68" t="n">
        <x:v>1</x:v>
      </x:c>
      <x:c r="H68" s="18" t="n">
        <x:v>55</x:v>
      </x:c>
      <x:c r="I68" s="18" t="n">
        <x:v>45</x:v>
      </x:c>
      <x:c r="J68" s="18" t="n">
        <x:v>65</x:v>
      </x:c>
      <x:c r="K68" s="18" t="n">
        <x:v>75</x:v>
      </x:c>
      <x:c r="L68" s="18" t="n">
        <x:v>80</x:v>
      </x:c>
      <x:c r="M68" s="18" t="n">
        <x:v>40</x:v>
      </x:c>
      <x:c r="N68" s="18" t="n">
        <x:v>10</x:v>
      </x:c>
      <x:c r="O68" s="18" t="n">
        <x:v>55</x:v>
      </x:c>
      <x:c r="P68" s="18" t="n">
        <x:v>59</x:v>
      </x:c>
      <x:c r="Q68" t="str">
        <x:v>Yes</x:v>
      </x:c>
      <x:c r="R68" s="18" t="n">
        <x:v>0</x:v>
      </x:c>
      <x:c r="S68" s="18" t="n">
        <x:v>0</x:v>
      </x:c>
      <x:c r="T68" s="18" t="n">
        <x:v>0</x:v>
      </x:c>
      <x:c r="U68" t="str">
        <x:v>Normal</x:v>
      </x:c>
      <x:c r="V68" t="str">
        <x:v>Yes</x:v>
      </x:c>
      <x:c r="W68" t="str">
        <x:v>WEAK</x:v>
      </x:c>
      <x:c r="X68" t="str">
        <x:v>REWRITE_REQUIRED</x:v>
      </x:c>
      <x:c r="Y68" t="n">
        <x:v>80</x:v>
      </x:c>
      <x:c r="Z68" t="str">
        <x:v>Success</x:v>
      </x:c>
      <x:c r="AA68"/>
      <x:c r="AB68"/>
      <x:c r="AC68" s="13"/>
      <x:c r="AD68" t="n">
        <x:v>0</x:v>
      </x:c>
      <x:c r="AE68" s="19" t="n">
        <x:v>132682</x:v>
      </x:c>
      <x:c r="AF68" t="str">
        <x:v>deepseek-v4-pro</x:v>
      </x:c>
      <x:c r="AG68" s="20" t="n">
        <x:v>46225.22151924769</x:v>
      </x:c>
      <x:c r="AH68" t="n">
        <x:v>200</x:v>
      </x:c>
      <x:c r="AI68" t="str">
        <x:v>222642dc8c08e3188bc8a5824d37febda45451770a73ae29d143af9a67737910</x:v>
      </x:c>
      <x:c r="AJ68" t="str">
        <x:v>99e55c13b29cbadc235b4f0a7b22308079cd00d971954f9264c02b407e0220b5</x:v>
      </x:c>
    </x:row>
    <x:row r="69">
      <x:c r="A69" s="17" t="str">
        <x:v>068</x:v>
      </x:c>
      <x:c r="B69" t="str">
        <x:v>ZH-NORMAL-008</x:v>
      </x:c>
      <x:c r="C69" s="17" t="str">
        <x:v>008</x:v>
      </x:c>
      <x:c r="D69" t="str">
        <x:v>Normal</x:v>
      </x:c>
      <x:c r="E69" t="n">
        <x:v>50</x:v>
      </x:c>
      <x:c r="F69" t="n">
        <x:v>69</x:v>
      </x:c>
      <x:c r="G69" t="n">
        <x:v>1</x:v>
      </x:c>
      <x:c r="H69" s="18" t="n">
        <x:v>59</x:v>
      </x:c>
      <x:c r="I69" s="18" t="n">
        <x:v>50</x:v>
      </x:c>
      <x:c r="J69" s="18" t="n">
        <x:v>65</x:v>
      </x:c>
      <x:c r="K69" s="18" t="n">
        <x:v>80</x:v>
      </x:c>
      <x:c r="L69" s="18" t="n">
        <x:v>85</x:v>
      </x:c>
      <x:c r="M69" s="18" t="n">
        <x:v>55</x:v>
      </x:c>
      <x:c r="N69" s="18" t="n">
        <x:v>25</x:v>
      </x:c>
      <x:c r="O69" s="18" t="n">
        <x:v>61</x:v>
      </x:c>
      <x:c r="P69" s="18" t="n">
        <x:v>59</x:v>
      </x:c>
      <x:c r="Q69" t="str">
        <x:v>Yes</x:v>
      </x:c>
      <x:c r="R69" s="18" t="n">
        <x:v>0</x:v>
      </x:c>
      <x:c r="S69" s="18" t="n">
        <x:v>0</x:v>
      </x:c>
      <x:c r="T69" s="18" t="n">
        <x:v>0</x:v>
      </x:c>
      <x:c r="U69" t="str">
        <x:v>Normal</x:v>
      </x:c>
      <x:c r="V69" t="str">
        <x:v>Yes</x:v>
      </x:c>
      <x:c r="W69" t="str">
        <x:v>WEAK</x:v>
      </x:c>
      <x:c r="X69" t="str">
        <x:v>REWRITE_REQUIRED</x:v>
      </x:c>
      <x:c r="Y69" t="n">
        <x:v>80</x:v>
      </x:c>
      <x:c r="Z69" t="str">
        <x:v>Success</x:v>
      </x:c>
      <x:c r="AA69"/>
      <x:c r="AB69"/>
      <x:c r="AC69" s="13"/>
      <x:c r="AD69" t="n">
        <x:v>0</x:v>
      </x:c>
      <x:c r="AE69" s="19" t="n">
        <x:v>71987</x:v>
      </x:c>
      <x:c r="AF69" t="str">
        <x:v>deepseek-v4-pro</x:v>
      </x:c>
      <x:c r="AG69" s="20" t="n">
        <x:v>46225.222352453704</x:v>
      </x:c>
      <x:c r="AH69" t="n">
        <x:v>200</x:v>
      </x:c>
      <x:c r="AI69" t="str">
        <x:v>197a024ab861cfc8a71c6cc82f9670dfb249b4c37c3d2e98b126eb092462f3ca</x:v>
      </x:c>
      <x:c r="AJ69" t="str">
        <x:v>99e55c13b29cbadc235b4f0a7b22308079cd00d971954f9264c02b407e0220b5</x:v>
      </x:c>
    </x:row>
    <x:row r="70">
      <x:c r="A70" s="17" t="str">
        <x:v>069</x:v>
      </x:c>
      <x:c r="B70" t="str">
        <x:v>ZH-NORMAL-009</x:v>
      </x:c>
      <x:c r="C70" s="17" t="str">
        <x:v>009</x:v>
      </x:c>
      <x:c r="D70" t="str">
        <x:v>Normal</x:v>
      </x:c>
      <x:c r="E70" t="n">
        <x:v>50</x:v>
      </x:c>
      <x:c r="F70" t="n">
        <x:v>69</x:v>
      </x:c>
      <x:c r="G70" t="n">
        <x:v>1</x:v>
      </x:c>
      <x:c r="H70" s="18" t="n">
        <x:v>59</x:v>
      </x:c>
      <x:c r="I70" s="18" t="n">
        <x:v>45</x:v>
      </x:c>
      <x:c r="J70" s="18" t="n">
        <x:v>80</x:v>
      </x:c>
      <x:c r="K70" s="18" t="n">
        <x:v>75</x:v>
      </x:c>
      <x:c r="L70" s="18" t="n">
        <x:v>65</x:v>
      </x:c>
      <x:c r="M70" s="18" t="n">
        <x:v>60</x:v>
      </x:c>
      <x:c r="N70" s="18" t="n">
        <x:v>30</x:v>
      </x:c>
      <x:c r="O70" s="18" t="n">
        <x:v>60</x:v>
      </x:c>
      <x:c r="P70" s="18" t="n">
        <x:v>59</x:v>
      </x:c>
      <x:c r="Q70" t="str">
        <x:v>Yes</x:v>
      </x:c>
      <x:c r="R70" s="18" t="n">
        <x:v>0</x:v>
      </x:c>
      <x:c r="S70" s="18" t="n">
        <x:v>0</x:v>
      </x:c>
      <x:c r="T70" s="18" t="n">
        <x:v>0</x:v>
      </x:c>
      <x:c r="U70" t="str">
        <x:v>Normal</x:v>
      </x:c>
      <x:c r="V70" t="str">
        <x:v>Yes</x:v>
      </x:c>
      <x:c r="W70" t="str">
        <x:v>WEAK</x:v>
      </x:c>
      <x:c r="X70" t="str">
        <x:v>REWRITE_REQUIRED</x:v>
      </x:c>
      <x:c r="Y70" t="n">
        <x:v>80</x:v>
      </x:c>
      <x:c r="Z70" t="str">
        <x:v>Success</x:v>
      </x:c>
      <x:c r="AA70"/>
      <x:c r="AB70"/>
      <x:c r="AC70" s="13"/>
      <x:c r="AD70" t="n">
        <x:v>0</x:v>
      </x:c>
      <x:c r="AE70" s="19" t="n">
        <x:v>142666</x:v>
      </x:c>
      <x:c r="AF70" t="str">
        <x:v>deepseek-v4-pro</x:v>
      </x:c>
      <x:c r="AG70" s="20" t="n">
        <x:v>46225.22400371528</x:v>
      </x:c>
      <x:c r="AH70" t="n">
        <x:v>200</x:v>
      </x:c>
      <x:c r="AI70" t="str">
        <x:v>135da746e8b95130ae6d13fb3a76df18ac3b47b146b356994a0fd8bbfe4e7684</x:v>
      </x:c>
      <x:c r="AJ70" t="str">
        <x:v>99e55c13b29cbadc235b4f0a7b22308079cd00d971954f9264c02b407e0220b5</x:v>
      </x:c>
    </x:row>
    <x:row r="71">
      <x:c r="A71" s="17" t="str">
        <x:v>070</x:v>
      </x:c>
      <x:c r="B71" t="str">
        <x:v>ZH-NORMAL-010</x:v>
      </x:c>
      <x:c r="C71" s="17" t="str">
        <x:v>010</x:v>
      </x:c>
      <x:c r="D71" t="str">
        <x:v>Normal</x:v>
      </x:c>
      <x:c r="E71" t="n">
        <x:v>50</x:v>
      </x:c>
      <x:c r="F71" t="n">
        <x:v>69</x:v>
      </x:c>
      <x:c r="G71" t="n">
        <x:v>1</x:v>
      </x:c>
      <x:c r="H71" s="18" t="n">
        <x:v>59</x:v>
      </x:c>
      <x:c r="I71" s="18" t="n">
        <x:v>50</x:v>
      </x:c>
      <x:c r="J71" s="18" t="n">
        <x:v>55</x:v>
      </x:c>
      <x:c r="K71" s="18" t="n">
        <x:v>80</x:v>
      </x:c>
      <x:c r="L71" s="18" t="n">
        <x:v>85</x:v>
      </x:c>
      <x:c r="M71" s="18" t="n">
        <x:v>55</x:v>
      </x:c>
      <x:c r="N71" s="18" t="n">
        <x:v>40</x:v>
      </x:c>
      <x:c r="O71" s="18" t="n">
        <x:v>61</x:v>
      </x:c>
      <x:c r="P71" s="18" t="n">
        <x:v>59</x:v>
      </x:c>
      <x:c r="Q71" t="str">
        <x:v>Yes</x:v>
      </x:c>
      <x:c r="R71" s="18" t="n">
        <x:v>0</x:v>
      </x:c>
      <x:c r="S71" s="18" t="n">
        <x:v>0</x:v>
      </x:c>
      <x:c r="T71" s="18" t="n">
        <x:v>0</x:v>
      </x:c>
      <x:c r="U71" t="str">
        <x:v>Normal</x:v>
      </x:c>
      <x:c r="V71" t="str">
        <x:v>Yes</x:v>
      </x:c>
      <x:c r="W71" t="str">
        <x:v>WEAK</x:v>
      </x:c>
      <x:c r="X71" t="str">
        <x:v>REWRITE_REQUIRED</x:v>
      </x:c>
      <x:c r="Y71" t="n">
        <x:v>80</x:v>
      </x:c>
      <x:c r="Z71" t="str">
        <x:v>Success</x:v>
      </x:c>
      <x:c r="AA71"/>
      <x:c r="AB71"/>
      <x:c r="AC71" s="13"/>
      <x:c r="AD71" t="n">
        <x:v>0</x:v>
      </x:c>
      <x:c r="AE71" s="19" t="n">
        <x:v>127754</x:v>
      </x:c>
      <x:c r="AF71" t="str">
        <x:v>deepseek-v4-pro</x:v>
      </x:c>
      <x:c r="AG71" s="20" t="n">
        <x:v>46225.225482361115</x:v>
      </x:c>
      <x:c r="AH71" t="n">
        <x:v>200</x:v>
      </x:c>
      <x:c r="AI71" t="str">
        <x:v>f22e84f4457a50a408db106e27ba3e76c3f6638ae10e3fdb868f965f94d069e8</x:v>
      </x:c>
      <x:c r="AJ71" t="str">
        <x:v>99e55c13b29cbadc235b4f0a7b22308079cd00d971954f9264c02b407e0220b5</x:v>
      </x:c>
    </x:row>
    <x:row r="72">
      <x:c r="A72" s="17" t="str">
        <x:v>071</x:v>
      </x:c>
      <x:c r="B72" t="str">
        <x:v>ZH-NORMAL-011</x:v>
      </x:c>
      <x:c r="C72" s="17" t="str">
        <x:v>011</x:v>
      </x:c>
      <x:c r="D72" t="str">
        <x:v>Normal</x:v>
      </x:c>
      <x:c r="E72" t="n">
        <x:v>50</x:v>
      </x:c>
      <x:c r="F72" t="n">
        <x:v>69</x:v>
      </x:c>
      <x:c r="G72" t="n">
        <x:v>1</x:v>
      </x:c>
      <x:c r="H72" s="18" t="n">
        <x:v>58</x:v>
      </x:c>
      <x:c r="I72" s="18" t="n">
        <x:v>58</x:v>
      </x:c>
      <x:c r="J72" s="18" t="n">
        <x:v>55</x:v>
      </x:c>
      <x:c r="K72" s="18" t="n">
        <x:v>65</x:v>
      </x:c>
      <x:c r="L72" s="18" t="n">
        <x:v>68</x:v>
      </x:c>
      <x:c r="M72" s="18" t="n">
        <x:v>58</x:v>
      </x:c>
      <x:c r="N72" s="18" t="n">
        <x:v>40</x:v>
      </x:c>
      <x:c r="O72" s="18" t="n">
        <x:v>58</x:v>
      </x:c>
      <x:c r="P72" s="18" t="n">
        <x:v>59</x:v>
      </x:c>
      <x:c r="Q72" t="str">
        <x:v>Yes</x:v>
      </x:c>
      <x:c r="R72" s="18" t="n">
        <x:v>0</x:v>
      </x:c>
      <x:c r="S72" s="18" t="n">
        <x:v>0</x:v>
      </x:c>
      <x:c r="T72" s="18" t="n">
        <x:v>0</x:v>
      </x:c>
      <x:c r="U72" t="str">
        <x:v>Normal</x:v>
      </x:c>
      <x:c r="V72" t="str">
        <x:v>Yes</x:v>
      </x:c>
      <x:c r="W72" t="str">
        <x:v>WEAK</x:v>
      </x:c>
      <x:c r="X72" t="str">
        <x:v>REWRITE_REQUIRED</x:v>
      </x:c>
      <x:c r="Y72" t="n">
        <x:v>80</x:v>
      </x:c>
      <x:c r="Z72" t="str">
        <x:v>Success</x:v>
      </x:c>
      <x:c r="AA72"/>
      <x:c r="AB72"/>
      <x:c r="AC72" s="13"/>
      <x:c r="AD72" t="n">
        <x:v>0</x:v>
      </x:c>
      <x:c r="AE72" s="19" t="n">
        <x:v>113369</x:v>
      </x:c>
      <x:c r="AF72" t="str">
        <x:v>deepseek-v4-pro</x:v>
      </x:c>
      <x:c r="AG72" s="20" t="n">
        <x:v>46225.22679453704</x:v>
      </x:c>
      <x:c r="AH72" t="n">
        <x:v>200</x:v>
      </x:c>
      <x:c r="AI72" t="str">
        <x:v>03d036d97455157888593518b68cb607f073c61f74e37ef5eb30389a78e6793a</x:v>
      </x:c>
      <x:c r="AJ72" t="str">
        <x:v>99e55c13b29cbadc235b4f0a7b22308079cd00d971954f9264c02b407e0220b5</x:v>
      </x:c>
    </x:row>
    <x:row r="73">
      <x:c r="A73" s="17" t="str">
        <x:v>072</x:v>
      </x:c>
      <x:c r="B73" t="str">
        <x:v>ZH-NORMAL-012</x:v>
      </x:c>
      <x:c r="C73" s="17" t="str">
        <x:v>012</x:v>
      </x:c>
      <x:c r="D73" t="str">
        <x:v>Normal</x:v>
      </x:c>
      <x:c r="E73" t="n">
        <x:v>50</x:v>
      </x:c>
      <x:c r="F73" t="n">
        <x:v>69</x:v>
      </x:c>
      <x:c r="G73" t="n">
        <x:v>1</x:v>
      </x:c>
      <x:c r="H73" s="18" t="n">
        <x:v>48</x:v>
      </x:c>
      <x:c r="I73" s="18" t="n">
        <x:v>50</x:v>
      </x:c>
      <x:c r="J73" s="18" t="n">
        <x:v>40</x:v>
      </x:c>
      <x:c r="K73" s="18" t="n">
        <x:v>60</x:v>
      </x:c>
      <x:c r="L73" s="18" t="n">
        <x:v>60</x:v>
      </x:c>
      <x:c r="M73" s="18" t="n">
        <x:v>50</x:v>
      </x:c>
      <x:c r="N73" s="18" t="n">
        <x:v>20</x:v>
      </x:c>
      <x:c r="O73" s="18" t="n">
        <x:v>48</x:v>
      </x:c>
      <x:c r="P73" s="18" t="n">
        <x:v>59</x:v>
      </x:c>
      <x:c r="Q73" t="str">
        <x:v>No</x:v>
      </x:c>
      <x:c r="R73" s="18" t="n">
        <x:v>2</x:v>
      </x:c>
      <x:c r="S73" s="18" t="n">
        <x:v>2</x:v>
      </x:c>
      <x:c r="T73" s="18" t="n">
        <x:v>0</x:v>
      </x:c>
      <x:c r="U73" t="str">
        <x:v>Bad</x:v>
      </x:c>
      <x:c r="V73" t="str">
        <x:v>No</x:v>
      </x:c>
      <x:c r="W73" t="str">
        <x:v>WEAK</x:v>
      </x:c>
      <x:c r="X73" t="str">
        <x:v>REWRITE_REQUIRED</x:v>
      </x:c>
      <x:c r="Y73" t="n">
        <x:v>80</x:v>
      </x:c>
      <x:c r="Z73" t="str">
        <x:v>Success</x:v>
      </x:c>
      <x:c r="AA73"/>
      <x:c r="AB73"/>
      <x:c r="AC73" s="13"/>
      <x:c r="AD73" t="n">
        <x:v>0</x:v>
      </x:c>
      <x:c r="AE73" s="19" t="n">
        <x:v>87175</x:v>
      </x:c>
      <x:c r="AF73" t="str">
        <x:v>deepseek-v4-pro</x:v>
      </x:c>
      <x:c r="AG73" s="20" t="n">
        <x:v>46225.227803518515</x:v>
      </x:c>
      <x:c r="AH73" t="n">
        <x:v>200</x:v>
      </x:c>
      <x:c r="AI73" t="str">
        <x:v>36ce77a5f9d62d1695951a160165131d6bd13c6fec1686fa4193cafbee7e88f9</x:v>
      </x:c>
      <x:c r="AJ73" t="str">
        <x:v>99e55c13b29cbadc235b4f0a7b22308079cd00d971954f9264c02b407e0220b5</x:v>
      </x:c>
    </x:row>
    <x:row r="74">
      <x:c r="A74" s="17" t="str">
        <x:v>073</x:v>
      </x:c>
      <x:c r="B74" t="str">
        <x:v>ZH-NORMAL-013</x:v>
      </x:c>
      <x:c r="C74" s="17" t="str">
        <x:v>013</x:v>
      </x:c>
      <x:c r="D74" t="str">
        <x:v>Normal</x:v>
      </x:c>
      <x:c r="E74" t="n">
        <x:v>50</x:v>
      </x:c>
      <x:c r="F74" t="n">
        <x:v>69</x:v>
      </x:c>
      <x:c r="G74" t="n">
        <x:v>1</x:v>
      </x:c>
      <x:c r="H74" s="18" t="n">
        <x:v>59</x:v>
      </x:c>
      <x:c r="I74" s="18" t="n">
        <x:v>55</x:v>
      </x:c>
      <x:c r="J74" s="18" t="n">
        <x:v>60</x:v>
      </x:c>
      <x:c r="K74" s="18" t="n">
        <x:v>80</x:v>
      </x:c>
      <x:c r="L74" s="18" t="n">
        <x:v>90</x:v>
      </x:c>
      <x:c r="M74" s="18" t="n">
        <x:v>50</x:v>
      </x:c>
      <x:c r="N74" s="18" t="n">
        <x:v>45</x:v>
      </x:c>
      <x:c r="O74" s="18" t="n">
        <x:v>63</x:v>
      </x:c>
      <x:c r="P74" s="18" t="n">
        <x:v>59</x:v>
      </x:c>
      <x:c r="Q74" t="str">
        <x:v>Yes</x:v>
      </x:c>
      <x:c r="R74" s="18" t="n">
        <x:v>0</x:v>
      </x:c>
      <x:c r="S74" s="18" t="n">
        <x:v>0</x:v>
      </x:c>
      <x:c r="T74" s="18" t="n">
        <x:v>0</x:v>
      </x:c>
      <x:c r="U74" t="str">
        <x:v>Normal</x:v>
      </x:c>
      <x:c r="V74" t="str">
        <x:v>Yes</x:v>
      </x:c>
      <x:c r="W74" t="str">
        <x:v>WEAK</x:v>
      </x:c>
      <x:c r="X74" t="str">
        <x:v>REWRITE_REQUIRED</x:v>
      </x:c>
      <x:c r="Y74" t="n">
        <x:v>80</x:v>
      </x:c>
      <x:c r="Z74" t="str">
        <x:v>Success</x:v>
      </x:c>
      <x:c r="AA74"/>
      <x:c r="AB74"/>
      <x:c r="AC74" s="13"/>
      <x:c r="AD74" t="n">
        <x:v>0</x:v>
      </x:c>
      <x:c r="AE74" s="19" t="n">
        <x:v>96385</x:v>
      </x:c>
      <x:c r="AF74" t="str">
        <x:v>deepseek-v4-pro</x:v>
      </x:c>
      <x:c r="AG74" s="20" t="n">
        <x:v>46225.2289191088</x:v>
      </x:c>
      <x:c r="AH74" t="n">
        <x:v>200</x:v>
      </x:c>
      <x:c r="AI74" t="str">
        <x:v>f78e8cb1287fbbf0fea4da32d9ccef5bf841a5452a1f8541b2ba319818a7c644</x:v>
      </x:c>
      <x:c r="AJ74" t="str">
        <x:v>99e55c13b29cbadc235b4f0a7b22308079cd00d971954f9264c02b407e0220b5</x:v>
      </x:c>
    </x:row>
    <x:row r="75">
      <x:c r="A75" s="17" t="str">
        <x:v>074</x:v>
      </x:c>
      <x:c r="B75" t="str">
        <x:v>ZH-NORMAL-014</x:v>
      </x:c>
      <x:c r="C75" s="17" t="str">
        <x:v>014</x:v>
      </x:c>
      <x:c r="D75" t="str">
        <x:v>Normal</x:v>
      </x:c>
      <x:c r="E75" t="n">
        <x:v>50</x:v>
      </x:c>
      <x:c r="F75" t="n">
        <x:v>69</x:v>
      </x:c>
      <x:c r="G75" t="n">
        <x:v>1</x:v>
      </x:c>
      <x:c r="H75" s="18" t="n">
        <x:v>59</x:v>
      </x:c>
      <x:c r="I75" s="18" t="n">
        <x:v>78</x:v>
      </x:c>
      <x:c r="J75" s="18" t="n">
        <x:v>92</x:v>
      </x:c>
      <x:c r="K75" s="18" t="n">
        <x:v>90</x:v>
      </x:c>
      <x:c r="L75" s="18" t="n">
        <x:v>95</x:v>
      </x:c>
      <x:c r="M75" s="18" t="n">
        <x:v>60</x:v>
      </x:c>
      <x:c r="N75" s="18" t="n">
        <x:v>45</x:v>
      </x:c>
      <x:c r="O75" s="18" t="n">
        <x:v>79</x:v>
      </x:c>
      <x:c r="P75" s="18" t="n">
        <x:v>59</x:v>
      </x:c>
      <x:c r="Q75" t="str">
        <x:v>Yes</x:v>
      </x:c>
      <x:c r="R75" s="18" t="n">
        <x:v>0</x:v>
      </x:c>
      <x:c r="S75" s="18" t="n">
        <x:v>0</x:v>
      </x:c>
      <x:c r="T75" s="18" t="n">
        <x:v>0</x:v>
      </x:c>
      <x:c r="U75" t="str">
        <x:v>Normal</x:v>
      </x:c>
      <x:c r="V75" t="str">
        <x:v>Yes</x:v>
      </x:c>
      <x:c r="W75" t="str">
        <x:v>WEAK</x:v>
      </x:c>
      <x:c r="X75" t="str">
        <x:v>REWRITE_REQUIRED</x:v>
      </x:c>
      <x:c r="Y75" t="n">
        <x:v>80</x:v>
      </x:c>
      <x:c r="Z75" t="str">
        <x:v>Success</x:v>
      </x:c>
      <x:c r="AA75"/>
      <x:c r="AB75"/>
      <x:c r="AC75" s="13"/>
      <x:c r="AD75" t="n">
        <x:v>0</x:v>
      </x:c>
      <x:c r="AE75" s="19" t="n">
        <x:v>130720</x:v>
      </x:c>
      <x:c r="AF75" t="str">
        <x:v>deepseek-v4-pro</x:v>
      </x:c>
      <x:c r="AG75" s="20" t="n">
        <x:v>46225.23043210648</x:v>
      </x:c>
      <x:c r="AH75" t="n">
        <x:v>200</x:v>
      </x:c>
      <x:c r="AI75" t="str">
        <x:v>c5fb82a366bce38f6f16f5759ec07b058beb52f076850ea91a8f2d0282a7c9c3</x:v>
      </x:c>
      <x:c r="AJ75" t="str">
        <x:v>99e55c13b29cbadc235b4f0a7b22308079cd00d971954f9264c02b407e0220b5</x:v>
      </x:c>
    </x:row>
    <x:row r="76">
      <x:c r="A76" s="17" t="str">
        <x:v>075</x:v>
      </x:c>
      <x:c r="B76" t="str">
        <x:v>ZH-NORMAL-015</x:v>
      </x:c>
      <x:c r="C76" s="17" t="str">
        <x:v>015</x:v>
      </x:c>
      <x:c r="D76" t="str">
        <x:v>Normal</x:v>
      </x:c>
      <x:c r="E76" t="n">
        <x:v>50</x:v>
      </x:c>
      <x:c r="F76" t="n">
        <x:v>69</x:v>
      </x:c>
      <x:c r="G76" t="n">
        <x:v>1</x:v>
      </x:c>
      <x:c r="H76" s="18" t="n">
        <x:v>59</x:v>
      </x:c>
      <x:c r="I76" s="18" t="n">
        <x:v>55</x:v>
      </x:c>
      <x:c r="J76" s="18" t="n">
        <x:v>75</x:v>
      </x:c>
      <x:c r="K76" s="18" t="n">
        <x:v>88</x:v>
      </x:c>
      <x:c r="L76" s="18" t="n">
        <x:v>90</x:v>
      </x:c>
      <x:c r="M76" s="18" t="n">
        <x:v>62</x:v>
      </x:c>
      <x:c r="N76" s="18" t="n">
        <x:v>25</x:v>
      </x:c>
      <x:c r="O76" s="18" t="n">
        <x:v>67</x:v>
      </x:c>
      <x:c r="P76" s="18" t="n">
        <x:v>59</x:v>
      </x:c>
      <x:c r="Q76" t="str">
        <x:v>Yes</x:v>
      </x:c>
      <x:c r="R76" s="18" t="n">
        <x:v>0</x:v>
      </x:c>
      <x:c r="S76" s="18" t="n">
        <x:v>0</x:v>
      </x:c>
      <x:c r="T76" s="18" t="n">
        <x:v>0</x:v>
      </x:c>
      <x:c r="U76" t="str">
        <x:v>Normal</x:v>
      </x:c>
      <x:c r="V76" t="str">
        <x:v>Yes</x:v>
      </x:c>
      <x:c r="W76" t="str">
        <x:v>WEAK</x:v>
      </x:c>
      <x:c r="X76" t="str">
        <x:v>REWRITE_REQUIRED</x:v>
      </x:c>
      <x:c r="Y76" t="n">
        <x:v>80</x:v>
      </x:c>
      <x:c r="Z76" t="str">
        <x:v>Success</x:v>
      </x:c>
      <x:c r="AA76"/>
      <x:c r="AB76"/>
      <x:c r="AC76" s="13"/>
      <x:c r="AD76" t="n">
        <x:v>0</x:v>
      </x:c>
      <x:c r="AE76" s="19" t="n">
        <x:v>116194</x:v>
      </x:c>
      <x:c r="AF76" t="str">
        <x:v>deepseek-v4-pro</x:v>
      </x:c>
      <x:c r="AG76" s="20" t="n">
        <x:v>46225.23177697917</x:v>
      </x:c>
      <x:c r="AH76" t="n">
        <x:v>200</x:v>
      </x:c>
      <x:c r="AI76" t="str">
        <x:v>07f5cf88a4d200bb60a13bdbd455fba77788dd21ba187cc7f3a83f8bd7618941</x:v>
      </x:c>
      <x:c r="AJ76" t="str">
        <x:v>99e55c13b29cbadc235b4f0a7b22308079cd00d971954f9264c02b407e0220b5</x:v>
      </x:c>
    </x:row>
    <x:row r="77">
      <x:c r="A77" s="17" t="str">
        <x:v>076</x:v>
      </x:c>
      <x:c r="B77" t="str">
        <x:v>ZH-NORMAL-016</x:v>
      </x:c>
      <x:c r="C77" s="17" t="str">
        <x:v>016</x:v>
      </x:c>
      <x:c r="D77" t="str">
        <x:v>Normal</x:v>
      </x:c>
      <x:c r="E77" t="n">
        <x:v>50</x:v>
      </x:c>
      <x:c r="F77" t="n">
        <x:v>69</x:v>
      </x:c>
      <x:c r="G77" t="n">
        <x:v>1</x:v>
      </x:c>
      <x:c r="H77" s="18" t="n">
        <x:v>59</x:v>
      </x:c>
      <x:c r="I77" s="18" t="n">
        <x:v>50</x:v>
      </x:c>
      <x:c r="J77" s="18" t="n">
        <x:v>62</x:v>
      </x:c>
      <x:c r="K77" s="18" t="n">
        <x:v>78</x:v>
      </x:c>
      <x:c r="L77" s="18" t="n">
        <x:v>85</x:v>
      </x:c>
      <x:c r="M77" s="18" t="n">
        <x:v>50</x:v>
      </x:c>
      <x:c r="N77" s="18" t="n">
        <x:v>35</x:v>
      </x:c>
      <x:c r="O77" s="18" t="n">
        <x:v>60</x:v>
      </x:c>
      <x:c r="P77" s="18" t="n">
        <x:v>59</x:v>
      </x:c>
      <x:c r="Q77" t="str">
        <x:v>Yes</x:v>
      </x:c>
      <x:c r="R77" s="18" t="n">
        <x:v>0</x:v>
      </x:c>
      <x:c r="S77" s="18" t="n">
        <x:v>0</x:v>
      </x:c>
      <x:c r="T77" s="18" t="n">
        <x:v>0</x:v>
      </x:c>
      <x:c r="U77" t="str">
        <x:v>Normal</x:v>
      </x:c>
      <x:c r="V77" t="str">
        <x:v>Yes</x:v>
      </x:c>
      <x:c r="W77" t="str">
        <x:v>WEAK</x:v>
      </x:c>
      <x:c r="X77" t="str">
        <x:v>REWRITE_REQUIRED</x:v>
      </x:c>
      <x:c r="Y77" t="n">
        <x:v>80</x:v>
      </x:c>
      <x:c r="Z77" t="str">
        <x:v>Success</x:v>
      </x:c>
      <x:c r="AA77"/>
      <x:c r="AB77"/>
      <x:c r="AC77" s="13"/>
      <x:c r="AD77" t="n">
        <x:v>0</x:v>
      </x:c>
      <x:c r="AE77" s="19" t="n">
        <x:v>105062</x:v>
      </x:c>
      <x:c r="AF77" t="str">
        <x:v>deepseek-v4-pro</x:v>
      </x:c>
      <x:c r="AG77" s="20" t="n">
        <x:v>46225.232992997684</x:v>
      </x:c>
      <x:c r="AH77" t="n">
        <x:v>200</x:v>
      </x:c>
      <x:c r="AI77" t="str">
        <x:v>4b0f103bac948103b20a06cb51f7521a0af5eec157cc0376dd25948c93252277</x:v>
      </x:c>
      <x:c r="AJ77" t="str">
        <x:v>99e55c13b29cbadc235b4f0a7b22308079cd00d971954f9264c02b407e0220b5</x:v>
      </x:c>
    </x:row>
    <x:row r="78">
      <x:c r="A78" s="17" t="str">
        <x:v>077</x:v>
      </x:c>
      <x:c r="B78" t="str">
        <x:v>ZH-NORMAL-017</x:v>
      </x:c>
      <x:c r="C78" s="17" t="str">
        <x:v>017</x:v>
      </x:c>
      <x:c r="D78" t="str">
        <x:v>Normal</x:v>
      </x:c>
      <x:c r="E78" t="n">
        <x:v>50</x:v>
      </x:c>
      <x:c r="F78" t="n">
        <x:v>69</x:v>
      </x:c>
      <x:c r="G78" t="n">
        <x:v>1</x:v>
      </x:c>
      <x:c r="H78" s="18" t="n">
        <x:v>86</x:v>
      </x:c>
      <x:c r="I78" s="18" t="n">
        <x:v>85</x:v>
      </x:c>
      <x:c r="J78" s="18" t="n">
        <x:v>75</x:v>
      </x:c>
      <x:c r="K78" s="18" t="n">
        <x:v>85</x:v>
      </x:c>
      <x:c r="L78" s="18" t="n">
        <x:v>90</x:v>
      </x:c>
      <x:c r="M78" s="18" t="n">
        <x:v>95</x:v>
      </x:c>
      <x:c r="N78" s="18" t="n">
        <x:v>90</x:v>
      </x:c>
      <x:c r="O78" s="18" t="n">
        <x:v>86</x:v>
      </x:c>
      <x:c r="P78" s="18" t="n">
        <x:v>89</x:v>
      </x:c>
      <x:c r="Q78" t="str">
        <x:v>No</x:v>
      </x:c>
      <x:c r="R78" s="18" t="n">
        <x:v>17</x:v>
      </x:c>
      <x:c r="S78" s="18" t="n">
        <x:v>0</x:v>
      </x:c>
      <x:c r="T78" s="18" t="n">
        <x:v>17</x:v>
      </x:c>
      <x:c r="U78" t="str">
        <x:v>Excellent</x:v>
      </x:c>
      <x:c r="V78" t="str">
        <x:v>No</x:v>
      </x:c>
      <x:c r="W78" t="str">
        <x:v>STRONG_LIMITED_EDITING</x:v>
      </x:c>
      <x:c r="X78" t="str">
        <x:v>PASS</x:v>
      </x:c>
      <x:c r="Y78" t="n">
        <x:v>80</x:v>
      </x:c>
      <x:c r="Z78" t="str">
        <x:v>Success</x:v>
      </x:c>
      <x:c r="AA78"/>
      <x:c r="AB78"/>
      <x:c r="AC78" s="13"/>
      <x:c r="AD78" t="n">
        <x:v>0</x:v>
      </x:c>
      <x:c r="AE78" s="19" t="n">
        <x:v>134691</x:v>
      </x:c>
      <x:c r="AF78" t="str">
        <x:v>deepseek-v4-pro</x:v>
      </x:c>
      <x:c r="AG78" s="20" t="n">
        <x:v>46225.23455195602</x:v>
      </x:c>
      <x:c r="AH78" t="n">
        <x:v>200</x:v>
      </x:c>
      <x:c r="AI78" t="str">
        <x:v>7d9ead37ebd70cd01c4551e9ebd7339c98038357c8947dafbd28d9c51622ae59</x:v>
      </x:c>
      <x:c r="AJ78" t="str">
        <x:v>99e55c13b29cbadc235b4f0a7b22308079cd00d971954f9264c02b407e0220b5</x:v>
      </x:c>
    </x:row>
    <x:row r="79">
      <x:c r="A79" s="17" t="str">
        <x:v>078</x:v>
      </x:c>
      <x:c r="B79" t="str">
        <x:v>ZH-NORMAL-018</x:v>
      </x:c>
      <x:c r="C79" s="17" t="str">
        <x:v>018</x:v>
      </x:c>
      <x:c r="D79" t="str">
        <x:v>Normal</x:v>
      </x:c>
      <x:c r="E79" t="n">
        <x:v>50</x:v>
      </x:c>
      <x:c r="F79" t="n">
        <x:v>69</x:v>
      </x:c>
      <x:c r="G79" t="n">
        <x:v>1</x:v>
      </x:c>
      <x:c r="H79" s="18" t="n">
        <x:v>57</x:v>
      </x:c>
      <x:c r="I79" s="18" t="n">
        <x:v>40</x:v>
      </x:c>
      <x:c r="J79" s="18" t="n">
        <x:v>65</x:v>
      </x:c>
      <x:c r="K79" s="18" t="n">
        <x:v>78</x:v>
      </x:c>
      <x:c r="L79" s="18" t="n">
        <x:v>80</x:v>
      </x:c>
      <x:c r="M79" s="18" t="n">
        <x:v>50</x:v>
      </x:c>
      <x:c r="N79" s="18" t="n">
        <x:v>30</x:v>
      </x:c>
      <x:c r="O79" s="18" t="n">
        <x:v>57</x:v>
      </x:c>
      <x:c r="P79" s="18" t="n">
        <x:v>59</x:v>
      </x:c>
      <x:c r="Q79" t="str">
        <x:v>Yes</x:v>
      </x:c>
      <x:c r="R79" s="18" t="n">
        <x:v>0</x:v>
      </x:c>
      <x:c r="S79" s="18" t="n">
        <x:v>0</x:v>
      </x:c>
      <x:c r="T79" s="18" t="n">
        <x:v>0</x:v>
      </x:c>
      <x:c r="U79" t="str">
        <x:v>Normal</x:v>
      </x:c>
      <x:c r="V79" t="str">
        <x:v>Yes</x:v>
      </x:c>
      <x:c r="W79" t="str">
        <x:v>WEAK</x:v>
      </x:c>
      <x:c r="X79" t="str">
        <x:v>REWRITE_REQUIRED</x:v>
      </x:c>
      <x:c r="Y79" t="n">
        <x:v>80</x:v>
      </x:c>
      <x:c r="Z79" t="str">
        <x:v>Success</x:v>
      </x:c>
      <x:c r="AA79"/>
      <x:c r="AB79"/>
      <x:c r="AC79" s="13"/>
      <x:c r="AD79" t="n">
        <x:v>0</x:v>
      </x:c>
      <x:c r="AE79" s="19" t="n">
        <x:v>102034</x:v>
      </x:c>
      <x:c r="AF79" t="str">
        <x:v>deepseek-v4-pro</x:v>
      </x:c>
      <x:c r="AG79" s="20" t="n">
        <x:v>46225.235732939815</x:v>
      </x:c>
      <x:c r="AH79" t="n">
        <x:v>200</x:v>
      </x:c>
      <x:c r="AI79" t="str">
        <x:v>68eb21f0303bc11190d7c8c752b85bd551cd5b0ce7fff909a905fa29d97ad59b</x:v>
      </x:c>
      <x:c r="AJ79" t="str">
        <x:v>99e55c13b29cbadc235b4f0a7b22308079cd00d971954f9264c02b407e0220b5</x:v>
      </x:c>
    </x:row>
    <x:row r="80">
      <x:c r="A80" s="17" t="str">
        <x:v>079</x:v>
      </x:c>
      <x:c r="B80" t="str">
        <x:v>ZH-NORMAL-019</x:v>
      </x:c>
      <x:c r="C80" s="17" t="str">
        <x:v>019</x:v>
      </x:c>
      <x:c r="D80" t="str">
        <x:v>Normal</x:v>
      </x:c>
      <x:c r="E80" t="n">
        <x:v>50</x:v>
      </x:c>
      <x:c r="F80" t="n">
        <x:v>69</x:v>
      </x:c>
      <x:c r="G80" t="n">
        <x:v>1</x:v>
      </x:c>
      <x:c r="H80" s="18" t="n">
        <x:v>59</x:v>
      </x:c>
      <x:c r="I80" s="18" t="n">
        <x:v>55</x:v>
      </x:c>
      <x:c r="J80" s="18" t="n">
        <x:v>78</x:v>
      </x:c>
      <x:c r="K80" s="18" t="n">
        <x:v>80</x:v>
      </x:c>
      <x:c r="L80" s="18" t="n">
        <x:v>75</x:v>
      </x:c>
      <x:c r="M80" s="18" t="n">
        <x:v>59</x:v>
      </x:c>
      <x:c r="N80" s="18" t="n">
        <x:v>45</x:v>
      </x:c>
      <x:c r="O80" s="18" t="n">
        <x:v>66</x:v>
      </x:c>
      <x:c r="P80" s="18" t="n">
        <x:v>59</x:v>
      </x:c>
      <x:c r="Q80" t="str">
        <x:v>Yes</x:v>
      </x:c>
      <x:c r="R80" s="18" t="n">
        <x:v>0</x:v>
      </x:c>
      <x:c r="S80" s="18" t="n">
        <x:v>0</x:v>
      </x:c>
      <x:c r="T80" s="18" t="n">
        <x:v>0</x:v>
      </x:c>
      <x:c r="U80" t="str">
        <x:v>Normal</x:v>
      </x:c>
      <x:c r="V80" t="str">
        <x:v>Yes</x:v>
      </x:c>
      <x:c r="W80" t="str">
        <x:v>WEAK</x:v>
      </x:c>
      <x:c r="X80" t="str">
        <x:v>REWRITE_REQUIRED</x:v>
      </x:c>
      <x:c r="Y80" t="n">
        <x:v>80</x:v>
      </x:c>
      <x:c r="Z80" t="str">
        <x:v>Success</x:v>
      </x:c>
      <x:c r="AA80"/>
      <x:c r="AB80"/>
      <x:c r="AC80" s="13"/>
      <x:c r="AD80" t="n">
        <x:v>0</x:v>
      </x:c>
      <x:c r="AE80" s="19" t="n">
        <x:v>91068</x:v>
      </x:c>
      <x:c r="AF80" t="str">
        <x:v>deepseek-v4-pro</x:v>
      </x:c>
      <x:c r="AG80" s="20" t="n">
        <x:v>46225.23678699074</x:v>
      </x:c>
      <x:c r="AH80" t="n">
        <x:v>200</x:v>
      </x:c>
      <x:c r="AI80" t="str">
        <x:v>b49f2d0181dbfa5e21cd0987403bc7f89e06626ca3396b9d5f9367e787ffc1e1</x:v>
      </x:c>
      <x:c r="AJ80" t="str">
        <x:v>99e55c13b29cbadc235b4f0a7b22308079cd00d971954f9264c02b407e0220b5</x:v>
      </x:c>
    </x:row>
    <x:row r="81">
      <x:c r="A81" s="17" t="str">
        <x:v>080</x:v>
      </x:c>
      <x:c r="B81" t="str">
        <x:v>ZH-NORMAL-020</x:v>
      </x:c>
      <x:c r="C81" s="17" t="str">
        <x:v>020</x:v>
      </x:c>
      <x:c r="D81" t="str">
        <x:v>Normal</x:v>
      </x:c>
      <x:c r="E81" t="n">
        <x:v>50</x:v>
      </x:c>
      <x:c r="F81" t="n">
        <x:v>69</x:v>
      </x:c>
      <x:c r="G81" t="n">
        <x:v>1</x:v>
      </x:c>
      <x:c r="H81" s="18" t="n">
        <x:v>59</x:v>
      </x:c>
      <x:c r="I81" s="18" t="n">
        <x:v>58</x:v>
      </x:c>
      <x:c r="J81" s="18" t="n">
        <x:v>65</x:v>
      </x:c>
      <x:c r="K81" s="18" t="n">
        <x:v>90</x:v>
      </x:c>
      <x:c r="L81" s="18" t="n">
        <x:v>92</x:v>
      </x:c>
      <x:c r="M81" s="18" t="n">
        <x:v>50</x:v>
      </x:c>
      <x:c r="N81" s="18" t="n">
        <x:v>25</x:v>
      </x:c>
      <x:c r="O81" s="18" t="n">
        <x:v>65</x:v>
      </x:c>
      <x:c r="P81" s="18" t="n">
        <x:v>59</x:v>
      </x:c>
      <x:c r="Q81" t="str">
        <x:v>Yes</x:v>
      </x:c>
      <x:c r="R81" s="18" t="n">
        <x:v>0</x:v>
      </x:c>
      <x:c r="S81" s="18" t="n">
        <x:v>0</x:v>
      </x:c>
      <x:c r="T81" s="18" t="n">
        <x:v>0</x:v>
      </x:c>
      <x:c r="U81" t="str">
        <x:v>Normal</x:v>
      </x:c>
      <x:c r="V81" t="str">
        <x:v>Yes</x:v>
      </x:c>
      <x:c r="W81" t="str">
        <x:v>WEAK</x:v>
      </x:c>
      <x:c r="X81" t="str">
        <x:v>REWRITE_REQUIRED</x:v>
      </x:c>
      <x:c r="Y81" t="n">
        <x:v>80</x:v>
      </x:c>
      <x:c r="Z81" t="str">
        <x:v>Success</x:v>
      </x:c>
      <x:c r="AA81"/>
      <x:c r="AB81"/>
      <x:c r="AC81" s="13"/>
      <x:c r="AD81" t="n">
        <x:v>0</x:v>
      </x:c>
      <x:c r="AE81" s="19" t="n">
        <x:v>103444</x:v>
      </x:c>
      <x:c r="AF81" t="str">
        <x:v>deepseek-v4-pro</x:v>
      </x:c>
      <x:c r="AG81" s="20" t="n">
        <x:v>46225.237984293984</x:v>
      </x:c>
      <x:c r="AH81" t="n">
        <x:v>200</x:v>
      </x:c>
      <x:c r="AI81" t="str">
        <x:v>7bd5fa33a38777da1c740da3a81e8796fd7f7ff637c2898f22ec9eead2fe8c02</x:v>
      </x:c>
      <x:c r="AJ81" t="str">
        <x:v>99e55c13b29cbadc235b4f0a7b22308079cd00d971954f9264c02b407e0220b5</x:v>
      </x:c>
    </x:row>
    <x:row r="82">
      <x:c r="A82" s="17" t="str">
        <x:v>081</x:v>
      </x:c>
      <x:c r="B82" t="str">
        <x:v>ZH-NORMAL-021</x:v>
      </x:c>
      <x:c r="C82" s="17" t="str">
        <x:v>021</x:v>
      </x:c>
      <x:c r="D82" t="str">
        <x:v>Normal</x:v>
      </x:c>
      <x:c r="E82" t="n">
        <x:v>50</x:v>
      </x:c>
      <x:c r="F82" t="n">
        <x:v>69</x:v>
      </x:c>
      <x:c r="G82" t="n">
        <x:v>1</x:v>
      </x:c>
      <x:c r="H82" s="18" t="n">
        <x:v>73</x:v>
      </x:c>
      <x:c r="I82" s="18" t="n">
        <x:v>68</x:v>
      </x:c>
      <x:c r="J82" s="18" t="n">
        <x:v>70</x:v>
      </x:c>
      <x:c r="K82" s="18" t="n">
        <x:v>72</x:v>
      </x:c>
      <x:c r="L82" s="18" t="n">
        <x:v>78</x:v>
      </x:c>
      <x:c r="M82" s="18" t="n">
        <x:v>75</x:v>
      </x:c>
      <x:c r="N82" s="18" t="n">
        <x:v>78</x:v>
      </x:c>
      <x:c r="O82" s="18" t="n">
        <x:v>73</x:v>
      </x:c>
      <x:c r="P82" s="18" t="n">
        <x:v>74</x:v>
      </x:c>
      <x:c r="Q82" t="str">
        <x:v>No</x:v>
      </x:c>
      <x:c r="R82" s="18" t="n">
        <x:v>4</x:v>
      </x:c>
      <x:c r="S82" s="18" t="n">
        <x:v>0</x:v>
      </x:c>
      <x:c r="T82" s="18" t="n">
        <x:v>4</x:v>
      </x:c>
      <x:c r="U82" t="str">
        <x:v>Good</x:v>
      </x:c>
      <x:c r="V82" t="str">
        <x:v>No</x:v>
      </x:c>
      <x:c r="W82" t="str">
        <x:v>SUBSTANTIAL_REWRITE</x:v>
      </x:c>
      <x:c r="X82" t="str">
        <x:v>REWRITE_REQUIRED</x:v>
      </x:c>
      <x:c r="Y82" t="n">
        <x:v>80</x:v>
      </x:c>
      <x:c r="Z82" t="str">
        <x:v>Success</x:v>
      </x:c>
      <x:c r="AA82"/>
      <x:c r="AB82"/>
      <x:c r="AC82" s="13"/>
      <x:c r="AD82" t="n">
        <x:v>0</x:v>
      </x:c>
      <x:c r="AE82" s="19" t="n">
        <x:v>143364</x:v>
      </x:c>
      <x:c r="AF82" t="str">
        <x:v>deepseek-v4-pro</x:v>
      </x:c>
      <x:c r="AG82" s="20" t="n">
        <x:v>46225.239643622685</x:v>
      </x:c>
      <x:c r="AH82" t="n">
        <x:v>200</x:v>
      </x:c>
      <x:c r="AI82" t="str">
        <x:v>4cd277d020058f2b277eba9bff4cc7b4c29b878d581aeee426e1de0caddfb0f4</x:v>
      </x:c>
      <x:c r="AJ82" t="str">
        <x:v>99e55c13b29cbadc235b4f0a7b22308079cd00d971954f9264c02b407e0220b5</x:v>
      </x:c>
    </x:row>
    <x:row r="83">
      <x:c r="A83" s="17" t="str">
        <x:v>082</x:v>
      </x:c>
      <x:c r="B83" t="str">
        <x:v>ZH-NORMAL-022</x:v>
      </x:c>
      <x:c r="C83" s="17" t="str">
        <x:v>022</x:v>
      </x:c>
      <x:c r="D83" t="str">
        <x:v>Normal</x:v>
      </x:c>
      <x:c r="E83" t="n">
        <x:v>50</x:v>
      </x:c>
      <x:c r="F83" t="n">
        <x:v>69</x:v>
      </x:c>
      <x:c r="G83" t="n">
        <x:v>1</x:v>
      </x:c>
      <x:c r="H83" s="18" t="n">
        <x:v>59</x:v>
      </x:c>
      <x:c r="I83" s="18" t="n">
        <x:v>55</x:v>
      </x:c>
      <x:c r="J83" s="18" t="n">
        <x:v>78</x:v>
      </x:c>
      <x:c r="K83" s="18" t="n">
        <x:v>82</x:v>
      </x:c>
      <x:c r="L83" s="18" t="n">
        <x:v>85</x:v>
      </x:c>
      <x:c r="M83" s="18" t="n">
        <x:v>55</x:v>
      </x:c>
      <x:c r="N83" s="18" t="n">
        <x:v>40</x:v>
      </x:c>
      <x:c r="O83" s="18" t="n">
        <x:v>67</x:v>
      </x:c>
      <x:c r="P83" s="18" t="n">
        <x:v>59</x:v>
      </x:c>
      <x:c r="Q83" t="str">
        <x:v>Yes</x:v>
      </x:c>
      <x:c r="R83" s="18" t="n">
        <x:v>0</x:v>
      </x:c>
      <x:c r="S83" s="18" t="n">
        <x:v>0</x:v>
      </x:c>
      <x:c r="T83" s="18" t="n">
        <x:v>0</x:v>
      </x:c>
      <x:c r="U83" t="str">
        <x:v>Normal</x:v>
      </x:c>
      <x:c r="V83" t="str">
        <x:v>Yes</x:v>
      </x:c>
      <x:c r="W83" t="str">
        <x:v>WEAK</x:v>
      </x:c>
      <x:c r="X83" t="str">
        <x:v>REWRITE_REQUIRED</x:v>
      </x:c>
      <x:c r="Y83" t="n">
        <x:v>80</x:v>
      </x:c>
      <x:c r="Z83" t="str">
        <x:v>Success</x:v>
      </x:c>
      <x:c r="AA83"/>
      <x:c r="AB83"/>
      <x:c r="AC83" s="13"/>
      <x:c r="AD83" t="n">
        <x:v>0</x:v>
      </x:c>
      <x:c r="AE83" s="19" t="n">
        <x:v>132052</x:v>
      </x:c>
      <x:c r="AF83" t="str">
        <x:v>deepseek-v4-pro</x:v>
      </x:c>
      <x:c r="AG83" s="20" t="n">
        <x:v>46225.24117203704</x:v>
      </x:c>
      <x:c r="AH83" t="n">
        <x:v>200</x:v>
      </x:c>
      <x:c r="AI83" t="str">
        <x:v>69ec0e71397518df05377e08c4e5c265d9c4d2e08c0a046b30a628365c7041b7</x:v>
      </x:c>
      <x:c r="AJ83" t="str">
        <x:v>99e55c13b29cbadc235b4f0a7b22308079cd00d971954f9264c02b407e0220b5</x:v>
      </x:c>
    </x:row>
    <x:row r="84">
      <x:c r="A84" s="17" t="str">
        <x:v>083</x:v>
      </x:c>
      <x:c r="B84" t="str">
        <x:v>ZH-NORMAL-023</x:v>
      </x:c>
      <x:c r="C84" s="17" t="str">
        <x:v>023</x:v>
      </x:c>
      <x:c r="D84" t="str">
        <x:v>Normal</x:v>
      </x:c>
      <x:c r="E84" t="n">
        <x:v>50</x:v>
      </x:c>
      <x:c r="F84" t="n">
        <x:v>69</x:v>
      </x:c>
      <x:c r="G84" t="n">
        <x:v>1</x:v>
      </x:c>
      <x:c r="H84" s="18" t="n">
        <x:v>59</x:v>
      </x:c>
      <x:c r="I84" s="18" t="n">
        <x:v>55</x:v>
      </x:c>
      <x:c r="J84" s="18" t="n">
        <x:v>80</x:v>
      </x:c>
      <x:c r="K84" s="18" t="n">
        <x:v>85</x:v>
      </x:c>
      <x:c r="L84" s="18" t="n">
        <x:v>90</x:v>
      </x:c>
      <x:c r="M84" s="18" t="n">
        <x:v>55</x:v>
      </x:c>
      <x:c r="N84" s="18" t="n">
        <x:v>25</x:v>
      </x:c>
      <x:c r="O84" s="18" t="n">
        <x:v>67</x:v>
      </x:c>
      <x:c r="P84" s="18" t="n">
        <x:v>59</x:v>
      </x:c>
      <x:c r="Q84" t="str">
        <x:v>Yes</x:v>
      </x:c>
      <x:c r="R84" s="18" t="n">
        <x:v>0</x:v>
      </x:c>
      <x:c r="S84" s="18" t="n">
        <x:v>0</x:v>
      </x:c>
      <x:c r="T84" s="18" t="n">
        <x:v>0</x:v>
      </x:c>
      <x:c r="U84" t="str">
        <x:v>Normal</x:v>
      </x:c>
      <x:c r="V84" t="str">
        <x:v>Yes</x:v>
      </x:c>
      <x:c r="W84" t="str">
        <x:v>WEAK</x:v>
      </x:c>
      <x:c r="X84" t="str">
        <x:v>REWRITE_REQUIRED</x:v>
      </x:c>
      <x:c r="Y84" t="n">
        <x:v>80</x:v>
      </x:c>
      <x:c r="Z84" t="str">
        <x:v>Success</x:v>
      </x:c>
      <x:c r="AA84"/>
      <x:c r="AB84"/>
      <x:c r="AC84" s="13"/>
      <x:c r="AD84" t="n">
        <x:v>0</x:v>
      </x:c>
      <x:c r="AE84" s="19" t="n">
        <x:v>115417</x:v>
      </x:c>
      <x:c r="AF84" t="str">
        <x:v>deepseek-v4-pro</x:v>
      </x:c>
      <x:c r="AG84" s="20" t="n">
        <x:v>46225.242507916664</x:v>
      </x:c>
      <x:c r="AH84" t="n">
        <x:v>200</x:v>
      </x:c>
      <x:c r="AI84" t="str">
        <x:v>8dbd7956c567bf86e5b28c80d50d23fd3e0c412502ea41d515898be949c976c4</x:v>
      </x:c>
      <x:c r="AJ84" t="str">
        <x:v>99e55c13b29cbadc235b4f0a7b22308079cd00d971954f9264c02b407e0220b5</x:v>
      </x:c>
    </x:row>
    <x:row r="85">
      <x:c r="A85" s="17" t="str">
        <x:v>084</x:v>
      </x:c>
      <x:c r="B85" t="str">
        <x:v>ZH-NORMAL-024</x:v>
      </x:c>
      <x:c r="C85" s="17" t="str">
        <x:v>024</x:v>
      </x:c>
      <x:c r="D85" t="str">
        <x:v>Normal</x:v>
      </x:c>
      <x:c r="E85" t="n">
        <x:v>50</x:v>
      </x:c>
      <x:c r="F85" t="n">
        <x:v>69</x:v>
      </x:c>
      <x:c r="G85" t="n">
        <x:v>1</x:v>
      </x:c>
      <x:c r="H85" s="18" t="n">
        <x:v>59</x:v>
      </x:c>
      <x:c r="I85" s="18" t="n">
        <x:v>55</x:v>
      </x:c>
      <x:c r="J85" s="18" t="n">
        <x:v>80</x:v>
      </x:c>
      <x:c r="K85" s="18" t="n">
        <x:v>75</x:v>
      </x:c>
      <x:c r="L85" s="18" t="n">
        <x:v>65</x:v>
      </x:c>
      <x:c r="M85" s="18" t="n">
        <x:v>55</x:v>
      </x:c>
      <x:c r="N85" s="18" t="n">
        <x:v>20</x:v>
      </x:c>
      <x:c r="O85" s="18" t="n">
        <x:v>61</x:v>
      </x:c>
      <x:c r="P85" s="18" t="n">
        <x:v>59</x:v>
      </x:c>
      <x:c r="Q85" t="str">
        <x:v>Yes</x:v>
      </x:c>
      <x:c r="R85" s="18" t="n">
        <x:v>0</x:v>
      </x:c>
      <x:c r="S85" s="18" t="n">
        <x:v>0</x:v>
      </x:c>
      <x:c r="T85" s="18" t="n">
        <x:v>0</x:v>
      </x:c>
      <x:c r="U85" t="str">
        <x:v>Normal</x:v>
      </x:c>
      <x:c r="V85" t="str">
        <x:v>Yes</x:v>
      </x:c>
      <x:c r="W85" t="str">
        <x:v>WEAK</x:v>
      </x:c>
      <x:c r="X85" t="str">
        <x:v>REWRITE_REQUIRED</x:v>
      </x:c>
      <x:c r="Y85" t="n">
        <x:v>80</x:v>
      </x:c>
      <x:c r="Z85" t="str">
        <x:v>Success</x:v>
      </x:c>
      <x:c r="AA85"/>
      <x:c r="AB85"/>
      <x:c r="AC85" s="13"/>
      <x:c r="AD85" t="n">
        <x:v>0</x:v>
      </x:c>
      <x:c r="AE85" s="19" t="n">
        <x:v>108629</x:v>
      </x:c>
      <x:c r="AF85" t="str">
        <x:v>deepseek-v4-pro</x:v>
      </x:c>
      <x:c r="AG85" s="20" t="n">
        <x:v>46225.24376521991</x:v>
      </x:c>
      <x:c r="AH85" t="n">
        <x:v>200</x:v>
      </x:c>
      <x:c r="AI85" t="str">
        <x:v>9615b6a849f6041a7d6584ea822f1ac604abaeec00a3b9f61a69c78013562f7b</x:v>
      </x:c>
      <x:c r="AJ85" t="str">
        <x:v>99e55c13b29cbadc235b4f0a7b22308079cd00d971954f9264c02b407e0220b5</x:v>
      </x:c>
    </x:row>
    <x:row r="86">
      <x:c r="A86" s="17" t="str">
        <x:v>085</x:v>
      </x:c>
      <x:c r="B86" t="str">
        <x:v>ZH-NORMAL-025</x:v>
      </x:c>
      <x:c r="C86" s="17" t="str">
        <x:v>025</x:v>
      </x:c>
      <x:c r="D86" t="str">
        <x:v>Normal</x:v>
      </x:c>
      <x:c r="E86" t="n">
        <x:v>50</x:v>
      </x:c>
      <x:c r="F86" t="n">
        <x:v>69</x:v>
      </x:c>
      <x:c r="G86" t="n">
        <x:v>1</x:v>
      </x:c>
      <x:c r="H86" s="18" t="n">
        <x:v>56</x:v>
      </x:c>
      <x:c r="I86" s="18" t="n">
        <x:v>45</x:v>
      </x:c>
      <x:c r="J86" s="18" t="n">
        <x:v>70</x:v>
      </x:c>
      <x:c r="K86" s="18" t="n">
        <x:v>65</x:v>
      </x:c>
      <x:c r="L86" s="18" t="n">
        <x:v>70</x:v>
      </x:c>
      <x:c r="M86" s="18" t="n">
        <x:v>55</x:v>
      </x:c>
      <x:c r="N86" s="18" t="n">
        <x:v>20</x:v>
      </x:c>
      <x:c r="O86" s="18" t="n">
        <x:v>56</x:v>
      </x:c>
      <x:c r="P86" s="18" t="n">
        <x:v>59</x:v>
      </x:c>
      <x:c r="Q86" t="str">
        <x:v>Yes</x:v>
      </x:c>
      <x:c r="R86" s="18" t="n">
        <x:v>0</x:v>
      </x:c>
      <x:c r="S86" s="18" t="n">
        <x:v>0</x:v>
      </x:c>
      <x:c r="T86" s="18" t="n">
        <x:v>0</x:v>
      </x:c>
      <x:c r="U86" t="str">
        <x:v>Normal</x:v>
      </x:c>
      <x:c r="V86" t="str">
        <x:v>Yes</x:v>
      </x:c>
      <x:c r="W86" t="str">
        <x:v>WEAK</x:v>
      </x:c>
      <x:c r="X86" t="str">
        <x:v>REWRITE_REQUIRED</x:v>
      </x:c>
      <x:c r="Y86" t="n">
        <x:v>80</x:v>
      </x:c>
      <x:c r="Z86" t="str">
        <x:v>Success</x:v>
      </x:c>
      <x:c r="AA86"/>
      <x:c r="AB86"/>
      <x:c r="AC86" s="13"/>
      <x:c r="AD86" t="n">
        <x:v>0</x:v>
      </x:c>
      <x:c r="AE86" s="19" t="n">
        <x:v>125768</x:v>
      </x:c>
      <x:c r="AF86" t="str">
        <x:v>deepseek-v4-pro</x:v>
      </x:c>
      <x:c r="AG86" s="20" t="n">
        <x:v>46225.245220902776</x:v>
      </x:c>
      <x:c r="AH86" t="n">
        <x:v>200</x:v>
      </x:c>
      <x:c r="AI86" t="str">
        <x:v>080af9403a5c6c1c5985ecfe8415c59e096aee199d16cd6a075ba9a369c488c6</x:v>
      </x:c>
      <x:c r="AJ86" t="str">
        <x:v>99e55c13b29cbadc235b4f0a7b22308079cd00d971954f9264c02b407e0220b5</x:v>
      </x:c>
    </x:row>
    <x:row r="87">
      <x:c r="A87" s="17" t="str">
        <x:v>086</x:v>
      </x:c>
      <x:c r="B87" t="str">
        <x:v>ZH-NORMAL-026</x:v>
      </x:c>
      <x:c r="C87" s="17" t="str">
        <x:v>026</x:v>
      </x:c>
      <x:c r="D87" t="str">
        <x:v>Normal</x:v>
      </x:c>
      <x:c r="E87" t="n">
        <x:v>50</x:v>
      </x:c>
      <x:c r="F87" t="n">
        <x:v>69</x:v>
      </x:c>
      <x:c r="G87" t="n">
        <x:v>1</x:v>
      </x:c>
      <x:c r="H87" s="18" t="n">
        <x:v>59</x:v>
      </x:c>
      <x:c r="I87" s="18" t="n">
        <x:v>60</x:v>
      </x:c>
      <x:c r="J87" s="18" t="n">
        <x:v>80</x:v>
      </x:c>
      <x:c r="K87" s="18" t="n">
        <x:v>80</x:v>
      </x:c>
      <x:c r="L87" s="18" t="n">
        <x:v>75</x:v>
      </x:c>
      <x:c r="M87" s="18" t="n">
        <x:v>70</x:v>
      </x:c>
      <x:c r="N87" s="18" t="n">
        <x:v>30</x:v>
      </x:c>
      <x:c r="O87" s="18" t="n">
        <x:v>68</x:v>
      </x:c>
      <x:c r="P87" s="18" t="n">
        <x:v>59</x:v>
      </x:c>
      <x:c r="Q87" t="str">
        <x:v>Yes</x:v>
      </x:c>
      <x:c r="R87" s="18" t="n">
        <x:v>0</x:v>
      </x:c>
      <x:c r="S87" s="18" t="n">
        <x:v>0</x:v>
      </x:c>
      <x:c r="T87" s="18" t="n">
        <x:v>0</x:v>
      </x:c>
      <x:c r="U87" t="str">
        <x:v>Normal</x:v>
      </x:c>
      <x:c r="V87" t="str">
        <x:v>Yes</x:v>
      </x:c>
      <x:c r="W87" t="str">
        <x:v>WEAK</x:v>
      </x:c>
      <x:c r="X87" t="str">
        <x:v>REWRITE_REQUIRED</x:v>
      </x:c>
      <x:c r="Y87" t="n">
        <x:v>80</x:v>
      </x:c>
      <x:c r="Z87" t="str">
        <x:v>Success</x:v>
      </x:c>
      <x:c r="AA87"/>
      <x:c r="AB87"/>
      <x:c r="AC87" s="13"/>
      <x:c r="AD87" t="n">
        <x:v>0</x:v>
      </x:c>
      <x:c r="AE87" s="19" t="n">
        <x:v>118491</x:v>
      </x:c>
      <x:c r="AF87" t="str">
        <x:v>deepseek-v4-pro</x:v>
      </x:c>
      <x:c r="AG87" s="20" t="n">
        <x:v>46225.24659234954</x:v>
      </x:c>
      <x:c r="AH87" t="n">
        <x:v>200</x:v>
      </x:c>
      <x:c r="AI87" t="str">
        <x:v>ef78b571260720a8a24c4f5d2a8dff7f29a49607658fefcba98f509f06d9e4b7</x:v>
      </x:c>
      <x:c r="AJ87" t="str">
        <x:v>99e55c13b29cbadc235b4f0a7b22308079cd00d971954f9264c02b407e0220b5</x:v>
      </x:c>
    </x:row>
    <x:row r="88">
      <x:c r="A88" s="17" t="str">
        <x:v>087</x:v>
      </x:c>
      <x:c r="B88" t="str">
        <x:v>ZH-NORMAL-027</x:v>
      </x:c>
      <x:c r="C88" s="17" t="str">
        <x:v>027</x:v>
      </x:c>
      <x:c r="D88" t="str">
        <x:v>Normal</x:v>
      </x:c>
      <x:c r="E88" t="n">
        <x:v>50</x:v>
      </x:c>
      <x:c r="F88" t="n">
        <x:v>69</x:v>
      </x:c>
      <x:c r="G88" t="n">
        <x:v>1</x:v>
      </x:c>
      <x:c r="H88" s="18" t="n">
        <x:v>39</x:v>
      </x:c>
      <x:c r="I88" s="18" t="n">
        <x:v>50</x:v>
      </x:c>
      <x:c r="J88" s="18" t="n">
        <x:v>80</x:v>
      </x:c>
      <x:c r="K88" s="18" t="n">
        <x:v>70</x:v>
      </x:c>
      <x:c r="L88" s="18" t="n">
        <x:v>80</x:v>
      </x:c>
      <x:c r="M88" s="18" t="n">
        <x:v>55</x:v>
      </x:c>
      <x:c r="N88" s="18" t="n">
        <x:v>20</x:v>
      </x:c>
      <x:c r="O88" s="18" t="n">
        <x:v>61</x:v>
      </x:c>
      <x:c r="P88" s="18" t="n">
        <x:v>39</x:v>
      </x:c>
      <x:c r="Q88" t="str">
        <x:v>No</x:v>
      </x:c>
      <x:c r="R88" s="18" t="n">
        <x:v>11</x:v>
      </x:c>
      <x:c r="S88" s="18" t="n">
        <x:v>11</x:v>
      </x:c>
      <x:c r="T88" s="18" t="n">
        <x:v>0</x:v>
      </x:c>
      <x:c r="U88" t="str">
        <x:v>Bad</x:v>
      </x:c>
      <x:c r="V88" t="str">
        <x:v>No</x:v>
      </x:c>
      <x:c r="W88" t="str">
        <x:v>SEVERELY_DEFICIENT</x:v>
      </x:c>
      <x:c r="X88" t="str">
        <x:v>REWRITE_REQUIRED</x:v>
      </x:c>
      <x:c r="Y88" t="n">
        <x:v>80</x:v>
      </x:c>
      <x:c r="Z88" t="str">
        <x:v>Success</x:v>
      </x:c>
      <x:c r="AA88"/>
      <x:c r="AB88"/>
      <x:c r="AC88" s="13"/>
      <x:c r="AD88" t="n">
        <x:v>0</x:v>
      </x:c>
      <x:c r="AE88" s="19" t="n">
        <x:v>100783</x:v>
      </x:c>
      <x:c r="AF88" t="str">
        <x:v>deepseek-v4-pro</x:v>
      </x:c>
      <x:c r="AG88" s="20" t="n">
        <x:v>46225.247758854166</x:v>
      </x:c>
      <x:c r="AH88" t="n">
        <x:v>200</x:v>
      </x:c>
      <x:c r="AI88" t="str">
        <x:v>e7809fc63666d9d3b32fb95d36b86e8ea1155054bb857720941525ab206c0616</x:v>
      </x:c>
      <x:c r="AJ88" t="str">
        <x:v>99e55c13b29cbadc235b4f0a7b22308079cd00d971954f9264c02b407e0220b5</x:v>
      </x:c>
    </x:row>
    <x:row r="89">
      <x:c r="A89" s="17" t="str">
        <x:v>088</x:v>
      </x:c>
      <x:c r="B89" t="str">
        <x:v>ZH-NORMAL-028</x:v>
      </x:c>
      <x:c r="C89" s="17" t="str">
        <x:v>028</x:v>
      </x:c>
      <x:c r="D89" t="str">
        <x:v>Normal</x:v>
      </x:c>
      <x:c r="E89" t="n">
        <x:v>50</x:v>
      </x:c>
      <x:c r="F89" t="n">
        <x:v>69</x:v>
      </x:c>
      <x:c r="G89" t="n">
        <x:v>1</x:v>
      </x:c>
      <x:c r="H89" s="18" t="n">
        <x:v>59</x:v>
      </x:c>
      <x:c r="I89" s="18" t="n">
        <x:v>52</x:v>
      </x:c>
      <x:c r="J89" s="18" t="n">
        <x:v>78</x:v>
      </x:c>
      <x:c r="K89" s="18" t="n">
        <x:v>82</x:v>
      </x:c>
      <x:c r="L89" s="18" t="n">
        <x:v>85</x:v>
      </x:c>
      <x:c r="M89" s="18" t="n">
        <x:v>68</x:v>
      </x:c>
      <x:c r="N89" s="18" t="n">
        <x:v>65</x:v>
      </x:c>
      <x:c r="O89" s="18" t="n">
        <x:v>70</x:v>
      </x:c>
      <x:c r="P89" s="18" t="n">
        <x:v>59</x:v>
      </x:c>
      <x:c r="Q89" t="str">
        <x:v>Yes</x:v>
      </x:c>
      <x:c r="R89" s="18" t="n">
        <x:v>0</x:v>
      </x:c>
      <x:c r="S89" s="18" t="n">
        <x:v>0</x:v>
      </x:c>
      <x:c r="T89" s="18" t="n">
        <x:v>0</x:v>
      </x:c>
      <x:c r="U89" t="str">
        <x:v>Normal</x:v>
      </x:c>
      <x:c r="V89" t="str">
        <x:v>Yes</x:v>
      </x:c>
      <x:c r="W89" t="str">
        <x:v>WEAK</x:v>
      </x:c>
      <x:c r="X89" t="str">
        <x:v>REWRITE_REQUIRED</x:v>
      </x:c>
      <x:c r="Y89" t="n">
        <x:v>80</x:v>
      </x:c>
      <x:c r="Z89" t="str">
        <x:v>Success</x:v>
      </x:c>
      <x:c r="AA89"/>
      <x:c r="AB89"/>
      <x:c r="AC89" s="13"/>
      <x:c r="AD89" t="n">
        <x:v>0</x:v>
      </x:c>
      <x:c r="AE89" s="19" t="n">
        <x:v>119517</x:v>
      </x:c>
      <x:c r="AF89" t="str">
        <x:v>deepseek-v4-pro</x:v>
      </x:c>
      <x:c r="AG89" s="20" t="n">
        <x:v>46225.2491421875</x:v>
      </x:c>
      <x:c r="AH89" t="n">
        <x:v>200</x:v>
      </x:c>
      <x:c r="AI89" t="str">
        <x:v>f3c8403220da6a699d2737465d5da9deb8240320ed99326169b07600e92fb4b3</x:v>
      </x:c>
      <x:c r="AJ89" t="str">
        <x:v>99e55c13b29cbadc235b4f0a7b22308079cd00d971954f9264c02b407e0220b5</x:v>
      </x:c>
    </x:row>
    <x:row r="90">
      <x:c r="A90" s="17" t="str">
        <x:v>089</x:v>
      </x:c>
      <x:c r="B90" t="str">
        <x:v>ZH-NORMAL-029</x:v>
      </x:c>
      <x:c r="C90" s="17" t="str">
        <x:v>029</x:v>
      </x:c>
      <x:c r="D90" t="str">
        <x:v>Normal</x:v>
      </x:c>
      <x:c r="E90" t="n">
        <x:v>50</x:v>
      </x:c>
      <x:c r="F90" t="n">
        <x:v>69</x:v>
      </x:c>
      <x:c r="G90" t="n">
        <x:v>1</x:v>
      </x:c>
      <x:c r="H90" s="18" t="n">
        <x:v>59</x:v>
      </x:c>
      <x:c r="I90" s="18" t="n">
        <x:v>55</x:v>
      </x:c>
      <x:c r="J90" s="18" t="n">
        <x:v>80</x:v>
      </x:c>
      <x:c r="K90" s="18" t="n">
        <x:v>75</x:v>
      </x:c>
      <x:c r="L90" s="18" t="n">
        <x:v>78</x:v>
      </x:c>
      <x:c r="M90" s="18" t="n">
        <x:v>55</x:v>
      </x:c>
      <x:c r="N90" s="18" t="n">
        <x:v>40</x:v>
      </x:c>
      <x:c r="O90" s="18" t="n">
        <x:v>65</x:v>
      </x:c>
      <x:c r="P90" s="18" t="n">
        <x:v>59</x:v>
      </x:c>
      <x:c r="Q90" t="str">
        <x:v>Yes</x:v>
      </x:c>
      <x:c r="R90" s="18" t="n">
        <x:v>0</x:v>
      </x:c>
      <x:c r="S90" s="18" t="n">
        <x:v>0</x:v>
      </x:c>
      <x:c r="T90" s="18" t="n">
        <x:v>0</x:v>
      </x:c>
      <x:c r="U90" t="str">
        <x:v>Normal</x:v>
      </x:c>
      <x:c r="V90" t="str">
        <x:v>Yes</x:v>
      </x:c>
      <x:c r="W90" t="str">
        <x:v>WEAK</x:v>
      </x:c>
      <x:c r="X90" t="str">
        <x:v>REWRITE_REQUIRED</x:v>
      </x:c>
      <x:c r="Y90" t="n">
        <x:v>80</x:v>
      </x:c>
      <x:c r="Z90" t="str">
        <x:v>Success</x:v>
      </x:c>
      <x:c r="AA90"/>
      <x:c r="AB90"/>
      <x:c r="AC90" s="13"/>
      <x:c r="AD90" t="n">
        <x:v>0</x:v>
      </x:c>
      <x:c r="AE90" s="19" t="n">
        <x:v>129318</x:v>
      </x:c>
      <x:c r="AF90" t="str">
        <x:v>deepseek-v4-pro</x:v>
      </x:c>
      <x:c r="AG90" s="20" t="n">
        <x:v>46225.25063894676</x:v>
      </x:c>
      <x:c r="AH90" t="n">
        <x:v>200</x:v>
      </x:c>
      <x:c r="AI90" t="str">
        <x:v>df6c880ba58727259852c6612b2f5de57d19a4f6753ffdb32f4b7d2560092916</x:v>
      </x:c>
      <x:c r="AJ90" t="str">
        <x:v>99e55c13b29cbadc235b4f0a7b22308079cd00d971954f9264c02b407e0220b5</x:v>
      </x:c>
    </x:row>
    <x:row r="91">
      <x:c r="A91" s="17" t="str">
        <x:v>090</x:v>
      </x:c>
      <x:c r="B91" t="str">
        <x:v>ZH-NORMAL-030</x:v>
      </x:c>
      <x:c r="C91" s="17" t="str">
        <x:v>030</x:v>
      </x:c>
      <x:c r="D91" t="str">
        <x:v>Normal</x:v>
      </x:c>
      <x:c r="E91" t="n">
        <x:v>50</x:v>
      </x:c>
      <x:c r="F91" t="n">
        <x:v>69</x:v>
      </x:c>
      <x:c r="G91" t="n">
        <x:v>1</x:v>
      </x:c>
      <x:c r="H91" s="18" t="n">
        <x:v>72</x:v>
      </x:c>
      <x:c r="I91" s="18" t="n">
        <x:v>65</x:v>
      </x:c>
      <x:c r="J91" s="18" t="n">
        <x:v>68</x:v>
      </x:c>
      <x:c r="K91" s="18" t="n">
        <x:v>70</x:v>
      </x:c>
      <x:c r="L91" s="18" t="n">
        <x:v>80</x:v>
      </x:c>
      <x:c r="M91" s="18" t="n">
        <x:v>75</x:v>
      </x:c>
      <x:c r="N91" s="18" t="n">
        <x:v>85</x:v>
      </x:c>
      <x:c r="O91" s="18" t="n">
        <x:v>72</x:v>
      </x:c>
      <x:c r="P91" s="18" t="n">
        <x:v>74</x:v>
      </x:c>
      <x:c r="Q91" t="str">
        <x:v>No</x:v>
      </x:c>
      <x:c r="R91" s="18" t="n">
        <x:v>3</x:v>
      </x:c>
      <x:c r="S91" s="18" t="n">
        <x:v>0</x:v>
      </x:c>
      <x:c r="T91" s="18" t="n">
        <x:v>3</x:v>
      </x:c>
      <x:c r="U91" t="str">
        <x:v>Good</x:v>
      </x:c>
      <x:c r="V91" t="str">
        <x:v>No</x:v>
      </x:c>
      <x:c r="W91" t="str">
        <x:v>SUBSTANTIAL_REWRITE</x:v>
      </x:c>
      <x:c r="X91" t="str">
        <x:v>REWRITE_REQUIRED</x:v>
      </x:c>
      <x:c r="Y91" t="n">
        <x:v>80</x:v>
      </x:c>
      <x:c r="Z91" t="str">
        <x:v>Success</x:v>
      </x:c>
      <x:c r="AA91"/>
      <x:c r="AB91"/>
      <x:c r="AC91" s="13"/>
      <x:c r="AD91" t="n">
        <x:v>0</x:v>
      </x:c>
      <x:c r="AE91" s="19" t="n">
        <x:v>98502</x:v>
      </x:c>
      <x:c r="AF91" t="str">
        <x:v>deepseek-v4-pro</x:v>
      </x:c>
      <x:c r="AG91" s="20" t="n">
        <x:v>46225.25177905092</x:v>
      </x:c>
      <x:c r="AH91" t="n">
        <x:v>200</x:v>
      </x:c>
      <x:c r="AI91" t="str">
        <x:v>5298e2d6cdd2b2140b5b74292ae11e4d937b7044490aa3ce625f56cfd792e5ac</x:v>
      </x:c>
      <x:c r="AJ91" t="str">
        <x:v>99e55c13b29cbadc235b4f0a7b22308079cd00d971954f9264c02b407e0220b5</x:v>
      </x:c>
    </x:row>
    <x:row r="92">
      <x:c r="A92" s="17" t="str">
        <x:v>091</x:v>
      </x:c>
      <x:c r="B92" t="str">
        <x:v>ZH-BAD-001</x:v>
      </x:c>
      <x:c r="C92" s="17" t="str">
        <x:v>001</x:v>
      </x:c>
      <x:c r="D92" t="str">
        <x:v>Bad</x:v>
      </x:c>
      <x:c r="E92" t="n">
        <x:v>30</x:v>
      </x:c>
      <x:c r="F92" t="n">
        <x:v>49</x:v>
      </x:c>
      <x:c r="G92" t="n">
        <x:v>1</x:v>
      </x:c>
      <x:c r="H92" s="18" t="n">
        <x:v>42</x:v>
      </x:c>
      <x:c r="I92" s="18" t="n">
        <x:v>45</x:v>
      </x:c>
      <x:c r="J92" s="18" t="n">
        <x:v>40</x:v>
      </x:c>
      <x:c r="K92" s="18" t="n">
        <x:v>40</x:v>
      </x:c>
      <x:c r="L92" s="18" t="n">
        <x:v>40</x:v>
      </x:c>
      <x:c r="M92" s="18" t="n">
        <x:v>40</x:v>
      </x:c>
      <x:c r="N92" s="18" t="n">
        <x:v>45</x:v>
      </x:c>
      <x:c r="O92" s="18" t="n">
        <x:v>42</x:v>
      </x:c>
      <x:c r="P92" s="18" t="n">
        <x:v>59</x:v>
      </x:c>
      <x:c r="Q92" t="str">
        <x:v>Yes</x:v>
      </x:c>
      <x:c r="R92" s="18" t="n">
        <x:v>0</x:v>
      </x:c>
      <x:c r="S92" s="18" t="n">
        <x:v>0</x:v>
      </x:c>
      <x:c r="T92" s="18" t="n">
        <x:v>0</x:v>
      </x:c>
      <x:c r="U92" t="str">
        <x:v>Bad</x:v>
      </x:c>
      <x:c r="V92" t="str">
        <x:v>Yes</x:v>
      </x:c>
      <x:c r="W92" t="str">
        <x:v>WEAK</x:v>
      </x:c>
      <x:c r="X92" t="str">
        <x:v>REWRITE_REQUIRED</x:v>
      </x:c>
      <x:c r="Y92" t="n">
        <x:v>80</x:v>
      </x:c>
      <x:c r="Z92" t="str">
        <x:v>Success</x:v>
      </x:c>
      <x:c r="AA92"/>
      <x:c r="AB92"/>
      <x:c r="AC92" s="13"/>
      <x:c r="AD92" t="n">
        <x:v>0</x:v>
      </x:c>
      <x:c r="AE92" s="19" t="n">
        <x:v>156052</x:v>
      </x:c>
      <x:c r="AF92" t="str">
        <x:v>deepseek-v4-pro</x:v>
      </x:c>
      <x:c r="AG92" s="20" t="n">
        <x:v>46225.2133674537</x:v>
      </x:c>
      <x:c r="AH92" t="n">
        <x:v>200</x:v>
      </x:c>
      <x:c r="AI92" t="str">
        <x:v>cb99f8e07b5b858383fea6b4eb2ab4bdae52b7f43a1a08345cf02bd8885526dc</x:v>
      </x:c>
      <x:c r="AJ92" t="str">
        <x:v>99e55c13b29cbadc235b4f0a7b22308079cd00d971954f9264c02b407e0220b5</x:v>
      </x:c>
    </x:row>
    <x:row r="93">
      <x:c r="A93" s="17" t="str">
        <x:v>092</x:v>
      </x:c>
      <x:c r="B93" t="str">
        <x:v>ZH-BAD-002</x:v>
      </x:c>
      <x:c r="C93" s="17" t="str">
        <x:v>002</x:v>
      </x:c>
      <x:c r="D93" t="str">
        <x:v>Bad</x:v>
      </x:c>
      <x:c r="E93" t="n">
        <x:v>30</x:v>
      </x:c>
      <x:c r="F93" t="n">
        <x:v>49</x:v>
      </x:c>
      <x:c r="G93" t="n">
        <x:v>1</x:v>
      </x:c>
      <x:c r="H93" s="18" t="n">
        <x:v>39</x:v>
      </x:c>
      <x:c r="I93" s="18" t="n">
        <x:v>45</x:v>
      </x:c>
      <x:c r="J93" s="18" t="n">
        <x:v>45</x:v>
      </x:c>
      <x:c r="K93" s="18" t="n">
        <x:v>62</x:v>
      </x:c>
      <x:c r="L93" s="18" t="n">
        <x:v>45</x:v>
      </x:c>
      <x:c r="M93" s="18" t="n">
        <x:v>40</x:v>
      </x:c>
      <x:c r="N93" s="18" t="n">
        <x:v>25</x:v>
      </x:c>
      <x:c r="O93" s="18" t="n">
        <x:v>45</x:v>
      </x:c>
      <x:c r="P93" s="18" t="n">
        <x:v>39</x:v>
      </x:c>
      <x:c r="Q93" t="str">
        <x:v>Yes</x:v>
      </x:c>
      <x:c r="R93" s="18" t="n">
        <x:v>0</x:v>
      </x:c>
      <x:c r="S93" s="18" t="n">
        <x:v>0</x:v>
      </x:c>
      <x:c r="T93" s="18" t="n">
        <x:v>0</x:v>
      </x:c>
      <x:c r="U93" t="str">
        <x:v>Bad</x:v>
      </x:c>
      <x:c r="V93" t="str">
        <x:v>Yes</x:v>
      </x:c>
      <x:c r="W93" t="str">
        <x:v>SEVERELY_DEFICIENT</x:v>
      </x:c>
      <x:c r="X93" t="str">
        <x:v>REWRITE_REQUIRED</x:v>
      </x:c>
      <x:c r="Y93" t="n">
        <x:v>80</x:v>
      </x:c>
      <x:c r="Z93" t="str">
        <x:v>Success</x:v>
      </x:c>
      <x:c r="AA93"/>
      <x:c r="AB93"/>
      <x:c r="AC93" s="13"/>
      <x:c r="AD93" t="n">
        <x:v>0</x:v>
      </x:c>
      <x:c r="AE93" s="19" t="n">
        <x:v>101718</x:v>
      </x:c>
      <x:c r="AF93" t="str">
        <x:v>deepseek-v4-pro</x:v>
      </x:c>
      <x:c r="AG93" s="20" t="n">
        <x:v>46225.21454476852</x:v>
      </x:c>
      <x:c r="AH93" t="n">
        <x:v>200</x:v>
      </x:c>
      <x:c r="AI93" t="str">
        <x:v>4e3a73618feea74808a4757469eb93754de5bab33032f89c04dfc70d40abfd4c</x:v>
      </x:c>
      <x:c r="AJ93" t="str">
        <x:v>99e55c13b29cbadc235b4f0a7b22308079cd00d971954f9264c02b407e0220b5</x:v>
      </x:c>
    </x:row>
    <x:row r="94">
      <x:c r="A94" s="17" t="str">
        <x:v>093</x:v>
      </x:c>
      <x:c r="B94" t="str">
        <x:v>ZH-BAD-003</x:v>
      </x:c>
      <x:c r="C94" s="17" t="str">
        <x:v>003</x:v>
      </x:c>
      <x:c r="D94" t="str">
        <x:v>Bad</x:v>
      </x:c>
      <x:c r="E94" t="n">
        <x:v>30</x:v>
      </x:c>
      <x:c r="F94" t="n">
        <x:v>49</x:v>
      </x:c>
      <x:c r="G94" t="n">
        <x:v>1</x:v>
      </x:c>
      <x:c r="H94" s="18" t="n">
        <x:v>59</x:v>
      </x:c>
      <x:c r="I94" s="18" t="n">
        <x:v>45</x:v>
      </x:c>
      <x:c r="J94" s="18" t="n">
        <x:v>78</x:v>
      </x:c>
      <x:c r="K94" s="18" t="n">
        <x:v>80</x:v>
      </x:c>
      <x:c r="L94" s="18" t="n">
        <x:v>55</x:v>
      </x:c>
      <x:c r="M94" s="18" t="n">
        <x:v>52</x:v>
      </x:c>
      <x:c r="N94" s="18" t="n">
        <x:v>40</x:v>
      </x:c>
      <x:c r="O94" s="18" t="n">
        <x:v>59</x:v>
      </x:c>
      <x:c r="P94" s="18" t="n">
        <x:v>59</x:v>
      </x:c>
      <x:c r="Q94" t="str">
        <x:v>No</x:v>
      </x:c>
      <x:c r="R94" s="18" t="n">
        <x:v>10</x:v>
      </x:c>
      <x:c r="S94" s="18" t="n">
        <x:v>0</x:v>
      </x:c>
      <x:c r="T94" s="18" t="n">
        <x:v>10</x:v>
      </x:c>
      <x:c r="U94" t="str">
        <x:v>Normal</x:v>
      </x:c>
      <x:c r="V94" t="str">
        <x:v>No</x:v>
      </x:c>
      <x:c r="W94" t="str">
        <x:v>WEAK</x:v>
      </x:c>
      <x:c r="X94" t="str">
        <x:v>REWRITE_REQUIRED</x:v>
      </x:c>
      <x:c r="Y94" t="n">
        <x:v>80</x:v>
      </x:c>
      <x:c r="Z94" t="str">
        <x:v>Success</x:v>
      </x:c>
      <x:c r="AA94"/>
      <x:c r="AB94"/>
      <x:c r="AC94" s="13"/>
      <x:c r="AD94" t="n">
        <x:v>0</x:v>
      </x:c>
      <x:c r="AE94" s="19" t="n">
        <x:v>99827</x:v>
      </x:c>
      <x:c r="AF94" t="str">
        <x:v>deepseek-v4-pro</x:v>
      </x:c>
      <x:c r="AG94" s="20" t="n">
        <x:v>46225.21570020833</x:v>
      </x:c>
      <x:c r="AH94" t="n">
        <x:v>200</x:v>
      </x:c>
      <x:c r="AI94" t="str">
        <x:v>1772ae22edf1e1e5fb7487b69efbe34089900f9da305a7f8b5197ae2e26b1ef3</x:v>
      </x:c>
      <x:c r="AJ94" t="str">
        <x:v>99e55c13b29cbadc235b4f0a7b22308079cd00d971954f9264c02b407e0220b5</x:v>
      </x:c>
    </x:row>
    <x:row r="95">
      <x:c r="A95" s="17" t="str">
        <x:v>094</x:v>
      </x:c>
      <x:c r="B95" t="str">
        <x:v>ZH-BAD-004</x:v>
      </x:c>
      <x:c r="C95" s="17" t="str">
        <x:v>004</x:v>
      </x:c>
      <x:c r="D95" t="str">
        <x:v>Bad</x:v>
      </x:c>
      <x:c r="E95" t="n">
        <x:v>30</x:v>
      </x:c>
      <x:c r="F95" t="n">
        <x:v>49</x:v>
      </x:c>
      <x:c r="G95" t="n">
        <x:v>1</x:v>
      </x:c>
      <x:c r="H95" s="18" t="n">
        <x:v>49</x:v>
      </x:c>
      <x:c r="I95" s="18" t="n">
        <x:v>50</x:v>
      </x:c>
      <x:c r="J95" s="18" t="n">
        <x:v>40</x:v>
      </x:c>
      <x:c r="K95" s="18" t="n">
        <x:v>65</x:v>
      </x:c>
      <x:c r="L95" s="18" t="n">
        <x:v>60</x:v>
      </x:c>
      <x:c r="M95" s="18" t="n">
        <x:v>45</x:v>
      </x:c>
      <x:c r="N95" s="18" t="n">
        <x:v>30</x:v>
      </x:c>
      <x:c r="O95" s="18" t="n">
        <x:v>49</x:v>
      </x:c>
      <x:c r="P95" s="18" t="n">
        <x:v>59</x:v>
      </x:c>
      <x:c r="Q95" t="str">
        <x:v>Yes</x:v>
      </x:c>
      <x:c r="R95" s="18" t="n">
        <x:v>0</x:v>
      </x:c>
      <x:c r="S95" s="18" t="n">
        <x:v>0</x:v>
      </x:c>
      <x:c r="T95" s="18" t="n">
        <x:v>0</x:v>
      </x:c>
      <x:c r="U95" t="str">
        <x:v>Bad</x:v>
      </x:c>
      <x:c r="V95" t="str">
        <x:v>Yes</x:v>
      </x:c>
      <x:c r="W95" t="str">
        <x:v>WEAK</x:v>
      </x:c>
      <x:c r="X95" t="str">
        <x:v>REWRITE_REQUIRED</x:v>
      </x:c>
      <x:c r="Y95" t="n">
        <x:v>80</x:v>
      </x:c>
      <x:c r="Z95" t="str">
        <x:v>Success</x:v>
      </x:c>
      <x:c r="AA95"/>
      <x:c r="AB95"/>
      <x:c r="AC95" s="13"/>
      <x:c r="AD95" t="n">
        <x:v>0</x:v>
      </x:c>
      <x:c r="AE95" s="19" t="n">
        <x:v>91601</x:v>
      </x:c>
      <x:c r="AF95" t="str">
        <x:v>deepseek-v4-pro</x:v>
      </x:c>
      <x:c r="AG95" s="20" t="n">
        <x:v>46225.21676041667</x:v>
      </x:c>
      <x:c r="AH95" t="n">
        <x:v>200</x:v>
      </x:c>
      <x:c r="AI95" t="str">
        <x:v>a5c9b197b53b91b28f3edb8def1618e2d7d48efff86796fa3606a9c05ab94e0c</x:v>
      </x:c>
      <x:c r="AJ95" t="str">
        <x:v>99e55c13b29cbadc235b4f0a7b22308079cd00d971954f9264c02b407e0220b5</x:v>
      </x:c>
    </x:row>
    <x:row r="96">
      <x:c r="A96" s="17" t="str">
        <x:v>095</x:v>
      </x:c>
      <x:c r="B96" t="str">
        <x:v>ZH-BAD-005</x:v>
      </x:c>
      <x:c r="C96" s="17" t="str">
        <x:v>005</x:v>
      </x:c>
      <x:c r="D96" t="str">
        <x:v>Bad</x:v>
      </x:c>
      <x:c r="E96" t="n">
        <x:v>30</x:v>
      </x:c>
      <x:c r="F96" t="n">
        <x:v>49</x:v>
      </x:c>
      <x:c r="G96" t="n">
        <x:v>1</x:v>
      </x:c>
      <x:c r="H96" s="18" t="n">
        <x:v>49</x:v>
      </x:c>
      <x:c r="I96" s="18" t="n">
        <x:v>45</x:v>
      </x:c>
      <x:c r="J96" s="18" t="n">
        <x:v>65</x:v>
      </x:c>
      <x:c r="K96" s="18" t="n">
        <x:v>60</x:v>
      </x:c>
      <x:c r="L96" s="18" t="n">
        <x:v>45</x:v>
      </x:c>
      <x:c r="M96" s="18" t="n">
        <x:v>40</x:v>
      </x:c>
      <x:c r="N96" s="18" t="n">
        <x:v>25</x:v>
      </x:c>
      <x:c r="O96" s="18" t="n">
        <x:v>49</x:v>
      </x:c>
      <x:c r="P96" s="18" t="n">
        <x:v>59</x:v>
      </x:c>
      <x:c r="Q96" t="str">
        <x:v>Yes</x:v>
      </x:c>
      <x:c r="R96" s="18" t="n">
        <x:v>0</x:v>
      </x:c>
      <x:c r="S96" s="18" t="n">
        <x:v>0</x:v>
      </x:c>
      <x:c r="T96" s="18" t="n">
        <x:v>0</x:v>
      </x:c>
      <x:c r="U96" t="str">
        <x:v>Bad</x:v>
      </x:c>
      <x:c r="V96" t="str">
        <x:v>Yes</x:v>
      </x:c>
      <x:c r="W96" t="str">
        <x:v>WEAK</x:v>
      </x:c>
      <x:c r="X96" t="str">
        <x:v>REWRITE_REQUIRED</x:v>
      </x:c>
      <x:c r="Y96" t="n">
        <x:v>80</x:v>
      </x:c>
      <x:c r="Z96" t="str">
        <x:v>Success</x:v>
      </x:c>
      <x:c r="AA96"/>
      <x:c r="AB96"/>
      <x:c r="AC96" s="13"/>
      <x:c r="AD96" t="n">
        <x:v>0</x:v>
      </x:c>
      <x:c r="AE96" s="19" t="n">
        <x:v>152408</x:v>
      </x:c>
      <x:c r="AF96" t="str">
        <x:v>deepseek-v4-pro</x:v>
      </x:c>
      <x:c r="AG96" s="20" t="n">
        <x:v>46225.21852443287</x:v>
      </x:c>
      <x:c r="AH96" t="n">
        <x:v>200</x:v>
      </x:c>
      <x:c r="AI96" t="str">
        <x:v>da485c9d55c28cea9c11999f26d041a36b375dfb52e2b9ef615297df6f2cbf0e</x:v>
      </x:c>
      <x:c r="AJ96" t="str">
        <x:v>99e55c13b29cbadc235b4f0a7b22308079cd00d971954f9264c02b407e0220b5</x:v>
      </x:c>
    </x:row>
    <x:row r="97">
      <x:c r="A97" s="17" t="str">
        <x:v>096</x:v>
      </x:c>
      <x:c r="B97" t="str">
        <x:v>ZH-BAD-006</x:v>
      </x:c>
      <x:c r="C97" s="17" t="str">
        <x:v>006</x:v>
      </x:c>
      <x:c r="D97" t="str">
        <x:v>Bad</x:v>
      </x:c>
      <x:c r="E97" t="n">
        <x:v>30</x:v>
      </x:c>
      <x:c r="F97" t="n">
        <x:v>49</x:v>
      </x:c>
      <x:c r="G97" t="n">
        <x:v>1</x:v>
      </x:c>
      <x:c r="H97" s="18" t="n">
        <x:v>55</x:v>
      </x:c>
      <x:c r="I97" s="18" t="n">
        <x:v>45</x:v>
      </x:c>
      <x:c r="J97" s="18" t="n">
        <x:v>60</x:v>
      </x:c>
      <x:c r="K97" s="18" t="n">
        <x:v>70</x:v>
      </x:c>
      <x:c r="L97" s="18" t="n">
        <x:v>60</x:v>
      </x:c>
      <x:c r="M97" s="18" t="n">
        <x:v>55</x:v>
      </x:c>
      <x:c r="N97" s="18" t="n">
        <x:v>35</x:v>
      </x:c>
      <x:c r="O97" s="18" t="n">
        <x:v>55</x:v>
      </x:c>
      <x:c r="P97" s="18" t="n">
        <x:v>59</x:v>
      </x:c>
      <x:c r="Q97" t="str">
        <x:v>No</x:v>
      </x:c>
      <x:c r="R97" s="18" t="n">
        <x:v>6</x:v>
      </x:c>
      <x:c r="S97" s="18" t="n">
        <x:v>0</x:v>
      </x:c>
      <x:c r="T97" s="18" t="n">
        <x:v>6</x:v>
      </x:c>
      <x:c r="U97" t="str">
        <x:v>Normal</x:v>
      </x:c>
      <x:c r="V97" t="str">
        <x:v>No</x:v>
      </x:c>
      <x:c r="W97" t="str">
        <x:v>WEAK</x:v>
      </x:c>
      <x:c r="X97" t="str">
        <x:v>REWRITE_REQUIRED</x:v>
      </x:c>
      <x:c r="Y97" t="n">
        <x:v>80</x:v>
      </x:c>
      <x:c r="Z97" t="str">
        <x:v>Success</x:v>
      </x:c>
      <x:c r="AA97"/>
      <x:c r="AB97"/>
      <x:c r="AC97" s="13"/>
      <x:c r="AD97" t="n">
        <x:v>0</x:v>
      </x:c>
      <x:c r="AE97" s="19" t="n">
        <x:v>81753</x:v>
      </x:c>
      <x:c r="AF97" t="str">
        <x:v>deepseek-v4-pro</x:v>
      </x:c>
      <x:c r="AG97" s="20" t="n">
        <x:v>46225.21947065972</x:v>
      </x:c>
      <x:c r="AH97" t="n">
        <x:v>200</x:v>
      </x:c>
      <x:c r="AI97" t="str">
        <x:v>9c8c1bebfc261e1e69df4e1119453268d35773f05acc4bab0ca2195a6399f030</x:v>
      </x:c>
      <x:c r="AJ97" t="str">
        <x:v>99e55c13b29cbadc235b4f0a7b22308079cd00d971954f9264c02b407e0220b5</x:v>
      </x:c>
    </x:row>
    <x:row r="98">
      <x:c r="A98" s="17" t="str">
        <x:v>097</x:v>
      </x:c>
      <x:c r="B98" t="str">
        <x:v>ZH-BAD-007</x:v>
      </x:c>
      <x:c r="C98" s="17" t="str">
        <x:v>007</x:v>
      </x:c>
      <x:c r="D98" t="str">
        <x:v>Bad</x:v>
      </x:c>
      <x:c r="E98" t="n">
        <x:v>30</x:v>
      </x:c>
      <x:c r="F98" t="n">
        <x:v>49</x:v>
      </x:c>
      <x:c r="G98" t="n">
        <x:v>1</x:v>
      </x:c>
      <x:c r="H98" s="18" t="n">
        <x:v>39</x:v>
      </x:c>
      <x:c r="I98" s="18" t="n">
        <x:v>39</x:v>
      </x:c>
      <x:c r="J98" s="18" t="n">
        <x:v>60</x:v>
      </x:c>
      <x:c r="K98" s="18" t="n">
        <x:v>62</x:v>
      </x:c>
      <x:c r="L98" s="18" t="n">
        <x:v>60</x:v>
      </x:c>
      <x:c r="M98" s="18" t="n">
        <x:v>40</x:v>
      </x:c>
      <x:c r="N98" s="18" t="n">
        <x:v>20</x:v>
      </x:c>
      <x:c r="O98" s="18" t="n">
        <x:v>48</x:v>
      </x:c>
      <x:c r="P98" s="18" t="n">
        <x:v>39</x:v>
      </x:c>
      <x:c r="Q98" t="str">
        <x:v>Yes</x:v>
      </x:c>
      <x:c r="R98" s="18" t="n">
        <x:v>0</x:v>
      </x:c>
      <x:c r="S98" s="18" t="n">
        <x:v>0</x:v>
      </x:c>
      <x:c r="T98" s="18" t="n">
        <x:v>0</x:v>
      </x:c>
      <x:c r="U98" t="str">
        <x:v>Bad</x:v>
      </x:c>
      <x:c r="V98" t="str">
        <x:v>Yes</x:v>
      </x:c>
      <x:c r="W98" t="str">
        <x:v>SEVERELY_DEFICIENT</x:v>
      </x:c>
      <x:c r="X98" t="str">
        <x:v>REWRITE_REQUIRED</x:v>
      </x:c>
      <x:c r="Y98" t="n">
        <x:v>80</x:v>
      </x:c>
      <x:c r="Z98" t="str">
        <x:v>Success</x:v>
      </x:c>
      <x:c r="AA98"/>
      <x:c r="AB98"/>
      <x:c r="AC98" s="13"/>
      <x:c r="AD98" t="n">
        <x:v>0</x:v>
      </x:c>
      <x:c r="AE98" s="19" t="n">
        <x:v>158117</x:v>
      </x:c>
      <x:c r="AF98" t="str">
        <x:v>deepseek-v4-pro</x:v>
      </x:c>
      <x:c r="AG98" s="20" t="n">
        <x:v>46225.22130075232</x:v>
      </x:c>
      <x:c r="AH98" t="n">
        <x:v>200</x:v>
      </x:c>
      <x:c r="AI98" t="str">
        <x:v>9acb3c6e79e2192fd2f124b14abb1385c9f3cc6e4ce809b46e51a29739fbc826</x:v>
      </x:c>
      <x:c r="AJ98" t="str">
        <x:v>99e55c13b29cbadc235b4f0a7b22308079cd00d971954f9264c02b407e0220b5</x:v>
      </x:c>
    </x:row>
    <x:row r="99">
      <x:c r="A99" s="17" t="str">
        <x:v>098</x:v>
      </x:c>
      <x:c r="B99" t="str">
        <x:v>ZH-BAD-008</x:v>
      </x:c>
      <x:c r="C99" s="17" t="str">
        <x:v>008</x:v>
      </x:c>
      <x:c r="D99" t="str">
        <x:v>Bad</x:v>
      </x:c>
      <x:c r="E99" t="n">
        <x:v>30</x:v>
      </x:c>
      <x:c r="F99" t="n">
        <x:v>49</x:v>
      </x:c>
      <x:c r="G99" t="n">
        <x:v>1</x:v>
      </x:c>
      <x:c r="H99" s="18" t="n">
        <x:v>44</x:v>
      </x:c>
      <x:c r="I99" s="18" t="n">
        <x:v>45</x:v>
      </x:c>
      <x:c r="J99" s="18" t="n">
        <x:v>40</x:v>
      </x:c>
      <x:c r="K99" s="18" t="n">
        <x:v>62</x:v>
      </x:c>
      <x:c r="L99" s="18" t="n">
        <x:v>45</x:v>
      </x:c>
      <x:c r="M99" s="18" t="n">
        <x:v>40</x:v>
      </x:c>
      <x:c r="N99" s="18" t="n">
        <x:v>30</x:v>
      </x:c>
      <x:c r="O99" s="18" t="n">
        <x:v>44</x:v>
      </x:c>
      <x:c r="P99" s="18" t="n">
        <x:v>59</x:v>
      </x:c>
      <x:c r="Q99" t="str">
        <x:v>Yes</x:v>
      </x:c>
      <x:c r="R99" s="18" t="n">
        <x:v>0</x:v>
      </x:c>
      <x:c r="S99" s="18" t="n">
        <x:v>0</x:v>
      </x:c>
      <x:c r="T99" s="18" t="n">
        <x:v>0</x:v>
      </x:c>
      <x:c r="U99" t="str">
        <x:v>Bad</x:v>
      </x:c>
      <x:c r="V99" t="str">
        <x:v>Yes</x:v>
      </x:c>
      <x:c r="W99" t="str">
        <x:v>WEAK</x:v>
      </x:c>
      <x:c r="X99" t="str">
        <x:v>REWRITE_REQUIRED</x:v>
      </x:c>
      <x:c r="Y99" t="n">
        <x:v>80</x:v>
      </x:c>
      <x:c r="Z99" t="str">
        <x:v>Success</x:v>
      </x:c>
      <x:c r="AA99"/>
      <x:c r="AB99"/>
      <x:c r="AC99" s="13"/>
      <x:c r="AD99" t="n">
        <x:v>0</x:v>
      </x:c>
      <x:c r="AE99" s="19" t="n">
        <x:v>88160</x:v>
      </x:c>
      <x:c r="AF99" t="str">
        <x:v>deepseek-v4-pro</x:v>
      </x:c>
      <x:c r="AG99" s="20" t="n">
        <x:v>46225.22232114583</x:v>
      </x:c>
      <x:c r="AH99" t="n">
        <x:v>200</x:v>
      </x:c>
      <x:c r="AI99" t="str">
        <x:v>ff1ac7ecbc391cf772935ed422ed25c621e1c9f95bff55c15d87855c19d3b25d</x:v>
      </x:c>
      <x:c r="AJ99" t="str">
        <x:v>99e55c13b29cbadc235b4f0a7b22308079cd00d971954f9264c02b407e0220b5</x:v>
      </x:c>
    </x:row>
    <x:row r="100">
      <x:c r="A100" s="17" t="str">
        <x:v>099</x:v>
      </x:c>
      <x:c r="B100" t="str">
        <x:v>ZH-BAD-009</x:v>
      </x:c>
      <x:c r="C100" s="17" t="str">
        <x:v>009</x:v>
      </x:c>
      <x:c r="D100" t="str">
        <x:v>Bad</x:v>
      </x:c>
      <x:c r="E100" t="n">
        <x:v>30</x:v>
      </x:c>
      <x:c r="F100" t="n">
        <x:v>49</x:v>
      </x:c>
      <x:c r="G100" t="n">
        <x:v>1</x:v>
      </x:c>
      <x:c r="H100" s="18" t="n">
        <x:v>31</x:v>
      </x:c>
      <x:c r="I100" s="18" t="n">
        <x:v>20</x:v>
      </x:c>
      <x:c r="J100" s="18" t="n">
        <x:v>30</x:v>
      </x:c>
      <x:c r="K100" s="18" t="n">
        <x:v>55</x:v>
      </x:c>
      <x:c r="L100" s="18" t="n">
        <x:v>40</x:v>
      </x:c>
      <x:c r="M100" s="18" t="n">
        <x:v>30</x:v>
      </x:c>
      <x:c r="N100" s="18" t="n">
        <x:v>10</x:v>
      </x:c>
      <x:c r="O100" s="18" t="n">
        <x:v>31</x:v>
      </x:c>
      <x:c r="P100" s="18" t="n">
        <x:v>39</x:v>
      </x:c>
      <x:c r="Q100" t="str">
        <x:v>Yes</x:v>
      </x:c>
      <x:c r="R100" s="18" t="n">
        <x:v>0</x:v>
      </x:c>
      <x:c r="S100" s="18" t="n">
        <x:v>0</x:v>
      </x:c>
      <x:c r="T100" s="18" t="n">
        <x:v>0</x:v>
      </x:c>
      <x:c r="U100" t="str">
        <x:v>Bad</x:v>
      </x:c>
      <x:c r="V100" t="str">
        <x:v>Yes</x:v>
      </x:c>
      <x:c r="W100" t="str">
        <x:v>SEVERELY_DEFICIENT</x:v>
      </x:c>
      <x:c r="X100" t="str">
        <x:v>REWRITE_REQUIRED</x:v>
      </x:c>
      <x:c r="Y100" t="n">
        <x:v>80</x:v>
      </x:c>
      <x:c r="Z100" t="str">
        <x:v>Success</x:v>
      </x:c>
      <x:c r="AA100"/>
      <x:c r="AB100"/>
      <x:c r="AC100" s="13"/>
      <x:c r="AD100" t="n">
        <x:v>0</x:v>
      </x:c>
      <x:c r="AE100" s="19" t="n">
        <x:v>80845</x:v>
      </x:c>
      <x:c r="AF100" t="str">
        <x:v>deepseek-v4-pro</x:v>
      </x:c>
      <x:c r="AG100" s="20" t="n">
        <x:v>46225.223256875</x:v>
      </x:c>
      <x:c r="AH100" t="n">
        <x:v>200</x:v>
      </x:c>
      <x:c r="AI100" t="str">
        <x:v>38dc52ecec6a932e1d849f7a9379c0aad8c35450e164c53c30c61826d8e0e0d6</x:v>
      </x:c>
      <x:c r="AJ100" t="str">
        <x:v>99e55c13b29cbadc235b4f0a7b22308079cd00d971954f9264c02b407e0220b5</x:v>
      </x:c>
    </x:row>
    <x:row r="101">
      <x:c r="A101" s="17" t="str">
        <x:v>100</x:v>
      </x:c>
      <x:c r="B101" t="str">
        <x:v>ZH-BAD-010</x:v>
      </x:c>
      <x:c r="C101" s="17" t="str">
        <x:v>010</x:v>
      </x:c>
      <x:c r="D101" t="str">
        <x:v>Bad</x:v>
      </x:c>
      <x:c r="E101" t="n">
        <x:v>30</x:v>
      </x:c>
      <x:c r="F101" t="n">
        <x:v>49</x:v>
      </x:c>
      <x:c r="G101" t="n">
        <x:v>1</x:v>
      </x:c>
      <x:c r="H101" s="18" t="n">
        <x:v>39</x:v>
      </x:c>
      <x:c r="I101" s="18" t="n">
        <x:v>45</x:v>
      </x:c>
      <x:c r="J101" s="18" t="n">
        <x:v>35</x:v>
      </x:c>
      <x:c r="K101" s="18" t="n">
        <x:v>50</x:v>
      </x:c>
      <x:c r="L101" s="18" t="n">
        <x:v>40</x:v>
      </x:c>
      <x:c r="M101" s="18" t="n">
        <x:v>35</x:v>
      </x:c>
      <x:c r="N101" s="18" t="n">
        <x:v>20</x:v>
      </x:c>
      <x:c r="O101" s="18" t="n">
        <x:v>39</x:v>
      </x:c>
      <x:c r="P101" s="18" t="n">
        <x:v>39</x:v>
      </x:c>
      <x:c r="Q101" t="str">
        <x:v>Yes</x:v>
      </x:c>
      <x:c r="R101" s="18" t="n">
        <x:v>0</x:v>
      </x:c>
      <x:c r="S101" s="18" t="n">
        <x:v>0</x:v>
      </x:c>
      <x:c r="T101" s="18" t="n">
        <x:v>0</x:v>
      </x:c>
      <x:c r="U101" t="str">
        <x:v>Bad</x:v>
      </x:c>
      <x:c r="V101" t="str">
        <x:v>Yes</x:v>
      </x:c>
      <x:c r="W101" t="str">
        <x:v>SEVERELY_DEFICIENT</x:v>
      </x:c>
      <x:c r="X101" t="str">
        <x:v>REWRITE_REQUIRED</x:v>
      </x:c>
      <x:c r="Y101" t="n">
        <x:v>80</x:v>
      </x:c>
      <x:c r="Z101" t="str">
        <x:v>Success</x:v>
      </x:c>
      <x:c r="AA101"/>
      <x:c r="AB101"/>
      <x:c r="AC101" s="13"/>
      <x:c r="AD101" t="n">
        <x:v>0</x:v>
      </x:c>
      <x:c r="AE101" s="19" t="n">
        <x:v>163448</x:v>
      </x:c>
      <x:c r="AF101" t="str">
        <x:v>deepseek-v4-pro</x:v>
      </x:c>
      <x:c r="AG101" s="20" t="n">
        <x:v>46225.22514866898</x:v>
      </x:c>
      <x:c r="AH101" t="n">
        <x:v>200</x:v>
      </x:c>
      <x:c r="AI101" t="str">
        <x:v>eb5ef02c1dfe8bcdac2119425b56db8df2028f2590788664ebd8bcb4addc12ce</x:v>
      </x:c>
      <x:c r="AJ101" t="str">
        <x:v>99e55c13b29cbadc235b4f0a7b22308079cd00d971954f9264c02b407e0220b5</x:v>
      </x:c>
    </x:row>
    <x:row r="102">
      <x:c r="A102" s="17" t="str">
        <x:v>101</x:v>
      </x:c>
      <x:c r="B102" t="str">
        <x:v>ZH-BAD-011</x:v>
      </x:c>
      <x:c r="C102" s="17" t="str">
        <x:v>011</x:v>
      </x:c>
      <x:c r="D102" t="str">
        <x:v>Bad</x:v>
      </x:c>
      <x:c r="E102" t="n">
        <x:v>30</x:v>
      </x:c>
      <x:c r="F102" t="n">
        <x:v>49</x:v>
      </x:c>
      <x:c r="G102" t="n">
        <x:v>1</x:v>
      </x:c>
      <x:c r="H102" s="18" t="n">
        <x:v>44</x:v>
      </x:c>
      <x:c r="I102" s="18" t="n">
        <x:v>45</x:v>
      </x:c>
      <x:c r="J102" s="18" t="n">
        <x:v>35</x:v>
      </x:c>
      <x:c r="K102" s="18" t="n">
        <x:v>60</x:v>
      </x:c>
      <x:c r="L102" s="18" t="n">
        <x:v>45</x:v>
      </x:c>
      <x:c r="M102" s="18" t="n">
        <x:v>40</x:v>
      </x:c>
      <x:c r="N102" s="18" t="n">
        <x:v>40</x:v>
      </x:c>
      <x:c r="O102" s="18" t="n">
        <x:v>44</x:v>
      </x:c>
      <x:c r="P102" s="18" t="n">
        <x:v>59</x:v>
      </x:c>
      <x:c r="Q102" t="str">
        <x:v>Yes</x:v>
      </x:c>
      <x:c r="R102" s="18" t="n">
        <x:v>0</x:v>
      </x:c>
      <x:c r="S102" s="18" t="n">
        <x:v>0</x:v>
      </x:c>
      <x:c r="T102" s="18" t="n">
        <x:v>0</x:v>
      </x:c>
      <x:c r="U102" t="str">
        <x:v>Bad</x:v>
      </x:c>
      <x:c r="V102" t="str">
        <x:v>Yes</x:v>
      </x:c>
      <x:c r="W102" t="str">
        <x:v>WEAK</x:v>
      </x:c>
      <x:c r="X102" t="str">
        <x:v>REWRITE_REQUIRED</x:v>
      </x:c>
      <x:c r="Y102" t="n">
        <x:v>80</x:v>
      </x:c>
      <x:c r="Z102" t="str">
        <x:v>Success</x:v>
      </x:c>
      <x:c r="AA102"/>
      <x:c r="AB102"/>
      <x:c r="AC102" s="13"/>
      <x:c r="AD102" t="n">
        <x:v>0</x:v>
      </x:c>
      <x:c r="AE102" s="19" t="n">
        <x:v>96331</x:v>
      </x:c>
      <x:c r="AF102" t="str">
        <x:v>deepseek-v4-pro</x:v>
      </x:c>
      <x:c r="AG102" s="20" t="n">
        <x:v>46225.22626363426</x:v>
      </x:c>
      <x:c r="AH102" t="n">
        <x:v>200</x:v>
      </x:c>
      <x:c r="AI102" t="str">
        <x:v>c204b3be59986c798af595f35d591b5ce0a63f7fa9a890d24af20778e5d8c6ea</x:v>
      </x:c>
      <x:c r="AJ102" t="str">
        <x:v>99e55c13b29cbadc235b4f0a7b22308079cd00d971954f9264c02b407e0220b5</x:v>
      </x:c>
    </x:row>
    <x:row r="103">
      <x:c r="A103" s="17" t="str">
        <x:v>102</x:v>
      </x:c>
      <x:c r="B103" t="str">
        <x:v>ZH-BAD-012</x:v>
      </x:c>
      <x:c r="C103" s="17" t="str">
        <x:v>012</x:v>
      </x:c>
      <x:c r="D103" t="str">
        <x:v>Bad</x:v>
      </x:c>
      <x:c r="E103" t="n">
        <x:v>30</x:v>
      </x:c>
      <x:c r="F103" t="n">
        <x:v>49</x:v>
      </x:c>
      <x:c r="G103" t="n">
        <x:v>1</x:v>
      </x:c>
      <x:c r="H103" s="18" t="n">
        <x:v>39</x:v>
      </x:c>
      <x:c r="I103" s="18" t="n">
        <x:v>40</x:v>
      </x:c>
      <x:c r="J103" s="18" t="n">
        <x:v>65</x:v>
      </x:c>
      <x:c r="K103" s="18" t="n">
        <x:v>60</x:v>
      </x:c>
      <x:c r="L103" s="18" t="n">
        <x:v>35</x:v>
      </x:c>
      <x:c r="M103" s="18" t="n">
        <x:v>30</x:v>
      </x:c>
      <x:c r="N103" s="18" t="n">
        <x:v>10</x:v>
      </x:c>
      <x:c r="O103" s="18" t="n">
        <x:v>43</x:v>
      </x:c>
      <x:c r="P103" s="18" t="n">
        <x:v>39</x:v>
      </x:c>
      <x:c r="Q103" t="str">
        <x:v>Yes</x:v>
      </x:c>
      <x:c r="R103" s="18" t="n">
        <x:v>0</x:v>
      </x:c>
      <x:c r="S103" s="18" t="n">
        <x:v>0</x:v>
      </x:c>
      <x:c r="T103" s="18" t="n">
        <x:v>0</x:v>
      </x:c>
      <x:c r="U103" t="str">
        <x:v>Bad</x:v>
      </x:c>
      <x:c r="V103" t="str">
        <x:v>Yes</x:v>
      </x:c>
      <x:c r="W103" t="str">
        <x:v>SEVERELY_DEFICIENT</x:v>
      </x:c>
      <x:c r="X103" t="str">
        <x:v>REWRITE_REQUIRED</x:v>
      </x:c>
      <x:c r="Y103" t="n">
        <x:v>80</x:v>
      </x:c>
      <x:c r="Z103" t="str">
        <x:v>Success</x:v>
      </x:c>
      <x:c r="AA103"/>
      <x:c r="AB103"/>
      <x:c r="AC103" s="13"/>
      <x:c r="AD103" t="n">
        <x:v>0</x:v>
      </x:c>
      <x:c r="AE103" s="19" t="n">
        <x:v>139251</x:v>
      </x:c>
      <x:c r="AF103" t="str">
        <x:v>deepseek-v4-pro</x:v>
      </x:c>
      <x:c r="AG103" s="20" t="n">
        <x:v>46225.227875358796</x:v>
      </x:c>
      <x:c r="AH103" t="n">
        <x:v>200</x:v>
      </x:c>
      <x:c r="AI103" t="str">
        <x:v>93370753d5238b6f3819448c435f49fd0c36b607889cc25f0a019b438870bc94</x:v>
      </x:c>
      <x:c r="AJ103" t="str">
        <x:v>99e55c13b29cbadc235b4f0a7b22308079cd00d971954f9264c02b407e0220b5</x:v>
      </x:c>
    </x:row>
    <x:row r="104">
      <x:c r="A104" s="17" t="str">
        <x:v>103</x:v>
      </x:c>
      <x:c r="B104" t="str">
        <x:v>ZH-BAD-013</x:v>
      </x:c>
      <x:c r="C104" s="17" t="str">
        <x:v>013</x:v>
      </x:c>
      <x:c r="D104" t="str">
        <x:v>Bad</x:v>
      </x:c>
      <x:c r="E104" t="n">
        <x:v>30</x:v>
      </x:c>
      <x:c r="F104" t="n">
        <x:v>49</x:v>
      </x:c>
      <x:c r="G104" t="n">
        <x:v>1</x:v>
      </x:c>
      <x:c r="H104" s="18" t="n">
        <x:v>46</x:v>
      </x:c>
      <x:c r="I104" s="18" t="n">
        <x:v>45</x:v>
      </x:c>
      <x:c r="J104" s="18" t="n">
        <x:v>40</x:v>
      </x:c>
      <x:c r="K104" s="18" t="n">
        <x:v>50</x:v>
      </x:c>
      <x:c r="L104" s="18" t="n">
        <x:v>60</x:v>
      </x:c>
      <x:c r="M104" s="18" t="n">
        <x:v>45</x:v>
      </x:c>
      <x:c r="N104" s="18" t="n">
        <x:v>30</x:v>
      </x:c>
      <x:c r="O104" s="18" t="n">
        <x:v>46</x:v>
      </x:c>
      <x:c r="P104" s="18" t="n">
        <x:v>59</x:v>
      </x:c>
      <x:c r="Q104" t="str">
        <x:v>Yes</x:v>
      </x:c>
      <x:c r="R104" s="18" t="n">
        <x:v>0</x:v>
      </x:c>
      <x:c r="S104" s="18" t="n">
        <x:v>0</x:v>
      </x:c>
      <x:c r="T104" s="18" t="n">
        <x:v>0</x:v>
      </x:c>
      <x:c r="U104" t="str">
        <x:v>Bad</x:v>
      </x:c>
      <x:c r="V104" t="str">
        <x:v>Yes</x:v>
      </x:c>
      <x:c r="W104" t="str">
        <x:v>WEAK</x:v>
      </x:c>
      <x:c r="X104" t="str">
        <x:v>REWRITE_REQUIRED</x:v>
      </x:c>
      <x:c r="Y104" t="n">
        <x:v>80</x:v>
      </x:c>
      <x:c r="Z104" t="str">
        <x:v>Success</x:v>
      </x:c>
      <x:c r="AA104"/>
      <x:c r="AB104"/>
      <x:c r="AC104" s="13"/>
      <x:c r="AD104" t="n">
        <x:v>0</x:v>
      </x:c>
      <x:c r="AE104" s="19" t="n">
        <x:v>90741</x:v>
      </x:c>
      <x:c r="AF104" t="str">
        <x:v>deepseek-v4-pro</x:v>
      </x:c>
      <x:c r="AG104" s="20" t="n">
        <x:v>46225.228925625</x:v>
      </x:c>
      <x:c r="AH104" t="n">
        <x:v>200</x:v>
      </x:c>
      <x:c r="AI104" t="str">
        <x:v>df2c7c374164241faed1d666a5f2f95880a156ea40d7b56745086f2a9d2b2f32</x:v>
      </x:c>
      <x:c r="AJ104" t="str">
        <x:v>99e55c13b29cbadc235b4f0a7b22308079cd00d971954f9264c02b407e0220b5</x:v>
      </x:c>
    </x:row>
    <x:row r="105">
      <x:c r="A105" s="17" t="str">
        <x:v>104</x:v>
      </x:c>
      <x:c r="B105" t="str">
        <x:v>ZH-BAD-014</x:v>
      </x:c>
      <x:c r="C105" s="17" t="str">
        <x:v>014</x:v>
      </x:c>
      <x:c r="D105" t="str">
        <x:v>Bad</x:v>
      </x:c>
      <x:c r="E105" t="n">
        <x:v>30</x:v>
      </x:c>
      <x:c r="F105" t="n">
        <x:v>49</x:v>
      </x:c>
      <x:c r="G105" t="n">
        <x:v>1</x:v>
      </x:c>
      <x:c r="H105" s="18" t="n">
        <x:v>39</x:v>
      </x:c>
      <x:c r="I105" s="18" t="n">
        <x:v>50</x:v>
      </x:c>
      <x:c r="J105" s="18" t="n">
        <x:v>62</x:v>
      </x:c>
      <x:c r="K105" s="18" t="n">
        <x:v>65</x:v>
      </x:c>
      <x:c r="L105" s="18" t="n">
        <x:v>60</x:v>
      </x:c>
      <x:c r="M105" s="18" t="n">
        <x:v>45</x:v>
      </x:c>
      <x:c r="N105" s="18" t="n">
        <x:v>25</x:v>
      </x:c>
      <x:c r="O105" s="18" t="n">
        <x:v>53</x:v>
      </x:c>
      <x:c r="P105" s="18" t="n">
        <x:v>39</x:v>
      </x:c>
      <x:c r="Q105" t="str">
        <x:v>Yes</x:v>
      </x:c>
      <x:c r="R105" s="18" t="n">
        <x:v>0</x:v>
      </x:c>
      <x:c r="S105" s="18" t="n">
        <x:v>0</x:v>
      </x:c>
      <x:c r="T105" s="18" t="n">
        <x:v>0</x:v>
      </x:c>
      <x:c r="U105" t="str">
        <x:v>Bad</x:v>
      </x:c>
      <x:c r="V105" t="str">
        <x:v>Yes</x:v>
      </x:c>
      <x:c r="W105" t="str">
        <x:v>SEVERELY_DEFICIENT</x:v>
      </x:c>
      <x:c r="X105" t="str">
        <x:v>REWRITE_REQUIRED</x:v>
      </x:c>
      <x:c r="Y105" t="n">
        <x:v>80</x:v>
      </x:c>
      <x:c r="Z105" t="str">
        <x:v>Success</x:v>
      </x:c>
      <x:c r="AA105"/>
      <x:c r="AB105"/>
      <x:c r="AC105" s="13"/>
      <x:c r="AD105" t="n">
        <x:v>0</x:v>
      </x:c>
      <x:c r="AE105" s="19" t="n">
        <x:v>102309</x:v>
      </x:c>
      <x:c r="AF105" t="str">
        <x:v>deepseek-v4-pro</x:v>
      </x:c>
      <x:c r="AG105" s="20" t="n">
        <x:v>46225.230109780096</x:v>
      </x:c>
      <x:c r="AH105" t="n">
        <x:v>200</x:v>
      </x:c>
      <x:c r="AI105" t="str">
        <x:v>70568fa9f9cfb355ba0f18bd5687148d4d1ad969b7fdfd0e45e0f1c4c96e3c8c</x:v>
      </x:c>
      <x:c r="AJ105" t="str">
        <x:v>99e55c13b29cbadc235b4f0a7b22308079cd00d971954f9264c02b407e0220b5</x:v>
      </x:c>
    </x:row>
    <x:row r="106">
      <x:c r="A106" s="17" t="str">
        <x:v>105</x:v>
      </x:c>
      <x:c r="B106" t="str">
        <x:v>ZH-BAD-015</x:v>
      </x:c>
      <x:c r="C106" s="17" t="str">
        <x:v>015</x:v>
      </x:c>
      <x:c r="D106" t="str">
        <x:v>Bad</x:v>
      </x:c>
      <x:c r="E106" t="n">
        <x:v>30</x:v>
      </x:c>
      <x:c r="F106" t="n">
        <x:v>49</x:v>
      </x:c>
      <x:c r="G106" t="n">
        <x:v>1</x:v>
      </x:c>
      <x:c r="H106" s="18" t="n">
        <x:v>52</x:v>
      </x:c>
      <x:c r="I106" s="18" t="n">
        <x:v>55</x:v>
      </x:c>
      <x:c r="J106" s="18" t="n">
        <x:v>45</x:v>
      </x:c>
      <x:c r="K106" s="18" t="n">
        <x:v>60</x:v>
      </x:c>
      <x:c r="L106" s="18" t="n">
        <x:v>55</x:v>
      </x:c>
      <x:c r="M106" s="18" t="n">
        <x:v>50</x:v>
      </x:c>
      <x:c r="N106" s="18" t="n">
        <x:v>40</x:v>
      </x:c>
      <x:c r="O106" s="18" t="n">
        <x:v>52</x:v>
      </x:c>
      <x:c r="P106" s="18" t="n">
        <x:v>59</x:v>
      </x:c>
      <x:c r="Q106" t="str">
        <x:v>No</x:v>
      </x:c>
      <x:c r="R106" s="18" t="n">
        <x:v>3</x:v>
      </x:c>
      <x:c r="S106" s="18" t="n">
        <x:v>0</x:v>
      </x:c>
      <x:c r="T106" s="18" t="n">
        <x:v>3</x:v>
      </x:c>
      <x:c r="U106" t="str">
        <x:v>Normal</x:v>
      </x:c>
      <x:c r="V106" t="str">
        <x:v>No</x:v>
      </x:c>
      <x:c r="W106" t="str">
        <x:v>WEAK</x:v>
      </x:c>
      <x:c r="X106" t="str">
        <x:v>REWRITE_REQUIRED</x:v>
      </x:c>
      <x:c r="Y106" t="n">
        <x:v>80</x:v>
      </x:c>
      <x:c r="Z106" t="str">
        <x:v>Success</x:v>
      </x:c>
      <x:c r="AA106"/>
      <x:c r="AB106"/>
      <x:c r="AC106" s="13"/>
      <x:c r="AD106" t="n">
        <x:v>0</x:v>
      </x:c>
      <x:c r="AE106" s="19" t="n">
        <x:v>108312</x:v>
      </x:c>
      <x:c r="AF106" t="str">
        <x:v>deepseek-v4-pro</x:v>
      </x:c>
      <x:c r="AG106" s="20" t="n">
        <x:v>46225.231363425926</x:v>
      </x:c>
      <x:c r="AH106" t="n">
        <x:v>200</x:v>
      </x:c>
      <x:c r="AI106" t="str">
        <x:v>9c4a903f9679333fe6e42a7f7f86b67f20722d6e7955df3995d550b02c6a858f</x:v>
      </x:c>
      <x:c r="AJ106" t="str">
        <x:v>99e55c13b29cbadc235b4f0a7b22308079cd00d971954f9264c02b407e0220b5</x:v>
      </x:c>
    </x:row>
    <x:row r="107">
      <x:c r="A107" s="17" t="str">
        <x:v>106</x:v>
      </x:c>
      <x:c r="B107" t="str">
        <x:v>ZH-BAD-016</x:v>
      </x:c>
      <x:c r="C107" s="17" t="str">
        <x:v>016</x:v>
      </x:c>
      <x:c r="D107" t="str">
        <x:v>Bad</x:v>
      </x:c>
      <x:c r="E107" t="n">
        <x:v>30</x:v>
      </x:c>
      <x:c r="F107" t="n">
        <x:v>49</x:v>
      </x:c>
      <x:c r="G107" t="n">
        <x:v>1</x:v>
      </x:c>
      <x:c r="H107" s="18" t="n">
        <x:v>48</x:v>
      </x:c>
      <x:c r="I107" s="18" t="n">
        <x:v>45</x:v>
      </x:c>
      <x:c r="J107" s="18" t="n">
        <x:v>40</x:v>
      </x:c>
      <x:c r="K107" s="18" t="n">
        <x:v>60</x:v>
      </x:c>
      <x:c r="L107" s="18" t="n">
        <x:v>55</x:v>
      </x:c>
      <x:c r="M107" s="18" t="n">
        <x:v>45</x:v>
      </x:c>
      <x:c r="N107" s="18" t="n">
        <x:v>45</x:v>
      </x:c>
      <x:c r="O107" s="18" t="n">
        <x:v>48</x:v>
      </x:c>
      <x:c r="P107" s="18" t="n">
        <x:v>59</x:v>
      </x:c>
      <x:c r="Q107" t="str">
        <x:v>Yes</x:v>
      </x:c>
      <x:c r="R107" s="18" t="n">
        <x:v>0</x:v>
      </x:c>
      <x:c r="S107" s="18" t="n">
        <x:v>0</x:v>
      </x:c>
      <x:c r="T107" s="18" t="n">
        <x:v>0</x:v>
      </x:c>
      <x:c r="U107" t="str">
        <x:v>Bad</x:v>
      </x:c>
      <x:c r="V107" t="str">
        <x:v>Yes</x:v>
      </x:c>
      <x:c r="W107" t="str">
        <x:v>WEAK</x:v>
      </x:c>
      <x:c r="X107" t="str">
        <x:v>REWRITE_REQUIRED</x:v>
      </x:c>
      <x:c r="Y107" t="n">
        <x:v>80</x:v>
      </x:c>
      <x:c r="Z107" t="str">
        <x:v>Success</x:v>
      </x:c>
      <x:c r="AA107"/>
      <x:c r="AB107"/>
      <x:c r="AC107" s="13"/>
      <x:c r="AD107" t="n">
        <x:v>0</x:v>
      </x:c>
      <x:c r="AE107" s="19" t="n">
        <x:v>125128</x:v>
      </x:c>
      <x:c r="AF107" t="str">
        <x:v>deepseek-v4-pro</x:v>
      </x:c>
      <x:c r="AG107" s="20" t="n">
        <x:v>46225.23281168981</x:v>
      </x:c>
      <x:c r="AH107" t="n">
        <x:v>200</x:v>
      </x:c>
      <x:c r="AI107" t="str">
        <x:v>5eff0a4595bddcc79b6c99eadf1bac616fee539bff42e1c30f13d9e16c366346</x:v>
      </x:c>
      <x:c r="AJ107" t="str">
        <x:v>99e55c13b29cbadc235b4f0a7b22308079cd00d971954f9264c02b407e0220b5</x:v>
      </x:c>
    </x:row>
    <x:row r="108">
      <x:c r="A108" s="17" t="str">
        <x:v>107</x:v>
      </x:c>
      <x:c r="B108" t="str">
        <x:v>ZH-BAD-017</x:v>
      </x:c>
      <x:c r="C108" s="17" t="str">
        <x:v>017</x:v>
      </x:c>
      <x:c r="D108" t="str">
        <x:v>Bad</x:v>
      </x:c>
      <x:c r="E108" t="n">
        <x:v>30</x:v>
      </x:c>
      <x:c r="F108" t="n">
        <x:v>49</x:v>
      </x:c>
      <x:c r="G108" t="n">
        <x:v>1</x:v>
      </x:c>
      <x:c r="H108" s="18" t="n">
        <x:v>50</x:v>
      </x:c>
      <x:c r="I108" s="18" t="n">
        <x:v>50</x:v>
      </x:c>
      <x:c r="J108" s="18" t="n">
        <x:v>45</x:v>
      </x:c>
      <x:c r="K108" s="18" t="n">
        <x:v>60</x:v>
      </x:c>
      <x:c r="L108" s="18" t="n">
        <x:v>60</x:v>
      </x:c>
      <x:c r="M108" s="18" t="n">
        <x:v>40</x:v>
      </x:c>
      <x:c r="N108" s="18" t="n">
        <x:v>40</x:v>
      </x:c>
      <x:c r="O108" s="18" t="n">
        <x:v>50</x:v>
      </x:c>
      <x:c r="P108" s="18" t="n">
        <x:v>59</x:v>
      </x:c>
      <x:c r="Q108" t="str">
        <x:v>No</x:v>
      </x:c>
      <x:c r="R108" s="18" t="n">
        <x:v>1</x:v>
      </x:c>
      <x:c r="S108" s="18" t="n">
        <x:v>0</x:v>
      </x:c>
      <x:c r="T108" s="18" t="n">
        <x:v>1</x:v>
      </x:c>
      <x:c r="U108" t="str">
        <x:v>Normal</x:v>
      </x:c>
      <x:c r="V108" t="str">
        <x:v>No</x:v>
      </x:c>
      <x:c r="W108" t="str">
        <x:v>WEAK</x:v>
      </x:c>
      <x:c r="X108" t="str">
        <x:v>REWRITE_REQUIRED</x:v>
      </x:c>
      <x:c r="Y108" t="n">
        <x:v>80</x:v>
      </x:c>
      <x:c r="Z108" t="str">
        <x:v>Success</x:v>
      </x:c>
      <x:c r="AA108"/>
      <x:c r="AB108"/>
      <x:c r="AC108" s="13"/>
      <x:c r="AD108" t="n">
        <x:v>0</x:v>
      </x:c>
      <x:c r="AE108" s="19" t="n">
        <x:v>82769</x:v>
      </x:c>
      <x:c r="AF108" t="str">
        <x:v>deepseek-v4-pro</x:v>
      </x:c>
      <x:c r="AG108" s="20" t="n">
        <x:v>46225.2337696875</x:v>
      </x:c>
      <x:c r="AH108" t="n">
        <x:v>200</x:v>
      </x:c>
      <x:c r="AI108" t="str">
        <x:v>4443757a5b6b92e055da56e05033cefba3bcb4ccb540277ae3f393219cb9bcd7</x:v>
      </x:c>
      <x:c r="AJ108" t="str">
        <x:v>99e55c13b29cbadc235b4f0a7b22308079cd00d971954f9264c02b407e0220b5</x:v>
      </x:c>
    </x:row>
    <x:row r="109">
      <x:c r="A109" s="17" t="str">
        <x:v>108</x:v>
      </x:c>
      <x:c r="B109" t="str">
        <x:v>ZH-BAD-018</x:v>
      </x:c>
      <x:c r="C109" s="17" t="str">
        <x:v>018</x:v>
      </x:c>
      <x:c r="D109" t="str">
        <x:v>Bad</x:v>
      </x:c>
      <x:c r="E109" t="n">
        <x:v>30</x:v>
      </x:c>
      <x:c r="F109" t="n">
        <x:v>49</x:v>
      </x:c>
      <x:c r="G109" t="n">
        <x:v>1</x:v>
      </x:c>
      <x:c r="H109" s="18" t="n">
        <x:v>48</x:v>
      </x:c>
      <x:c r="I109" s="18" t="n">
        <x:v>45</x:v>
      </x:c>
      <x:c r="J109" s="18" t="n">
        <x:v>40</x:v>
      </x:c>
      <x:c r="K109" s="18" t="n">
        <x:v>60</x:v>
      </x:c>
      <x:c r="L109" s="18" t="n">
        <x:v>60</x:v>
      </x:c>
      <x:c r="M109" s="18" t="n">
        <x:v>45</x:v>
      </x:c>
      <x:c r="N109" s="18" t="n">
        <x:v>40</x:v>
      </x:c>
      <x:c r="O109" s="18" t="n">
        <x:v>48</x:v>
      </x:c>
      <x:c r="P109" s="18" t="n">
        <x:v>59</x:v>
      </x:c>
      <x:c r="Q109" t="str">
        <x:v>Yes</x:v>
      </x:c>
      <x:c r="R109" s="18" t="n">
        <x:v>0</x:v>
      </x:c>
      <x:c r="S109" s="18" t="n">
        <x:v>0</x:v>
      </x:c>
      <x:c r="T109" s="18" t="n">
        <x:v>0</x:v>
      </x:c>
      <x:c r="U109" t="str">
        <x:v>Bad</x:v>
      </x:c>
      <x:c r="V109" t="str">
        <x:v>Yes</x:v>
      </x:c>
      <x:c r="W109" t="str">
        <x:v>WEAK</x:v>
      </x:c>
      <x:c r="X109" t="str">
        <x:v>REWRITE_REQUIRED</x:v>
      </x:c>
      <x:c r="Y109" t="n">
        <x:v>80</x:v>
      </x:c>
      <x:c r="Z109" t="str">
        <x:v>Success</x:v>
      </x:c>
      <x:c r="AA109"/>
      <x:c r="AB109"/>
      <x:c r="AC109" s="13"/>
      <x:c r="AD109" t="n">
        <x:v>0</x:v>
      </x:c>
      <x:c r="AE109" s="19" t="n">
        <x:v>129373</x:v>
      </x:c>
      <x:c r="AF109" t="str">
        <x:v>deepseek-v4-pro</x:v>
      </x:c>
      <x:c r="AG109" s="20" t="n">
        <x:v>46225.235267094904</x:v>
      </x:c>
      <x:c r="AH109" t="n">
        <x:v>200</x:v>
      </x:c>
      <x:c r="AI109" t="str">
        <x:v>c752c0b245e19c941e2921c415e27887f0720b23272df3d51ea87e71369d577e</x:v>
      </x:c>
      <x:c r="AJ109" t="str">
        <x:v>99e55c13b29cbadc235b4f0a7b22308079cd00d971954f9264c02b407e0220b5</x:v>
      </x:c>
    </x:row>
    <x:row r="110">
      <x:c r="A110" s="17" t="str">
        <x:v>109</x:v>
      </x:c>
      <x:c r="B110" t="str">
        <x:v>ZH-BAD-019</x:v>
      </x:c>
      <x:c r="C110" s="17" t="str">
        <x:v>019</x:v>
      </x:c>
      <x:c r="D110" t="str">
        <x:v>Bad</x:v>
      </x:c>
      <x:c r="E110" t="n">
        <x:v>30</x:v>
      </x:c>
      <x:c r="F110" t="n">
        <x:v>49</x:v>
      </x:c>
      <x:c r="G110" t="n">
        <x:v>1</x:v>
      </x:c>
      <x:c r="H110" s="18" t="n">
        <x:v>57</x:v>
      </x:c>
      <x:c r="I110" s="18" t="n">
        <x:v>55</x:v>
      </x:c>
      <x:c r="J110" s="18" t="n">
        <x:v>65</x:v>
      </x:c>
      <x:c r="K110" s="18" t="n">
        <x:v>60</x:v>
      </x:c>
      <x:c r="L110" s="18" t="n">
        <x:v>55</x:v>
      </x:c>
      <x:c r="M110" s="18" t="n">
        <x:v>50</x:v>
      </x:c>
      <x:c r="N110" s="18" t="n">
        <x:v>55</x:v>
      </x:c>
      <x:c r="O110" s="18" t="n">
        <x:v>57</x:v>
      </x:c>
      <x:c r="P110" s="18" t="n">
        <x:v>59</x:v>
      </x:c>
      <x:c r="Q110" t="str">
        <x:v>No</x:v>
      </x:c>
      <x:c r="R110" s="18" t="n">
        <x:v>8</x:v>
      </x:c>
      <x:c r="S110" s="18" t="n">
        <x:v>0</x:v>
      </x:c>
      <x:c r="T110" s="18" t="n">
        <x:v>8</x:v>
      </x:c>
      <x:c r="U110" t="str">
        <x:v>Normal</x:v>
      </x:c>
      <x:c r="V110" t="str">
        <x:v>No</x:v>
      </x:c>
      <x:c r="W110" t="str">
        <x:v>WEAK</x:v>
      </x:c>
      <x:c r="X110" t="str">
        <x:v>REWRITE_REQUIRED</x:v>
      </x:c>
      <x:c r="Y110" t="n">
        <x:v>80</x:v>
      </x:c>
      <x:c r="Z110" t="str">
        <x:v>Success</x:v>
      </x:c>
      <x:c r="AA110"/>
      <x:c r="AB110"/>
      <x:c r="AC110" s="13"/>
      <x:c r="AD110" t="n">
        <x:v>0</x:v>
      </x:c>
      <x:c r="AE110" s="19" t="n">
        <x:v>82607</x:v>
      </x:c>
      <x:c r="AF110" t="str">
        <x:v>deepseek-v4-pro</x:v>
      </x:c>
      <x:c r="AG110" s="20" t="n">
        <x:v>46225.236223217595</x:v>
      </x:c>
      <x:c r="AH110" t="n">
        <x:v>200</x:v>
      </x:c>
      <x:c r="AI110" t="str">
        <x:v>e48dd6d04a0def8204c758c3e4ed884648b5198f5d7ff01e0b06da2c7a3ba7ee</x:v>
      </x:c>
      <x:c r="AJ110" t="str">
        <x:v>99e55c13b29cbadc235b4f0a7b22308079cd00d971954f9264c02b407e0220b5</x:v>
      </x:c>
    </x:row>
    <x:row r="111">
      <x:c r="A111" s="17" t="str">
        <x:v>110</x:v>
      </x:c>
      <x:c r="B111" t="str">
        <x:v>ZH-BAD-020</x:v>
      </x:c>
      <x:c r="C111" s="17" t="str">
        <x:v>020</x:v>
      </x:c>
      <x:c r="D111" t="str">
        <x:v>Bad</x:v>
      </x:c>
      <x:c r="E111" t="n">
        <x:v>30</x:v>
      </x:c>
      <x:c r="F111" t="n">
        <x:v>49</x:v>
      </x:c>
      <x:c r="G111" t="n">
        <x:v>1</x:v>
      </x:c>
      <x:c r="H111" s="18" t="n">
        <x:v>42</x:v>
      </x:c>
      <x:c r="I111" s="18" t="n">
        <x:v>40</x:v>
      </x:c>
      <x:c r="J111" s="18" t="n">
        <x:v>35</x:v>
      </x:c>
      <x:c r="K111" s="18" t="n">
        <x:v>45</x:v>
      </x:c>
      <x:c r="L111" s="18" t="n">
        <x:v>62</x:v>
      </x:c>
      <x:c r="M111" s="18" t="n">
        <x:v>45</x:v>
      </x:c>
      <x:c r="N111" s="18" t="n">
        <x:v>25</x:v>
      </x:c>
      <x:c r="O111" s="18" t="n">
        <x:v>42</x:v>
      </x:c>
      <x:c r="P111" s="18" t="n">
        <x:v>59</x:v>
      </x:c>
      <x:c r="Q111" t="str">
        <x:v>Yes</x:v>
      </x:c>
      <x:c r="R111" s="18" t="n">
        <x:v>0</x:v>
      </x:c>
      <x:c r="S111" s="18" t="n">
        <x:v>0</x:v>
      </x:c>
      <x:c r="T111" s="18" t="n">
        <x:v>0</x:v>
      </x:c>
      <x:c r="U111" t="str">
        <x:v>Bad</x:v>
      </x:c>
      <x:c r="V111" t="str">
        <x:v>Yes</x:v>
      </x:c>
      <x:c r="W111" t="str">
        <x:v>WEAK</x:v>
      </x:c>
      <x:c r="X111" t="str">
        <x:v>REWRITE_REQUIRED</x:v>
      </x:c>
      <x:c r="Y111" t="n">
        <x:v>80</x:v>
      </x:c>
      <x:c r="Z111" t="str">
        <x:v>Success</x:v>
      </x:c>
      <x:c r="AA111"/>
      <x:c r="AB111"/>
      <x:c r="AC111" s="13"/>
      <x:c r="AD111" t="n">
        <x:v>0</x:v>
      </x:c>
      <x:c r="AE111" s="19" t="n">
        <x:v>128451</x:v>
      </x:c>
      <x:c r="AF111" t="str">
        <x:v>deepseek-v4-pro</x:v>
      </x:c>
      <x:c r="AG111" s="20" t="n">
        <x:v>46225.237709953704</x:v>
      </x:c>
      <x:c r="AH111" t="n">
        <x:v>200</x:v>
      </x:c>
      <x:c r="AI111" t="str">
        <x:v>a7b45341bdcb1ec4352608a1180e6ea0aab1c006062ee4c2602d8eff540d0439</x:v>
      </x:c>
      <x:c r="AJ111" t="str">
        <x:v>99e55c13b29cbadc235b4f0a7b22308079cd00d971954f9264c02b407e0220b5</x:v>
      </x:c>
    </x:row>
    <x:row r="112">
      <x:c r="A112" s="17" t="str">
        <x:v>111</x:v>
      </x:c>
      <x:c r="B112" t="str">
        <x:v>ZH-BAD-021</x:v>
      </x:c>
      <x:c r="C112" s="17" t="str">
        <x:v>021</x:v>
      </x:c>
      <x:c r="D112" t="str">
        <x:v>Bad</x:v>
      </x:c>
      <x:c r="E112" t="n">
        <x:v>30</x:v>
      </x:c>
      <x:c r="F112" t="n">
        <x:v>49</x:v>
      </x:c>
      <x:c r="G112" t="n">
        <x:v>1</x:v>
      </x:c>
      <x:c r="H112" s="18" t="n">
        <x:v>51</x:v>
      </x:c>
      <x:c r="I112" s="18" t="n">
        <x:v>55</x:v>
      </x:c>
      <x:c r="J112" s="18" t="n">
        <x:v>45</x:v>
      </x:c>
      <x:c r="K112" s="18" t="n">
        <x:v>50</x:v>
      </x:c>
      <x:c r="L112" s="18" t="n">
        <x:v>55</x:v>
      </x:c>
      <x:c r="M112" s="18" t="n">
        <x:v>45</x:v>
      </x:c>
      <x:c r="N112" s="18" t="n">
        <x:v>55</x:v>
      </x:c>
      <x:c r="O112" s="18" t="n">
        <x:v>51</x:v>
      </x:c>
      <x:c r="P112" s="18" t="n">
        <x:v>59</x:v>
      </x:c>
      <x:c r="Q112" t="str">
        <x:v>No</x:v>
      </x:c>
      <x:c r="R112" s="18" t="n">
        <x:v>2</x:v>
      </x:c>
      <x:c r="S112" s="18" t="n">
        <x:v>0</x:v>
      </x:c>
      <x:c r="T112" s="18" t="n">
        <x:v>2</x:v>
      </x:c>
      <x:c r="U112" t="str">
        <x:v>Normal</x:v>
      </x:c>
      <x:c r="V112" t="str">
        <x:v>No</x:v>
      </x:c>
      <x:c r="W112" t="str">
        <x:v>WEAK</x:v>
      </x:c>
      <x:c r="X112" t="str">
        <x:v>REWRITE_REQUIRED</x:v>
      </x:c>
      <x:c r="Y112" t="n">
        <x:v>80</x:v>
      </x:c>
      <x:c r="Z112" t="str">
        <x:v>Success</x:v>
      </x:c>
      <x:c r="AA112"/>
      <x:c r="AB112"/>
      <x:c r="AC112" s="13"/>
      <x:c r="AD112" t="n">
        <x:v>0</x:v>
      </x:c>
      <x:c r="AE112" s="19" t="n">
        <x:v>77882</x:v>
      </x:c>
      <x:c r="AF112" t="str">
        <x:v>deepseek-v4-pro</x:v>
      </x:c>
      <x:c r="AG112" s="20" t="n">
        <x:v>46225.23861137732</x:v>
      </x:c>
      <x:c r="AH112" t="n">
        <x:v>200</x:v>
      </x:c>
      <x:c r="AI112" t="str">
        <x:v>ba2b95bcfe50a91f8e1971eda2b513f78d31a422a5a706ae09e44bc958069fc4</x:v>
      </x:c>
      <x:c r="AJ112" t="str">
        <x:v>99e55c13b29cbadc235b4f0a7b22308079cd00d971954f9264c02b407e0220b5</x:v>
      </x:c>
    </x:row>
    <x:row r="113">
      <x:c r="A113" s="17" t="str">
        <x:v>112</x:v>
      </x:c>
      <x:c r="B113" t="str">
        <x:v>ZH-BAD-022</x:v>
      </x:c>
      <x:c r="C113" s="17" t="str">
        <x:v>022</x:v>
      </x:c>
      <x:c r="D113" t="str">
        <x:v>Bad</x:v>
      </x:c>
      <x:c r="E113" t="n">
        <x:v>30</x:v>
      </x:c>
      <x:c r="F113" t="n">
        <x:v>49</x:v>
      </x:c>
      <x:c r="G113" t="n">
        <x:v>1</x:v>
      </x:c>
      <x:c r="H113" s="18" t="n">
        <x:v>59</x:v>
      </x:c>
      <x:c r="I113" s="18" t="n">
        <x:v>55</x:v>
      </x:c>
      <x:c r="J113" s="18" t="n">
        <x:v>45</x:v>
      </x:c>
      <x:c r="K113" s="18" t="n">
        <x:v>78</x:v>
      </x:c>
      <x:c r="L113" s="18" t="n">
        <x:v>78</x:v>
      </x:c>
      <x:c r="M113" s="18" t="n">
        <x:v>59</x:v>
      </x:c>
      <x:c r="N113" s="18" t="n">
        <x:v>55</x:v>
      </x:c>
      <x:c r="O113" s="18" t="n">
        <x:v>61</x:v>
      </x:c>
      <x:c r="P113" s="18" t="n">
        <x:v>59</x:v>
      </x:c>
      <x:c r="Q113" t="str">
        <x:v>No</x:v>
      </x:c>
      <x:c r="R113" s="18" t="n">
        <x:v>10</x:v>
      </x:c>
      <x:c r="S113" s="18" t="n">
        <x:v>0</x:v>
      </x:c>
      <x:c r="T113" s="18" t="n">
        <x:v>10</x:v>
      </x:c>
      <x:c r="U113" t="str">
        <x:v>Normal</x:v>
      </x:c>
      <x:c r="V113" t="str">
        <x:v>No</x:v>
      </x:c>
      <x:c r="W113" t="str">
        <x:v>WEAK</x:v>
      </x:c>
      <x:c r="X113" t="str">
        <x:v>REWRITE_REQUIRED</x:v>
      </x:c>
      <x:c r="Y113" t="n">
        <x:v>80</x:v>
      </x:c>
      <x:c r="Z113" t="str">
        <x:v>Success</x:v>
      </x:c>
      <x:c r="AA113"/>
      <x:c r="AB113"/>
      <x:c r="AC113" s="13"/>
      <x:c r="AD113" t="n">
        <x:v>0</x:v>
      </x:c>
      <x:c r="AE113" s="19" t="n">
        <x:v>114870</x:v>
      </x:c>
      <x:c r="AF113" t="str">
        <x:v>deepseek-v4-pro</x:v>
      </x:c>
      <x:c r="AG113" s="20" t="n">
        <x:v>46225.23994092592</x:v>
      </x:c>
      <x:c r="AH113" t="n">
        <x:v>200</x:v>
      </x:c>
      <x:c r="AI113" t="str">
        <x:v>ef81af3c4e9dc917adb152bd5e7b0606930315fcd84936f608d27e4722963c8d</x:v>
      </x:c>
      <x:c r="AJ113" t="str">
        <x:v>99e55c13b29cbadc235b4f0a7b22308079cd00d971954f9264c02b407e0220b5</x:v>
      </x:c>
    </x:row>
    <x:row r="114">
      <x:c r="A114" s="17" t="str">
        <x:v>113</x:v>
      </x:c>
      <x:c r="B114" t="str">
        <x:v>ZH-BAD-023</x:v>
      </x:c>
      <x:c r="C114" s="17" t="str">
        <x:v>023</x:v>
      </x:c>
      <x:c r="D114" t="str">
        <x:v>Bad</x:v>
      </x:c>
      <x:c r="E114" t="n">
        <x:v>30</x:v>
      </x:c>
      <x:c r="F114" t="n">
        <x:v>49</x:v>
      </x:c>
      <x:c r="G114" t="n">
        <x:v>1</x:v>
      </x:c>
      <x:c r="H114" s="18" t="n">
        <x:v>57</x:v>
      </x:c>
      <x:c r="I114" s="18" t="n">
        <x:v>55</x:v>
      </x:c>
      <x:c r="J114" s="18" t="n">
        <x:v>65</x:v>
      </x:c>
      <x:c r="K114" s="18" t="n">
        <x:v>62</x:v>
      </x:c>
      <x:c r="L114" s="18" t="n">
        <x:v>66</x:v>
      </x:c>
      <x:c r="M114" s="18" t="n">
        <x:v>50</x:v>
      </x:c>
      <x:c r="N114" s="18" t="n">
        <x:v>35</x:v>
      </x:c>
      <x:c r="O114" s="18" t="n">
        <x:v>57</x:v>
      </x:c>
      <x:c r="P114" s="18" t="n">
        <x:v>59</x:v>
      </x:c>
      <x:c r="Q114" t="str">
        <x:v>No</x:v>
      </x:c>
      <x:c r="R114" s="18" t="n">
        <x:v>8</x:v>
      </x:c>
      <x:c r="S114" s="18" t="n">
        <x:v>0</x:v>
      </x:c>
      <x:c r="T114" s="18" t="n">
        <x:v>8</x:v>
      </x:c>
      <x:c r="U114" t="str">
        <x:v>Normal</x:v>
      </x:c>
      <x:c r="V114" t="str">
        <x:v>No</x:v>
      </x:c>
      <x:c r="W114" t="str">
        <x:v>WEAK</x:v>
      </x:c>
      <x:c r="X114" t="str">
        <x:v>REWRITE_REQUIRED</x:v>
      </x:c>
      <x:c r="Y114" t="n">
        <x:v>80</x:v>
      </x:c>
      <x:c r="Z114" t="str">
        <x:v>Success</x:v>
      </x:c>
      <x:c r="AA114"/>
      <x:c r="AB114"/>
      <x:c r="AC114" s="13"/>
      <x:c r="AD114" t="n">
        <x:v>0</x:v>
      </x:c>
      <x:c r="AE114" s="19" t="n">
        <x:v>112096</x:v>
      </x:c>
      <x:c r="AF114" t="str">
        <x:v>deepseek-v4-pro</x:v>
      </x:c>
      <x:c r="AG114" s="20" t="n">
        <x:v>46225.24123836806</x:v>
      </x:c>
      <x:c r="AH114" t="n">
        <x:v>200</x:v>
      </x:c>
      <x:c r="AI114" t="str">
        <x:v>1cf834626458505b8e0528a450cc56f3a1b6f36a31e2d9ebd5a6188cc1ab06e5</x:v>
      </x:c>
      <x:c r="AJ114" t="str">
        <x:v>99e55c13b29cbadc235b4f0a7b22308079cd00d971954f9264c02b407e0220b5</x:v>
      </x:c>
    </x:row>
    <x:row r="115">
      <x:c r="A115" s="17" t="str">
        <x:v>114</x:v>
      </x:c>
      <x:c r="B115" t="str">
        <x:v>ZH-BAD-024</x:v>
      </x:c>
      <x:c r="C115" s="17" t="str">
        <x:v>024</x:v>
      </x:c>
      <x:c r="D115" t="str">
        <x:v>Bad</x:v>
      </x:c>
      <x:c r="E115" t="n">
        <x:v>30</x:v>
      </x:c>
      <x:c r="F115" t="n">
        <x:v>49</x:v>
      </x:c>
      <x:c r="G115" t="n">
        <x:v>1</x:v>
      </x:c>
      <x:c r="H115" s="18" t="n">
        <x:v>48</x:v>
      </x:c>
      <x:c r="I115" s="18" t="n">
        <x:v>45</x:v>
      </x:c>
      <x:c r="J115" s="18" t="n">
        <x:v>40</x:v>
      </x:c>
      <x:c r="K115" s="18" t="n">
        <x:v>60</x:v>
      </x:c>
      <x:c r="L115" s="18" t="n">
        <x:v>60</x:v>
      </x:c>
      <x:c r="M115" s="18" t="n">
        <x:v>50</x:v>
      </x:c>
      <x:c r="N115" s="18" t="n">
        <x:v>30</x:v>
      </x:c>
      <x:c r="O115" s="18" t="n">
        <x:v>48</x:v>
      </x:c>
      <x:c r="P115" s="18" t="n">
        <x:v>59</x:v>
      </x:c>
      <x:c r="Q115" t="str">
        <x:v>Yes</x:v>
      </x:c>
      <x:c r="R115" s="18" t="n">
        <x:v>0</x:v>
      </x:c>
      <x:c r="S115" s="18" t="n">
        <x:v>0</x:v>
      </x:c>
      <x:c r="T115" s="18" t="n">
        <x:v>0</x:v>
      </x:c>
      <x:c r="U115" t="str">
        <x:v>Bad</x:v>
      </x:c>
      <x:c r="V115" t="str">
        <x:v>Yes</x:v>
      </x:c>
      <x:c r="W115" t="str">
        <x:v>WEAK</x:v>
      </x:c>
      <x:c r="X115" t="str">
        <x:v>REWRITE_REQUIRED</x:v>
      </x:c>
      <x:c r="Y115" t="n">
        <x:v>80</x:v>
      </x:c>
      <x:c r="Z115" t="str">
        <x:v>Success</x:v>
      </x:c>
      <x:c r="AA115"/>
      <x:c r="AB115"/>
      <x:c r="AC115" s="13"/>
      <x:c r="AD115" t="n">
        <x:v>0</x:v>
      </x:c>
      <x:c r="AE115" s="19" t="n">
        <x:v>99299</x:v>
      </x:c>
      <x:c r="AF115" t="str">
        <x:v>deepseek-v4-pro</x:v>
      </x:c>
      <x:c r="AG115" s="20" t="n">
        <x:v>46225.24238769676</x:v>
      </x:c>
      <x:c r="AH115" t="n">
        <x:v>200</x:v>
      </x:c>
      <x:c r="AI115" t="str">
        <x:v>a07449faafc374e520aab71800051863ced3027b575fe9bc7d2ec0166e56097b</x:v>
      </x:c>
      <x:c r="AJ115" t="str">
        <x:v>99e55c13b29cbadc235b4f0a7b22308079cd00d971954f9264c02b407e0220b5</x:v>
      </x:c>
    </x:row>
    <x:row r="116">
      <x:c r="A116" s="17" t="str">
        <x:v>115</x:v>
      </x:c>
      <x:c r="B116" t="str">
        <x:v>ZH-BAD-025</x:v>
      </x:c>
      <x:c r="C116" s="17" t="str">
        <x:v>025</x:v>
      </x:c>
      <x:c r="D116" t="str">
        <x:v>Bad</x:v>
      </x:c>
      <x:c r="E116" t="n">
        <x:v>30</x:v>
      </x:c>
      <x:c r="F116" t="n">
        <x:v>49</x:v>
      </x:c>
      <x:c r="G116" t="n">
        <x:v>1</x:v>
      </x:c>
      <x:c r="H116" s="18" t="n">
        <x:v>40</x:v>
      </x:c>
      <x:c r="I116" s="18" t="n">
        <x:v>35</x:v>
      </x:c>
      <x:c r="J116" s="18" t="n">
        <x:v>30</x:v>
      </x:c>
      <x:c r="K116" s="18" t="n">
        <x:v>55</x:v>
      </x:c>
      <x:c r="L116" s="18" t="n">
        <x:v>50</x:v>
      </x:c>
      <x:c r="M116" s="18" t="n">
        <x:v>40</x:v>
      </x:c>
      <x:c r="N116" s="18" t="n">
        <x:v>30</x:v>
      </x:c>
      <x:c r="O116" s="18" t="n">
        <x:v>40</x:v>
      </x:c>
      <x:c r="P116" s="18" t="n">
        <x:v>59</x:v>
      </x:c>
      <x:c r="Q116" t="str">
        <x:v>Yes</x:v>
      </x:c>
      <x:c r="R116" s="18" t="n">
        <x:v>0</x:v>
      </x:c>
      <x:c r="S116" s="18" t="n">
        <x:v>0</x:v>
      </x:c>
      <x:c r="T116" s="18" t="n">
        <x:v>0</x:v>
      </x:c>
      <x:c r="U116" t="str">
        <x:v>Bad</x:v>
      </x:c>
      <x:c r="V116" t="str">
        <x:v>Yes</x:v>
      </x:c>
      <x:c r="W116" t="str">
        <x:v>WEAK</x:v>
      </x:c>
      <x:c r="X116" t="str">
        <x:v>REWRITE_REQUIRED</x:v>
      </x:c>
      <x:c r="Y116" t="n">
        <x:v>80</x:v>
      </x:c>
      <x:c r="Z116" t="str">
        <x:v>Success</x:v>
      </x:c>
      <x:c r="AA116"/>
      <x:c r="AB116"/>
      <x:c r="AC116" s="13"/>
      <x:c r="AD116" t="n">
        <x:v>0</x:v>
      </x:c>
      <x:c r="AE116" s="19" t="n">
        <x:v>77238</x:v>
      </x:c>
      <x:c r="AF116" t="str">
        <x:v>deepseek-v4-pro</x:v>
      </x:c>
      <x:c r="AG116" s="20" t="n">
        <x:v>46225.24328167824</x:v>
      </x:c>
      <x:c r="AH116" t="n">
        <x:v>200</x:v>
      </x:c>
      <x:c r="AI116" t="str">
        <x:v>aa9145f9fcd5a70fd16670b569a1a9495a154f4f31e60e804eb1f83d18cfef14</x:v>
      </x:c>
      <x:c r="AJ116" t="str">
        <x:v>99e55c13b29cbadc235b4f0a7b22308079cd00d971954f9264c02b407e0220b5</x:v>
      </x:c>
    </x:row>
    <x:row r="117">
      <x:c r="A117" s="17" t="str">
        <x:v>116</x:v>
      </x:c>
      <x:c r="B117" t="str">
        <x:v>ZH-BAD-026</x:v>
      </x:c>
      <x:c r="C117" s="17" t="str">
        <x:v>026</x:v>
      </x:c>
      <x:c r="D117" t="str">
        <x:v>Bad</x:v>
      </x:c>
      <x:c r="E117" t="n">
        <x:v>30</x:v>
      </x:c>
      <x:c r="F117" t="n">
        <x:v>49</x:v>
      </x:c>
      <x:c r="G117" t="n">
        <x:v>1</x:v>
      </x:c>
      <x:c r="H117" s="18" t="n">
        <x:v>49</x:v>
      </x:c>
      <x:c r="I117" s="18" t="n">
        <x:v>52</x:v>
      </x:c>
      <x:c r="J117" s="18" t="n">
        <x:v>40</x:v>
      </x:c>
      <x:c r="K117" s="18" t="n">
        <x:v>60</x:v>
      </x:c>
      <x:c r="L117" s="18" t="n">
        <x:v>60</x:v>
      </x:c>
      <x:c r="M117" s="18" t="n">
        <x:v>45</x:v>
      </x:c>
      <x:c r="N117" s="18" t="n">
        <x:v>35</x:v>
      </x:c>
      <x:c r="O117" s="18" t="n">
        <x:v>49</x:v>
      </x:c>
      <x:c r="P117" s="18" t="n">
        <x:v>59</x:v>
      </x:c>
      <x:c r="Q117" t="str">
        <x:v>Yes</x:v>
      </x:c>
      <x:c r="R117" s="18" t="n">
        <x:v>0</x:v>
      </x:c>
      <x:c r="S117" s="18" t="n">
        <x:v>0</x:v>
      </x:c>
      <x:c r="T117" s="18" t="n">
        <x:v>0</x:v>
      </x:c>
      <x:c r="U117" t="str">
        <x:v>Bad</x:v>
      </x:c>
      <x:c r="V117" t="str">
        <x:v>Yes</x:v>
      </x:c>
      <x:c r="W117" t="str">
        <x:v>WEAK</x:v>
      </x:c>
      <x:c r="X117" t="str">
        <x:v>REWRITE_REQUIRED</x:v>
      </x:c>
      <x:c r="Y117" t="n">
        <x:v>80</x:v>
      </x:c>
      <x:c r="Z117" t="str">
        <x:v>Success</x:v>
      </x:c>
      <x:c r="AA117"/>
      <x:c r="AB117"/>
      <x:c r="AC117" s="13"/>
      <x:c r="AD117" t="n">
        <x:v>0</x:v>
      </x:c>
      <x:c r="AE117" s="19" t="n">
        <x:v>88219</x:v>
      </x:c>
      <x:c r="AF117" t="str">
        <x:v>deepseek-v4-pro</x:v>
      </x:c>
      <x:c r="AG117" s="20" t="n">
        <x:v>46225.2443027662</x:v>
      </x:c>
      <x:c r="AH117" t="n">
        <x:v>200</x:v>
      </x:c>
      <x:c r="AI117" t="str">
        <x:v>0e916aec2faf63dfc9caff250ddbdd09638e6a393e3a60f619273c424b553cb6</x:v>
      </x:c>
      <x:c r="AJ117" t="str">
        <x:v>99e55c13b29cbadc235b4f0a7b22308079cd00d971954f9264c02b407e0220b5</x:v>
      </x:c>
    </x:row>
    <x:row r="118">
      <x:c r="A118" s="17" t="str">
        <x:v>117</x:v>
      </x:c>
      <x:c r="B118" t="str">
        <x:v>ZH-BAD-027</x:v>
      </x:c>
      <x:c r="C118" s="17" t="str">
        <x:v>027</x:v>
      </x:c>
      <x:c r="D118" t="str">
        <x:v>Bad</x:v>
      </x:c>
      <x:c r="E118" t="n">
        <x:v>30</x:v>
      </x:c>
      <x:c r="F118" t="n">
        <x:v>49</x:v>
      </x:c>
      <x:c r="G118" t="n">
        <x:v>1</x:v>
      </x:c>
      <x:c r="H118" s="18" t="n">
        <x:v>42</x:v>
      </x:c>
      <x:c r="I118" s="18" t="n">
        <x:v>45</x:v>
      </x:c>
      <x:c r="J118" s="18" t="n">
        <x:v>35</x:v>
      </x:c>
      <x:c r="K118" s="18" t="n">
        <x:v>45</x:v>
      </x:c>
      <x:c r="L118" s="18" t="n">
        <x:v>45</x:v>
      </x:c>
      <x:c r="M118" s="18" t="n">
        <x:v>45</x:v>
      </x:c>
      <x:c r="N118" s="18" t="n">
        <x:v>30</x:v>
      </x:c>
      <x:c r="O118" s="18" t="n">
        <x:v>42</x:v>
      </x:c>
      <x:c r="P118" s="18" t="n">
        <x:v>59</x:v>
      </x:c>
      <x:c r="Q118" t="str">
        <x:v>Yes</x:v>
      </x:c>
      <x:c r="R118" s="18" t="n">
        <x:v>0</x:v>
      </x:c>
      <x:c r="S118" s="18" t="n">
        <x:v>0</x:v>
      </x:c>
      <x:c r="T118" s="18" t="n">
        <x:v>0</x:v>
      </x:c>
      <x:c r="U118" t="str">
        <x:v>Bad</x:v>
      </x:c>
      <x:c r="V118" t="str">
        <x:v>Yes</x:v>
      </x:c>
      <x:c r="W118" t="str">
        <x:v>WEAK</x:v>
      </x:c>
      <x:c r="X118" t="str">
        <x:v>REWRITE_REQUIRED</x:v>
      </x:c>
      <x:c r="Y118" t="n">
        <x:v>80</x:v>
      </x:c>
      <x:c r="Z118" t="str">
        <x:v>Success</x:v>
      </x:c>
      <x:c r="AA118"/>
      <x:c r="AB118"/>
      <x:c r="AC118" s="13"/>
      <x:c r="AD118" t="n">
        <x:v>0</x:v>
      </x:c>
      <x:c r="AE118" s="19" t="n">
        <x:v>80477</x:v>
      </x:c>
      <x:c r="AF118" t="str">
        <x:v>deepseek-v4-pro</x:v>
      </x:c>
      <x:c r="AG118" s="20" t="n">
        <x:v>46225.24523424768</x:v>
      </x:c>
      <x:c r="AH118" t="n">
        <x:v>200</x:v>
      </x:c>
      <x:c r="AI118" t="str">
        <x:v>ce1fc9c5cdcd2ee8ee26eee42c40cfc198f5e1e640b981cc276225d3c4d55e28</x:v>
      </x:c>
      <x:c r="AJ118" t="str">
        <x:v>99e55c13b29cbadc235b4f0a7b22308079cd00d971954f9264c02b407e0220b5</x:v>
      </x:c>
    </x:row>
    <x:row r="119">
      <x:c r="A119" s="17" t="str">
        <x:v>118</x:v>
      </x:c>
      <x:c r="B119" t="str">
        <x:v>ZH-BAD-028</x:v>
      </x:c>
      <x:c r="C119" s="17" t="str">
        <x:v>028</x:v>
      </x:c>
      <x:c r="D119" t="str">
        <x:v>Bad</x:v>
      </x:c>
      <x:c r="E119" t="n">
        <x:v>30</x:v>
      </x:c>
      <x:c r="F119" t="n">
        <x:v>49</x:v>
      </x:c>
      <x:c r="G119" t="n">
        <x:v>1</x:v>
      </x:c>
      <x:c r="H119" s="18" t="n">
        <x:v>59</x:v>
      </x:c>
      <x:c r="I119" s="18" t="n">
        <x:v>55</x:v>
      </x:c>
      <x:c r="J119" s="18" t="n">
        <x:v>65</x:v>
      </x:c>
      <x:c r="K119" s="18" t="n">
        <x:v>72</x:v>
      </x:c>
      <x:c r="L119" s="18" t="n">
        <x:v>65</x:v>
      </x:c>
      <x:c r="M119" s="18" t="n">
        <x:v>55</x:v>
      </x:c>
      <x:c r="N119" s="18" t="n">
        <x:v>45</x:v>
      </x:c>
      <x:c r="O119" s="18" t="n">
        <x:v>60</x:v>
      </x:c>
      <x:c r="P119" s="18" t="n">
        <x:v>59</x:v>
      </x:c>
      <x:c r="Q119" t="str">
        <x:v>No</x:v>
      </x:c>
      <x:c r="R119" s="18" t="n">
        <x:v>10</x:v>
      </x:c>
      <x:c r="S119" s="18" t="n">
        <x:v>0</x:v>
      </x:c>
      <x:c r="T119" s="18" t="n">
        <x:v>10</x:v>
      </x:c>
      <x:c r="U119" t="str">
        <x:v>Normal</x:v>
      </x:c>
      <x:c r="V119" t="str">
        <x:v>No</x:v>
      </x:c>
      <x:c r="W119" t="str">
        <x:v>WEAK</x:v>
      </x:c>
      <x:c r="X119" t="str">
        <x:v>REWRITE_REQUIRED</x:v>
      </x:c>
      <x:c r="Y119" t="n">
        <x:v>80</x:v>
      </x:c>
      <x:c r="Z119" t="str">
        <x:v>Success</x:v>
      </x:c>
      <x:c r="AA119"/>
      <x:c r="AB119"/>
      <x:c r="AC119" s="13"/>
      <x:c r="AD119" t="n">
        <x:v>0</x:v>
      </x:c>
      <x:c r="AE119" s="19" t="n">
        <x:v>95818</x:v>
      </x:c>
      <x:c r="AF119" t="str">
        <x:v>deepseek-v4-pro</x:v>
      </x:c>
      <x:c r="AG119" s="20" t="n">
        <x:v>46225.24634327546</x:v>
      </x:c>
      <x:c r="AH119" t="n">
        <x:v>200</x:v>
      </x:c>
      <x:c r="AI119" t="str">
        <x:v>9da2a8d7acf8968c9d13394ec2a64061363bfc3604b0fb4d2ba6a94ec92d6f0e</x:v>
      </x:c>
      <x:c r="AJ119" t="str">
        <x:v>99e55c13b29cbadc235b4f0a7b22308079cd00d971954f9264c02b407e0220b5</x:v>
      </x:c>
    </x:row>
    <x:row r="120">
      <x:c r="A120" s="17" t="str">
        <x:v>119</x:v>
      </x:c>
      <x:c r="B120" t="str">
        <x:v>ZH-BAD-029</x:v>
      </x:c>
      <x:c r="C120" s="17" t="str">
        <x:v>029</x:v>
      </x:c>
      <x:c r="D120" t="str">
        <x:v>Bad</x:v>
      </x:c>
      <x:c r="E120" t="n">
        <x:v>30</x:v>
      </x:c>
      <x:c r="F120" t="n">
        <x:v>49</x:v>
      </x:c>
      <x:c r="G120" t="n">
        <x:v>1</x:v>
      </x:c>
      <x:c r="H120" s="18" t="n">
        <x:v>46</x:v>
      </x:c>
      <x:c r="I120" s="18" t="n">
        <x:v>48</x:v>
      </x:c>
      <x:c r="J120" s="18" t="n">
        <x:v>35</x:v>
      </x:c>
      <x:c r="K120" s="18" t="n">
        <x:v>55</x:v>
      </x:c>
      <x:c r="L120" s="18" t="n">
        <x:v>50</x:v>
      </x:c>
      <x:c r="M120" s="18" t="n">
        <x:v>45</x:v>
      </x:c>
      <x:c r="N120" s="18" t="n">
        <x:v>45</x:v>
      </x:c>
      <x:c r="O120" s="18" t="n">
        <x:v>46</x:v>
      </x:c>
      <x:c r="P120" s="18" t="n">
        <x:v>59</x:v>
      </x:c>
      <x:c r="Q120" t="str">
        <x:v>Yes</x:v>
      </x:c>
      <x:c r="R120" s="18" t="n">
        <x:v>0</x:v>
      </x:c>
      <x:c r="S120" s="18" t="n">
        <x:v>0</x:v>
      </x:c>
      <x:c r="T120" s="18" t="n">
        <x:v>0</x:v>
      </x:c>
      <x:c r="U120" t="str">
        <x:v>Bad</x:v>
      </x:c>
      <x:c r="V120" t="str">
        <x:v>Yes</x:v>
      </x:c>
      <x:c r="W120" t="str">
        <x:v>WEAK</x:v>
      </x:c>
      <x:c r="X120" t="str">
        <x:v>REWRITE_REQUIRED</x:v>
      </x:c>
      <x:c r="Y120" t="n">
        <x:v>80</x:v>
      </x:c>
      <x:c r="Z120" t="str">
        <x:v>Success</x:v>
      </x:c>
      <x:c r="AA120"/>
      <x:c r="AB120"/>
      <x:c r="AC120" s="13"/>
      <x:c r="AD120" t="n">
        <x:v>0</x:v>
      </x:c>
      <x:c r="AE120" s="19" t="n">
        <x:v>69342</x:v>
      </x:c>
      <x:c r="AF120" t="str">
        <x:v>deepseek-v4-pro</x:v>
      </x:c>
      <x:c r="AG120" s="20" t="n">
        <x:v>46225.24714586805</x:v>
      </x:c>
      <x:c r="AH120" t="n">
        <x:v>200</x:v>
      </x:c>
      <x:c r="AI120" t="str">
        <x:v>bb81319569a55dcf8b699bdc29f7cf231899c7922a715da00b98166282da53a0</x:v>
      </x:c>
      <x:c r="AJ120" t="str">
        <x:v>99e55c13b29cbadc235b4f0a7b22308079cd00d971954f9264c02b407e0220b5</x:v>
      </x:c>
    </x:row>
    <x:row r="121">
      <x:c r="A121" s="17" t="str">
        <x:v>120</x:v>
      </x:c>
      <x:c r="B121" t="str">
        <x:v>ZH-BAD-030</x:v>
      </x:c>
      <x:c r="C121" s="17" t="str">
        <x:v>030</x:v>
      </x:c>
      <x:c r="D121" t="str">
        <x:v>Bad</x:v>
      </x:c>
      <x:c r="E121" t="n">
        <x:v>30</x:v>
      </x:c>
      <x:c r="F121" t="n">
        <x:v>49</x:v>
      </x:c>
      <x:c r="G121" t="n">
        <x:v>1</x:v>
      </x:c>
      <x:c r="H121" s="18" t="n">
        <x:v>49</x:v>
      </x:c>
      <x:c r="I121" s="18" t="n">
        <x:v>52</x:v>
      </x:c>
      <x:c r="J121" s="18" t="n">
        <x:v>45</x:v>
      </x:c>
      <x:c r="K121" s="18" t="n">
        <x:v>50</x:v>
      </x:c>
      <x:c r="L121" s="18" t="n">
        <x:v>55</x:v>
      </x:c>
      <x:c r="M121" s="18" t="n">
        <x:v>48</x:v>
      </x:c>
      <x:c r="N121" s="18" t="n">
        <x:v>45</x:v>
      </x:c>
      <x:c r="O121" s="18" t="n">
        <x:v>49</x:v>
      </x:c>
      <x:c r="P121" s="18" t="n">
        <x:v>59</x:v>
      </x:c>
      <x:c r="Q121" t="str">
        <x:v>Yes</x:v>
      </x:c>
      <x:c r="R121" s="18" t="n">
        <x:v>0</x:v>
      </x:c>
      <x:c r="S121" s="18" t="n">
        <x:v>0</x:v>
      </x:c>
      <x:c r="T121" s="18" t="n">
        <x:v>0</x:v>
      </x:c>
      <x:c r="U121" t="str">
        <x:v>Bad</x:v>
      </x:c>
      <x:c r="V121" t="str">
        <x:v>Yes</x:v>
      </x:c>
      <x:c r="W121" t="str">
        <x:v>WEAK</x:v>
      </x:c>
      <x:c r="X121" t="str">
        <x:v>REWRITE_REQUIRED</x:v>
      </x:c>
      <x:c r="Y121" t="n">
        <x:v>80</x:v>
      </x:c>
      <x:c r="Z121" t="str">
        <x:v>Success</x:v>
      </x:c>
      <x:c r="AA121"/>
      <x:c r="AB121"/>
      <x:c r="AC121" s="13"/>
      <x:c r="AD121" t="n">
        <x:v>0</x:v>
      </x:c>
      <x:c r="AE121" s="19" t="n">
        <x:v>84627</x:v>
      </x:c>
      <x:c r="AF121" t="str">
        <x:v>deepseek-v4-pro</x:v>
      </x:c>
      <x:c r="AG121" s="20" t="n">
        <x:v>46225.24812539352</x:v>
      </x:c>
      <x:c r="AH121" t="n">
        <x:v>200</x:v>
      </x:c>
      <x:c r="AI121" t="str">
        <x:v>43109ca032478edeb35ddfb269619fcf415896e58ecdde26685fa0eef5fc8232</x:v>
      </x:c>
      <x:c r="AJ121" t="str">
        <x:v>99e55c13b29cbadc235b4f0a7b22308079cd00d971954f9264c02b407e0220b5</x:v>
      </x:c>
    </x:row>
    <x:row r="122">
      <x:c r="A122" s="17" t="str">
        <x:v>121</x:v>
      </x:c>
      <x:c r="B122" t="str">
        <x:v>ZH-EXTREMELY-BAD-001</x:v>
      </x:c>
      <x:c r="C122" s="17" t="str">
        <x:v>001</x:v>
      </x:c>
      <x:c r="D122" t="str">
        <x:v>Extremely Bad</x:v>
      </x:c>
      <x:c r="E122" t="n">
        <x:v>0</x:v>
      </x:c>
      <x:c r="F122" t="n">
        <x:v>29</x:v>
      </x:c>
      <x:c r="G122" t="n">
        <x:v>1</x:v>
      </x:c>
      <x:c r="H122" s="18" t="n">
        <x:v>13</x:v>
      </x:c>
      <x:c r="I122" s="18" t="n">
        <x:v>15</x:v>
      </x:c>
      <x:c r="J122" s="18" t="n">
        <x:v>10</x:v>
      </x:c>
      <x:c r="K122" s="18" t="n">
        <x:v>10</x:v>
      </x:c>
      <x:c r="L122" s="18" t="n">
        <x:v>20</x:v>
      </x:c>
      <x:c r="M122" s="18" t="n">
        <x:v>15</x:v>
      </x:c>
      <x:c r="N122" s="18" t="n">
        <x:v>5</x:v>
      </x:c>
      <x:c r="O122" s="18" t="n">
        <x:v>13</x:v>
      </x:c>
      <x:c r="P122" s="18" t="n">
        <x:v>39</x:v>
      </x:c>
      <x:c r="Q122" t="str">
        <x:v>Yes</x:v>
      </x:c>
      <x:c r="R122" s="18" t="n">
        <x:v>0</x:v>
      </x:c>
      <x:c r="S122" s="18" t="n">
        <x:v>0</x:v>
      </x:c>
      <x:c r="T122" s="18" t="n">
        <x:v>0</x:v>
      </x:c>
      <x:c r="U122" t="str">
        <x:v>Extremely Bad</x:v>
      </x:c>
      <x:c r="V122" t="str">
        <x:v>Yes</x:v>
      </x:c>
      <x:c r="W122" t="str">
        <x:v>SEVERELY_DEFICIENT</x:v>
      </x:c>
      <x:c r="X122" t="str">
        <x:v>REWRITE_REQUIRED</x:v>
      </x:c>
      <x:c r="Y122" t="n">
        <x:v>80</x:v>
      </x:c>
      <x:c r="Z122" t="str">
        <x:v>Success</x:v>
      </x:c>
      <x:c r="AA122"/>
      <x:c r="AB122"/>
      <x:c r="AC122" s="13"/>
      <x:c r="AD122" t="n">
        <x:v>0</x:v>
      </x:c>
      <x:c r="AE122" s="19" t="n">
        <x:v>67523</x:v>
      </x:c>
      <x:c r="AF122" t="str">
        <x:v>deepseek-v4-pro</x:v>
      </x:c>
      <x:c r="AG122" s="20" t="n">
        <x:v>46225.2123428125</x:v>
      </x:c>
      <x:c r="AH122" t="n">
        <x:v>200</x:v>
      </x:c>
      <x:c r="AI122" t="str">
        <x:v>caebc203c7a54cbbcd33bc13b5d78520da56091ce6b6a71278c871c037dbf056</x:v>
      </x:c>
      <x:c r="AJ122" t="str">
        <x:v>99e55c13b29cbadc235b4f0a7b22308079cd00d971954f9264c02b407e0220b5</x:v>
      </x:c>
    </x:row>
    <x:row r="123">
      <x:c r="A123" s="17" t="str">
        <x:v>122</x:v>
      </x:c>
      <x:c r="B123" t="str">
        <x:v>ZH-EXTREMELY-BAD-002</x:v>
      </x:c>
      <x:c r="C123" s="17" t="str">
        <x:v>002</x:v>
      </x:c>
      <x:c r="D123" t="str">
        <x:v>Extremely Bad</x:v>
      </x:c>
      <x:c r="E123" t="n">
        <x:v>0</x:v>
      </x:c>
      <x:c r="F123" t="n">
        <x:v>29</x:v>
      </x:c>
      <x:c r="G123" t="n">
        <x:v>1</x:v>
      </x:c>
      <x:c r="H123" s="18" t="n">
        <x:v>27</x:v>
      </x:c>
      <x:c r="I123" s="18" t="n">
        <x:v>30</x:v>
      </x:c>
      <x:c r="J123" s="18" t="n">
        <x:v>30</x:v>
      </x:c>
      <x:c r="K123" s="18" t="n">
        <x:v>25</x:v>
      </x:c>
      <x:c r="L123" s="18" t="n">
        <x:v>30</x:v>
      </x:c>
      <x:c r="M123" s="18" t="n">
        <x:v>30</x:v>
      </x:c>
      <x:c r="N123" s="18" t="n">
        <x:v>10</x:v>
      </x:c>
      <x:c r="O123" s="18" t="n">
        <x:v>27</x:v>
      </x:c>
      <x:c r="P123" s="18" t="n">
        <x:v>39</x:v>
      </x:c>
      <x:c r="Q123" t="str">
        <x:v>Yes</x:v>
      </x:c>
      <x:c r="R123" s="18" t="n">
        <x:v>0</x:v>
      </x:c>
      <x:c r="S123" s="18" t="n">
        <x:v>0</x:v>
      </x:c>
      <x:c r="T123" s="18" t="n">
        <x:v>0</x:v>
      </x:c>
      <x:c r="U123" t="str">
        <x:v>Extremely Bad</x:v>
      </x:c>
      <x:c r="V123" t="str">
        <x:v>Yes</x:v>
      </x:c>
      <x:c r="W123" t="str">
        <x:v>SEVERELY_DEFICIENT</x:v>
      </x:c>
      <x:c r="X123" t="str">
        <x:v>REWRITE_REQUIRED</x:v>
      </x:c>
      <x:c r="Y123" t="n">
        <x:v>80</x:v>
      </x:c>
      <x:c r="Z123" t="str">
        <x:v>Success</x:v>
      </x:c>
      <x:c r="AA123"/>
      <x:c r="AB123"/>
      <x:c r="AC123" s="13"/>
      <x:c r="AD123" t="n">
        <x:v>0</x:v>
      </x:c>
      <x:c r="AE123" s="19" t="n">
        <x:v>90720</x:v>
      </x:c>
      <x:c r="AF123" t="str">
        <x:v>deepseek-v4-pro</x:v>
      </x:c>
      <x:c r="AG123" s="20" t="n">
        <x:v>46225.21339283565</x:v>
      </x:c>
      <x:c r="AH123" t="n">
        <x:v>200</x:v>
      </x:c>
      <x:c r="AI123" t="str">
        <x:v>86c092a1768470cb17f37d441a65fc1ba4840c19ab965bbd47d8f596a960731e</x:v>
      </x:c>
      <x:c r="AJ123" t="str">
        <x:v>99e55c13b29cbadc235b4f0a7b22308079cd00d971954f9264c02b407e0220b5</x:v>
      </x:c>
    </x:row>
    <x:row r="124">
      <x:c r="A124" s="17" t="str">
        <x:v>123</x:v>
      </x:c>
      <x:c r="B124" t="str">
        <x:v>ZH-EXTREMELY-BAD-003</x:v>
      </x:c>
      <x:c r="C124" s="17" t="str">
        <x:v>003</x:v>
      </x:c>
      <x:c r="D124" t="str">
        <x:v>Extremely Bad</x:v>
      </x:c>
      <x:c r="E124" t="n">
        <x:v>0</x:v>
      </x:c>
      <x:c r="F124" t="n">
        <x:v>29</x:v>
      </x:c>
      <x:c r="G124" t="n">
        <x:v>1</x:v>
      </x:c>
      <x:c r="H124" s="18" t="n">
        <x:v>38</x:v>
      </x:c>
      <x:c r="I124" s="18" t="n">
        <x:v>30</x:v>
      </x:c>
      <x:c r="J124" s="18" t="n">
        <x:v>25</x:v>
      </x:c>
      <x:c r="K124" s="18" t="n">
        <x:v>55</x:v>
      </x:c>
      <x:c r="L124" s="18" t="n">
        <x:v>60</x:v>
      </x:c>
      <x:c r="M124" s="18" t="n">
        <x:v>40</x:v>
      </x:c>
      <x:c r="N124" s="18" t="n">
        <x:v>25</x:v>
      </x:c>
      <x:c r="O124" s="18" t="n">
        <x:v>38</x:v>
      </x:c>
      <x:c r="P124" s="18" t="n">
        <x:v>59</x:v>
      </x:c>
      <x:c r="Q124" t="str">
        <x:v>No</x:v>
      </x:c>
      <x:c r="R124" s="18" t="n">
        <x:v>9</x:v>
      </x:c>
      <x:c r="S124" s="18" t="n">
        <x:v>0</x:v>
      </x:c>
      <x:c r="T124" s="18" t="n">
        <x:v>9</x:v>
      </x:c>
      <x:c r="U124" t="str">
        <x:v>Bad</x:v>
      </x:c>
      <x:c r="V124" t="str">
        <x:v>No</x:v>
      </x:c>
      <x:c r="W124" t="str">
        <x:v>SEVERELY_DEFICIENT</x:v>
      </x:c>
      <x:c r="X124" t="str">
        <x:v>REWRITE_REQUIRED</x:v>
      </x:c>
      <x:c r="Y124" t="n">
        <x:v>80</x:v>
      </x:c>
      <x:c r="Z124" t="str">
        <x:v>Success</x:v>
      </x:c>
      <x:c r="AA124"/>
      <x:c r="AB124"/>
      <x:c r="AC124" s="13"/>
      <x:c r="AD124" t="n">
        <x:v>0</x:v>
      </x:c>
      <x:c r="AE124" s="19" t="n">
        <x:v>91118</x:v>
      </x:c>
      <x:c r="AF124" t="str">
        <x:v>deepseek-v4-pro</x:v>
      </x:c>
      <x:c r="AG124" s="20" t="n">
        <x:v>46225.21444747685</x:v>
      </x:c>
      <x:c r="AH124" t="n">
        <x:v>200</x:v>
      </x:c>
      <x:c r="AI124" t="str">
        <x:v>f53d7c979c54e94728243aff60453777f5a3bb594e8322dee843dcb246219b2f</x:v>
      </x:c>
      <x:c r="AJ124" t="str">
        <x:v>99e55c13b29cbadc235b4f0a7b22308079cd00d971954f9264c02b407e0220b5</x:v>
      </x:c>
    </x:row>
    <x:row r="125">
      <x:c r="A125" s="17" t="str">
        <x:v>124</x:v>
      </x:c>
      <x:c r="B125" t="str">
        <x:v>ZH-EXTREMELY-BAD-004</x:v>
      </x:c>
      <x:c r="C125" s="17" t="str">
        <x:v>004</x:v>
      </x:c>
      <x:c r="D125" t="str">
        <x:v>Extremely Bad</x:v>
      </x:c>
      <x:c r="E125" t="n">
        <x:v>0</x:v>
      </x:c>
      <x:c r="F125" t="n">
        <x:v>29</x:v>
      </x:c>
      <x:c r="G125" t="n">
        <x:v>1</x:v>
      </x:c>
      <x:c r="H125" s="18" t="n">
        <x:v>21</x:v>
      </x:c>
      <x:c r="I125" s="18" t="n">
        <x:v>10</x:v>
      </x:c>
      <x:c r="J125" s="18" t="n">
        <x:v>15</x:v>
      </x:c>
      <x:c r="K125" s="18" t="n">
        <x:v>10</x:v>
      </x:c>
      <x:c r="L125" s="18" t="n">
        <x:v>80</x:v>
      </x:c>
      <x:c r="M125" s="18" t="n">
        <x:v>10</x:v>
      </x:c>
      <x:c r="N125" s="18" t="n">
        <x:v>5</x:v>
      </x:c>
      <x:c r="O125" s="18" t="n">
        <x:v>21</x:v>
      </x:c>
      <x:c r="P125" s="18" t="n">
        <x:v>39</x:v>
      </x:c>
      <x:c r="Q125" t="str">
        <x:v>Yes</x:v>
      </x:c>
      <x:c r="R125" s="18" t="n">
        <x:v>0</x:v>
      </x:c>
      <x:c r="S125" s="18" t="n">
        <x:v>0</x:v>
      </x:c>
      <x:c r="T125" s="18" t="n">
        <x:v>0</x:v>
      </x:c>
      <x:c r="U125" t="str">
        <x:v>Extremely Bad</x:v>
      </x:c>
      <x:c r="V125" t="str">
        <x:v>Yes</x:v>
      </x:c>
      <x:c r="W125" t="str">
        <x:v>SEVERELY_DEFICIENT</x:v>
      </x:c>
      <x:c r="X125" t="str">
        <x:v>REWRITE_REQUIRED</x:v>
      </x:c>
      <x:c r="Y125" t="n">
        <x:v>80</x:v>
      </x:c>
      <x:c r="Z125" t="str">
        <x:v>Success</x:v>
      </x:c>
      <x:c r="AA125"/>
      <x:c r="AB125"/>
      <x:c r="AC125" s="13"/>
      <x:c r="AD125" t="n">
        <x:v>0</x:v>
      </x:c>
      <x:c r="AE125" s="19" t="n">
        <x:v>102208</x:v>
      </x:c>
      <x:c r="AF125" t="str">
        <x:v>deepseek-v4-pro</x:v>
      </x:c>
      <x:c r="AG125" s="20" t="n">
        <x:v>46225.21563045139</x:v>
      </x:c>
      <x:c r="AH125" t="n">
        <x:v>200</x:v>
      </x:c>
      <x:c r="AI125" t="str">
        <x:v>fbc039603a9978143a660ad03622e6a2a2331bf5d1e6745df367a617da06d903</x:v>
      </x:c>
      <x:c r="AJ125" t="str">
        <x:v>99e55c13b29cbadc235b4f0a7b22308079cd00d971954f9264c02b407e0220b5</x:v>
      </x:c>
    </x:row>
    <x:row r="126">
      <x:c r="A126" s="17" t="str">
        <x:v>125</x:v>
      </x:c>
      <x:c r="B126" t="str">
        <x:v>ZH-EXTREMELY-BAD-005</x:v>
      </x:c>
      <x:c r="C126" s="17" t="str">
        <x:v>005</x:v>
      </x:c>
      <x:c r="D126" t="str">
        <x:v>Extremely Bad</x:v>
      </x:c>
      <x:c r="E126" t="n">
        <x:v>0</x:v>
      </x:c>
      <x:c r="F126" t="n">
        <x:v>29</x:v>
      </x:c>
      <x:c r="G126" t="n">
        <x:v>1</x:v>
      </x:c>
      <x:c r="H126" s="18" t="n">
        <x:v>11</x:v>
      </x:c>
      <x:c r="I126" s="18" t="n">
        <x:v>10</x:v>
      </x:c>
      <x:c r="J126" s="18" t="n">
        <x:v>10</x:v>
      </x:c>
      <x:c r="K126" s="18" t="n">
        <x:v>10</x:v>
      </x:c>
      <x:c r="L126" s="18" t="n">
        <x:v>20</x:v>
      </x:c>
      <x:c r="M126" s="18" t="n">
        <x:v>10</x:v>
      </x:c>
      <x:c r="N126" s="18" t="n">
        <x:v>0</x:v>
      </x:c>
      <x:c r="O126" s="18" t="n">
        <x:v>11</x:v>
      </x:c>
      <x:c r="P126" s="18" t="n">
        <x:v>39</x:v>
      </x:c>
      <x:c r="Q126" t="str">
        <x:v>Yes</x:v>
      </x:c>
      <x:c r="R126" s="18" t="n">
        <x:v>0</x:v>
      </x:c>
      <x:c r="S126" s="18" t="n">
        <x:v>0</x:v>
      </x:c>
      <x:c r="T126" s="18" t="n">
        <x:v>0</x:v>
      </x:c>
      <x:c r="U126" t="str">
        <x:v>Extremely Bad</x:v>
      </x:c>
      <x:c r="V126" t="str">
        <x:v>Yes</x:v>
      </x:c>
      <x:c r="W126" t="str">
        <x:v>SEVERELY_DEFICIENT</x:v>
      </x:c>
      <x:c r="X126" t="str">
        <x:v>REWRITE_REQUIRED</x:v>
      </x:c>
      <x:c r="Y126" t="n">
        <x:v>80</x:v>
      </x:c>
      <x:c r="Z126" t="str">
        <x:v>Success</x:v>
      </x:c>
      <x:c r="AA126"/>
      <x:c r="AB126"/>
      <x:c r="AC126" s="13"/>
      <x:c r="AD126" t="n">
        <x:v>0</x:v>
      </x:c>
      <x:c r="AE126" s="19" t="n">
        <x:v>102700</x:v>
      </x:c>
      <x:c r="AF126" t="str">
        <x:v>deepseek-v4-pro</x:v>
      </x:c>
      <x:c r="AG126" s="20" t="n">
        <x:v>46225.21681914352</x:v>
      </x:c>
      <x:c r="AH126" t="n">
        <x:v>200</x:v>
      </x:c>
      <x:c r="AI126" t="str">
        <x:v>b044038581585d79cd085f3d2595734dbfd6c796d6ae0b47290e8557cdc6ccf9</x:v>
      </x:c>
      <x:c r="AJ126" t="str">
        <x:v>99e55c13b29cbadc235b4f0a7b22308079cd00d971954f9264c02b407e0220b5</x:v>
      </x:c>
    </x:row>
    <x:row r="127">
      <x:c r="A127" s="17" t="str">
        <x:v>126</x:v>
      </x:c>
      <x:c r="B127" t="str">
        <x:v>ZH-EXTREMELY-BAD-006</x:v>
      </x:c>
      <x:c r="C127" s="17" t="str">
        <x:v>006</x:v>
      </x:c>
      <x:c r="D127" t="str">
        <x:v>Extremely Bad</x:v>
      </x:c>
      <x:c r="E127" t="n">
        <x:v>0</x:v>
      </x:c>
      <x:c r="F127" t="n">
        <x:v>29</x:v>
      </x:c>
      <x:c r="G127" t="n">
        <x:v>1</x:v>
      </x:c>
      <x:c r="H127" s="18" t="n">
        <x:v>32</x:v>
      </x:c>
      <x:c r="I127" s="18" t="n">
        <x:v>20</x:v>
      </x:c>
      <x:c r="J127" s="18" t="n">
        <x:v>15</x:v>
      </x:c>
      <x:c r="K127" s="18" t="n">
        <x:v>45</x:v>
      </x:c>
      <x:c r="L127" s="18" t="n">
        <x:v>85</x:v>
      </x:c>
      <x:c r="M127" s="18" t="n">
        <x:v>20</x:v>
      </x:c>
      <x:c r="N127" s="18" t="n">
        <x:v>10</x:v>
      </x:c>
      <x:c r="O127" s="18" t="n">
        <x:v>32</x:v>
      </x:c>
      <x:c r="P127" s="18" t="n">
        <x:v>39</x:v>
      </x:c>
      <x:c r="Q127" t="str">
        <x:v>No</x:v>
      </x:c>
      <x:c r="R127" s="18" t="n">
        <x:v>3</x:v>
      </x:c>
      <x:c r="S127" s="18" t="n">
        <x:v>0</x:v>
      </x:c>
      <x:c r="T127" s="18" t="n">
        <x:v>3</x:v>
      </x:c>
      <x:c r="U127" t="str">
        <x:v>Bad</x:v>
      </x:c>
      <x:c r="V127" t="str">
        <x:v>No</x:v>
      </x:c>
      <x:c r="W127" t="str">
        <x:v>SEVERELY_DEFICIENT</x:v>
      </x:c>
      <x:c r="X127" t="str">
        <x:v>REWRITE_REQUIRED</x:v>
      </x:c>
      <x:c r="Y127" t="n">
        <x:v>80</x:v>
      </x:c>
      <x:c r="Z127" t="str">
        <x:v>Success</x:v>
      </x:c>
      <x:c r="AA127"/>
      <x:c r="AB127"/>
      <x:c r="AC127" s="13"/>
      <x:c r="AD127" t="n">
        <x:v>0</x:v>
      </x:c>
      <x:c r="AE127" s="19" t="n">
        <x:v>89489</x:v>
      </x:c>
      <x:c r="AF127" t="str">
        <x:v>deepseek-v4-pro</x:v>
      </x:c>
      <x:c r="AG127" s="20" t="n">
        <x:v>46225.217854918985</x:v>
      </x:c>
      <x:c r="AH127" t="n">
        <x:v>200</x:v>
      </x:c>
      <x:c r="AI127" t="str">
        <x:v>2762541e567ec2ac646dd57ee0c8ebfd939e654af63fd9053e5a24b30fcf67ab</x:v>
      </x:c>
      <x:c r="AJ127" t="str">
        <x:v>99e55c13b29cbadc235b4f0a7b22308079cd00d971954f9264c02b407e0220b5</x:v>
      </x:c>
    </x:row>
    <x:row r="128">
      <x:c r="A128" s="17" t="str">
        <x:v>127</x:v>
      </x:c>
      <x:c r="B128" t="str">
        <x:v>ZH-EXTREMELY-BAD-007</x:v>
      </x:c>
      <x:c r="C128" s="17" t="str">
        <x:v>007</x:v>
      </x:c>
      <x:c r="D128" t="str">
        <x:v>Extremely Bad</x:v>
      </x:c>
      <x:c r="E128" t="n">
        <x:v>0</x:v>
      </x:c>
      <x:c r="F128" t="n">
        <x:v>29</x:v>
      </x:c>
      <x:c r="G128" t="n">
        <x:v>1</x:v>
      </x:c>
      <x:c r="H128" s="18" t="n">
        <x:v>28</x:v>
      </x:c>
      <x:c r="I128" s="18" t="n">
        <x:v>25</x:v>
      </x:c>
      <x:c r="J128" s="18" t="n">
        <x:v>30</x:v>
      </x:c>
      <x:c r="K128" s="18" t="n">
        <x:v>25</x:v>
      </x:c>
      <x:c r="L128" s="18" t="n">
        <x:v>45</x:v>
      </x:c>
      <x:c r="M128" s="18" t="n">
        <x:v>25</x:v>
      </x:c>
      <x:c r="N128" s="18" t="n">
        <x:v>10</x:v>
      </x:c>
      <x:c r="O128" s="18" t="n">
        <x:v>28</x:v>
      </x:c>
      <x:c r="P128" s="18" t="n">
        <x:v>39</x:v>
      </x:c>
      <x:c r="Q128" t="str">
        <x:v>Yes</x:v>
      </x:c>
      <x:c r="R128" s="18" t="n">
        <x:v>0</x:v>
      </x:c>
      <x:c r="S128" s="18" t="n">
        <x:v>0</x:v>
      </x:c>
      <x:c r="T128" s="18" t="n">
        <x:v>0</x:v>
      </x:c>
      <x:c r="U128" t="str">
        <x:v>Extremely Bad</x:v>
      </x:c>
      <x:c r="V128" t="str">
        <x:v>Yes</x:v>
      </x:c>
      <x:c r="W128" t="str">
        <x:v>SEVERELY_DEFICIENT</x:v>
      </x:c>
      <x:c r="X128" t="str">
        <x:v>REWRITE_REQUIRED</x:v>
      </x:c>
      <x:c r="Y128" t="n">
        <x:v>80</x:v>
      </x:c>
      <x:c r="Z128" t="str">
        <x:v>Success</x:v>
      </x:c>
      <x:c r="AA128"/>
      <x:c r="AB128"/>
      <x:c r="AC128" s="13"/>
      <x:c r="AD128" t="n">
        <x:v>0</x:v>
      </x:c>
      <x:c r="AE128" s="19" t="n">
        <x:v>102330</x:v>
      </x:c>
      <x:c r="AF128" t="str">
        <x:v>deepseek-v4-pro</x:v>
      </x:c>
      <x:c r="AG128" s="20" t="n">
        <x:v>46225.21903930556</x:v>
      </x:c>
      <x:c r="AH128" t="n">
        <x:v>200</x:v>
      </x:c>
      <x:c r="AI128" t="str">
        <x:v>3670852672e0132b94139ad7cf611cd38459db1140a68e98fdb299ade3511431</x:v>
      </x:c>
      <x:c r="AJ128" t="str">
        <x:v>99e55c13b29cbadc235b4f0a7b22308079cd00d971954f9264c02b407e0220b5</x:v>
      </x:c>
    </x:row>
    <x:row r="129">
      <x:c r="A129" s="17" t="str">
        <x:v>128</x:v>
      </x:c>
      <x:c r="B129" t="str">
        <x:v>ZH-EXTREMELY-BAD-008</x:v>
      </x:c>
      <x:c r="C129" s="17" t="str">
        <x:v>008</x:v>
      </x:c>
      <x:c r="D129" t="str">
        <x:v>Extremely Bad</x:v>
      </x:c>
      <x:c r="E129" t="n">
        <x:v>0</x:v>
      </x:c>
      <x:c r="F129" t="n">
        <x:v>29</x:v>
      </x:c>
      <x:c r="G129" t="n">
        <x:v>1</x:v>
      </x:c>
      <x:c r="H129" s="18" t="n">
        <x:v>21</x:v>
      </x:c>
      <x:c r="I129" s="18" t="n">
        <x:v>20</x:v>
      </x:c>
      <x:c r="J129" s="18" t="n">
        <x:v>20</x:v>
      </x:c>
      <x:c r="K129" s="18" t="n">
        <x:v>20</x:v>
      </x:c>
      <x:c r="L129" s="18" t="n">
        <x:v>30</x:v>
      </x:c>
      <x:c r="M129" s="18" t="n">
        <x:v>20</x:v>
      </x:c>
      <x:c r="N129" s="18" t="n">
        <x:v>10</x:v>
      </x:c>
      <x:c r="O129" s="18" t="n">
        <x:v>21</x:v>
      </x:c>
      <x:c r="P129" s="18" t="n">
        <x:v>39</x:v>
      </x:c>
      <x:c r="Q129" t="str">
        <x:v>Yes</x:v>
      </x:c>
      <x:c r="R129" s="18" t="n">
        <x:v>0</x:v>
      </x:c>
      <x:c r="S129" s="18" t="n">
        <x:v>0</x:v>
      </x:c>
      <x:c r="T129" s="18" t="n">
        <x:v>0</x:v>
      </x:c>
      <x:c r="U129" t="str">
        <x:v>Extremely Bad</x:v>
      </x:c>
      <x:c r="V129" t="str">
        <x:v>Yes</x:v>
      </x:c>
      <x:c r="W129" t="str">
        <x:v>SEVERELY_DEFICIENT</x:v>
      </x:c>
      <x:c r="X129" t="str">
        <x:v>REWRITE_REQUIRED</x:v>
      </x:c>
      <x:c r="Y129" t="n">
        <x:v>80</x:v>
      </x:c>
      <x:c r="Z129" t="str">
        <x:v>Success</x:v>
      </x:c>
      <x:c r="AA129"/>
      <x:c r="AB129"/>
      <x:c r="AC129" s="13"/>
      <x:c r="AD129" t="n">
        <x:v>0</x:v>
      </x:c>
      <x:c r="AE129" s="19" t="n">
        <x:v>101636</x:v>
      </x:c>
      <x:c r="AF129" t="str">
        <x:v>deepseek-v4-pro</x:v>
      </x:c>
      <x:c r="AG129" s="20" t="n">
        <x:v>46225.220215671296</x:v>
      </x:c>
      <x:c r="AH129" t="n">
        <x:v>200</x:v>
      </x:c>
      <x:c r="AI129" t="str">
        <x:v>2cc9a9a206f80af77f7fe68095cc75243a2a0f630df4038988702b059a609279</x:v>
      </x:c>
      <x:c r="AJ129" t="str">
        <x:v>99e55c13b29cbadc235b4f0a7b22308079cd00d971954f9264c02b407e0220b5</x:v>
      </x:c>
    </x:row>
    <x:row r="130">
      <x:c r="A130" s="17" t="str">
        <x:v>129</x:v>
      </x:c>
      <x:c r="B130" t="str">
        <x:v>ZH-EXTREMELY-BAD-009</x:v>
      </x:c>
      <x:c r="C130" s="17" t="str">
        <x:v>009</x:v>
      </x:c>
      <x:c r="D130" t="str">
        <x:v>Extremely Bad</x:v>
      </x:c>
      <x:c r="E130" t="n">
        <x:v>0</x:v>
      </x:c>
      <x:c r="F130" t="n">
        <x:v>29</x:v>
      </x:c>
      <x:c r="G130" t="n">
        <x:v>1</x:v>
      </x:c>
      <x:c r="H130" s="18" t="n">
        <x:v>17</x:v>
      </x:c>
      <x:c r="I130" s="18" t="n">
        <x:v>5</x:v>
      </x:c>
      <x:c r="J130" s="18" t="n">
        <x:v>10</x:v>
      </x:c>
      <x:c r="K130" s="18" t="n">
        <x:v>5</x:v>
      </x:c>
      <x:c r="L130" s="18" t="n">
        <x:v>80</x:v>
      </x:c>
      <x:c r="M130" s="18" t="n">
        <x:v>5</x:v>
      </x:c>
      <x:c r="N130" s="18" t="n">
        <x:v>0</x:v>
      </x:c>
      <x:c r="O130" s="18" t="n">
        <x:v>17</x:v>
      </x:c>
      <x:c r="P130" s="18" t="n">
        <x:v>39</x:v>
      </x:c>
      <x:c r="Q130" t="str">
        <x:v>Yes</x:v>
      </x:c>
      <x:c r="R130" s="18" t="n">
        <x:v>0</x:v>
      </x:c>
      <x:c r="S130" s="18" t="n">
        <x:v>0</x:v>
      </x:c>
      <x:c r="T130" s="18" t="n">
        <x:v>0</x:v>
      </x:c>
      <x:c r="U130" t="str">
        <x:v>Extremely Bad</x:v>
      </x:c>
      <x:c r="V130" t="str">
        <x:v>Yes</x:v>
      </x:c>
      <x:c r="W130" t="str">
        <x:v>SEVERELY_DEFICIENT</x:v>
      </x:c>
      <x:c r="X130" t="str">
        <x:v>REWRITE_REQUIRED</x:v>
      </x:c>
      <x:c r="Y130" t="n">
        <x:v>80</x:v>
      </x:c>
      <x:c r="Z130" t="str">
        <x:v>Success</x:v>
      </x:c>
      <x:c r="AA130"/>
      <x:c r="AB130"/>
      <x:c r="AC130" s="13"/>
      <x:c r="AD130" t="n">
        <x:v>0</x:v>
      </x:c>
      <x:c r="AE130" s="19" t="n">
        <x:v>61032</x:v>
      </x:c>
      <x:c r="AF130" t="str">
        <x:v>deepseek-v4-pro</x:v>
      </x:c>
      <x:c r="AG130" s="20" t="n">
        <x:v>46225.22092208333</x:v>
      </x:c>
      <x:c r="AH130" t="n">
        <x:v>200</x:v>
      </x:c>
      <x:c r="AI130" t="str">
        <x:v>83b9d16e9643c49762776f35ffb153d22f5cff6ed51317a33dc5366a25cfb18e</x:v>
      </x:c>
      <x:c r="AJ130" t="str">
        <x:v>99e55c13b29cbadc235b4f0a7b22308079cd00d971954f9264c02b407e0220b5</x:v>
      </x:c>
    </x:row>
    <x:row r="131">
      <x:c r="A131" s="17" t="str">
        <x:v>130</x:v>
      </x:c>
      <x:c r="B131" t="str">
        <x:v>ZH-EXTREMELY-BAD-010</x:v>
      </x:c>
      <x:c r="C131" s="17" t="str">
        <x:v>010</x:v>
      </x:c>
      <x:c r="D131" t="str">
        <x:v>Extremely Bad</x:v>
      </x:c>
      <x:c r="E131" t="n">
        <x:v>0</x:v>
      </x:c>
      <x:c r="F131" t="n">
        <x:v>29</x:v>
      </x:c>
      <x:c r="G131" t="n">
        <x:v>1</x:v>
      </x:c>
      <x:c r="H131" s="18" t="n">
        <x:v>20</x:v>
      </x:c>
      <x:c r="I131" s="18" t="n">
        <x:v>15</x:v>
      </x:c>
      <x:c r="J131" s="18" t="n">
        <x:v>10</x:v>
      </x:c>
      <x:c r="K131" s="18" t="n">
        <x:v>40</x:v>
      </x:c>
      <x:c r="L131" s="18" t="n">
        <x:v>35</x:v>
      </x:c>
      <x:c r="M131" s="18" t="n">
        <x:v>20</x:v>
      </x:c>
      <x:c r="N131" s="18" t="n">
        <x:v>0</x:v>
      </x:c>
      <x:c r="O131" s="18" t="n">
        <x:v>20</x:v>
      </x:c>
      <x:c r="P131" s="18" t="n">
        <x:v>39</x:v>
      </x:c>
      <x:c r="Q131" t="str">
        <x:v>Yes</x:v>
      </x:c>
      <x:c r="R131" s="18" t="n">
        <x:v>0</x:v>
      </x:c>
      <x:c r="S131" s="18" t="n">
        <x:v>0</x:v>
      </x:c>
      <x:c r="T131" s="18" t="n">
        <x:v>0</x:v>
      </x:c>
      <x:c r="U131" t="str">
        <x:v>Extremely Bad</x:v>
      </x:c>
      <x:c r="V131" t="str">
        <x:v>Yes</x:v>
      </x:c>
      <x:c r="W131" t="str">
        <x:v>SEVERELY_DEFICIENT</x:v>
      </x:c>
      <x:c r="X131" t="str">
        <x:v>REWRITE_REQUIRED</x:v>
      </x:c>
      <x:c r="Y131" t="n">
        <x:v>80</x:v>
      </x:c>
      <x:c r="Z131" t="str">
        <x:v>Success</x:v>
      </x:c>
      <x:c r="AA131"/>
      <x:c r="AB131"/>
      <x:c r="AC131" s="13"/>
      <x:c r="AD131" t="n">
        <x:v>0</x:v>
      </x:c>
      <x:c r="AE131" s="19" t="n">
        <x:v>89624</x:v>
      </x:c>
      <x:c r="AF131" t="str">
        <x:v>deepseek-v4-pro</x:v>
      </x:c>
      <x:c r="AG131" s="20" t="n">
        <x:v>46225.22195943287</x:v>
      </x:c>
      <x:c r="AH131" t="n">
        <x:v>200</x:v>
      </x:c>
      <x:c r="AI131" t="str">
        <x:v>a8d6915e5a6f57c753dec9066ee21e385ac7db00e97c101899adc811dc28aa17</x:v>
      </x:c>
      <x:c r="AJ131" t="str">
        <x:v>99e55c13b29cbadc235b4f0a7b22308079cd00d971954f9264c02b407e0220b5</x:v>
      </x:c>
    </x:row>
    <x:row r="132">
      <x:c r="A132" s="17" t="str">
        <x:v>131</x:v>
      </x:c>
      <x:c r="B132" t="str">
        <x:v>ZH-EXTREMELY-BAD-011</x:v>
      </x:c>
      <x:c r="C132" s="17" t="str">
        <x:v>011</x:v>
      </x:c>
      <x:c r="D132" t="str">
        <x:v>Extremely Bad</x:v>
      </x:c>
      <x:c r="E132" t="n">
        <x:v>0</x:v>
      </x:c>
      <x:c r="F132" t="n">
        <x:v>29</x:v>
      </x:c>
      <x:c r="G132" t="n">
        <x:v>1</x:v>
      </x:c>
      <x:c r="H132" s="18" t="n">
        <x:v>12</x:v>
      </x:c>
      <x:c r="I132" s="18" t="n">
        <x:v>15</x:v>
      </x:c>
      <x:c r="J132" s="18" t="n">
        <x:v>10</x:v>
      </x:c>
      <x:c r="K132" s="18" t="n">
        <x:v>10</x:v>
      </x:c>
      <x:c r="L132" s="18" t="n">
        <x:v>20</x:v>
      </x:c>
      <x:c r="M132" s="18" t="n">
        <x:v>5</x:v>
      </x:c>
      <x:c r="N132" s="18" t="n">
        <x:v>5</x:v>
      </x:c>
      <x:c r="O132" s="18" t="n">
        <x:v>12</x:v>
      </x:c>
      <x:c r="P132" s="18" t="n">
        <x:v>39</x:v>
      </x:c>
      <x:c r="Q132" t="str">
        <x:v>Yes</x:v>
      </x:c>
      <x:c r="R132" s="18" t="n">
        <x:v>0</x:v>
      </x:c>
      <x:c r="S132" s="18" t="n">
        <x:v>0</x:v>
      </x:c>
      <x:c r="T132" s="18" t="n">
        <x:v>0</x:v>
      </x:c>
      <x:c r="U132" t="str">
        <x:v>Extremely Bad</x:v>
      </x:c>
      <x:c r="V132" t="str">
        <x:v>Yes</x:v>
      </x:c>
      <x:c r="W132" t="str">
        <x:v>SEVERELY_DEFICIENT</x:v>
      </x:c>
      <x:c r="X132" t="str">
        <x:v>REWRITE_REQUIRED</x:v>
      </x:c>
      <x:c r="Y132" t="n">
        <x:v>80</x:v>
      </x:c>
      <x:c r="Z132" t="str">
        <x:v>Success</x:v>
      </x:c>
      <x:c r="AA132"/>
      <x:c r="AB132"/>
      <x:c r="AC132" s="13"/>
      <x:c r="AD132" t="n">
        <x:v>0</x:v>
      </x:c>
      <x:c r="AE132" s="19" t="n">
        <x:v>105632</x:v>
      </x:c>
      <x:c r="AF132" t="str">
        <x:v>deepseek-v4-pro</x:v>
      </x:c>
      <x:c r="AG132" s="20" t="n">
        <x:v>46225.22318204861</x:v>
      </x:c>
      <x:c r="AH132" t="n">
        <x:v>200</x:v>
      </x:c>
      <x:c r="AI132" t="str">
        <x:v>c63e42fa384288a06af4e9bdbae0f78d29b26f456132389ee864770b27138564</x:v>
      </x:c>
      <x:c r="AJ132" t="str">
        <x:v>99e55c13b29cbadc235b4f0a7b22308079cd00d971954f9264c02b407e0220b5</x:v>
      </x:c>
    </x:row>
    <x:row r="133">
      <x:c r="A133" s="17" t="str">
        <x:v>132</x:v>
      </x:c>
      <x:c r="B133" t="str">
        <x:v>ZH-EXTREMELY-BAD-012</x:v>
      </x:c>
      <x:c r="C133" s="17" t="str">
        <x:v>012</x:v>
      </x:c>
      <x:c r="D133" t="str">
        <x:v>Extremely Bad</x:v>
      </x:c>
      <x:c r="E133" t="n">
        <x:v>0</x:v>
      </x:c>
      <x:c r="F133" t="n">
        <x:v>29</x:v>
      </x:c>
      <x:c r="G133" t="n">
        <x:v>1</x:v>
      </x:c>
      <x:c r="H133" s="18" t="n">
        <x:v>26</x:v>
      </x:c>
      <x:c r="I133" s="18" t="n">
        <x:v>30</x:v>
      </x:c>
      <x:c r="J133" s="18" t="n">
        <x:v>20</x:v>
      </x:c>
      <x:c r="K133" s="18" t="n">
        <x:v>25</x:v>
      </x:c>
      <x:c r="L133" s="18" t="n">
        <x:v>35</x:v>
      </x:c>
      <x:c r="M133" s="18" t="n">
        <x:v>30</x:v>
      </x:c>
      <x:c r="N133" s="18" t="n">
        <x:v>5</x:v>
      </x:c>
      <x:c r="O133" s="18" t="n">
        <x:v>26</x:v>
      </x:c>
      <x:c r="P133" s="18" t="n">
        <x:v>39</x:v>
      </x:c>
      <x:c r="Q133" t="str">
        <x:v>Yes</x:v>
      </x:c>
      <x:c r="R133" s="18" t="n">
        <x:v>0</x:v>
      </x:c>
      <x:c r="S133" s="18" t="n">
        <x:v>0</x:v>
      </x:c>
      <x:c r="T133" s="18" t="n">
        <x:v>0</x:v>
      </x:c>
      <x:c r="U133" t="str">
        <x:v>Extremely Bad</x:v>
      </x:c>
      <x:c r="V133" t="str">
        <x:v>Yes</x:v>
      </x:c>
      <x:c r="W133" t="str">
        <x:v>SEVERELY_DEFICIENT</x:v>
      </x:c>
      <x:c r="X133" t="str">
        <x:v>REWRITE_REQUIRED</x:v>
      </x:c>
      <x:c r="Y133" t="n">
        <x:v>80</x:v>
      </x:c>
      <x:c r="Z133" t="str">
        <x:v>Success</x:v>
      </x:c>
      <x:c r="AA133"/>
      <x:c r="AB133"/>
      <x:c r="AC133" s="13"/>
      <x:c r="AD133" t="n">
        <x:v>0</x:v>
      </x:c>
      <x:c r="AE133" s="19" t="n">
        <x:v>115530</x:v>
      </x:c>
      <x:c r="AF133" t="str">
        <x:v>deepseek-v4-pro</x:v>
      </x:c>
      <x:c r="AG133" s="20" t="n">
        <x:v>46225.22451923611</x:v>
      </x:c>
      <x:c r="AH133" t="n">
        <x:v>200</x:v>
      </x:c>
      <x:c r="AI133" t="str">
        <x:v>8a9a4fe6bd6f132bc212678a89aae15f137640a2a8e6423996c2656a753e2348</x:v>
      </x:c>
      <x:c r="AJ133" t="str">
        <x:v>99e55c13b29cbadc235b4f0a7b22308079cd00d971954f9264c02b407e0220b5</x:v>
      </x:c>
    </x:row>
    <x:row r="134">
      <x:c r="A134" s="17" t="str">
        <x:v>133</x:v>
      </x:c>
      <x:c r="B134" t="str">
        <x:v>ZH-EXTREMELY-BAD-013</x:v>
      </x:c>
      <x:c r="C134" s="17" t="str">
        <x:v>013</x:v>
      </x:c>
      <x:c r="D134" t="str">
        <x:v>Extremely Bad</x:v>
      </x:c>
      <x:c r="E134" t="n">
        <x:v>0</x:v>
      </x:c>
      <x:c r="F134" t="n">
        <x:v>29</x:v>
      </x:c>
      <x:c r="G134" t="n">
        <x:v>1</x:v>
      </x:c>
      <x:c r="H134" s="18" t="n">
        <x:v>27</x:v>
      </x:c>
      <x:c r="I134" s="18" t="n">
        <x:v>35</x:v>
      </x:c>
      <x:c r="J134" s="18" t="n">
        <x:v>20</x:v>
      </x:c>
      <x:c r="K134" s="18" t="n">
        <x:v>25</x:v>
      </x:c>
      <x:c r="L134" s="18" t="n">
        <x:v>30</x:v>
      </x:c>
      <x:c r="M134" s="18" t="n">
        <x:v>30</x:v>
      </x:c>
      <x:c r="N134" s="18" t="n">
        <x:v>10</x:v>
      </x:c>
      <x:c r="O134" s="18" t="n">
        <x:v>27</x:v>
      </x:c>
      <x:c r="P134" s="18" t="n">
        <x:v>59</x:v>
      </x:c>
      <x:c r="Q134" t="str">
        <x:v>Yes</x:v>
      </x:c>
      <x:c r="R134" s="18" t="n">
        <x:v>0</x:v>
      </x:c>
      <x:c r="S134" s="18" t="n">
        <x:v>0</x:v>
      </x:c>
      <x:c r="T134" s="18" t="n">
        <x:v>0</x:v>
      </x:c>
      <x:c r="U134" t="str">
        <x:v>Extremely Bad</x:v>
      </x:c>
      <x:c r="V134" t="str">
        <x:v>Yes</x:v>
      </x:c>
      <x:c r="W134" t="str">
        <x:v>SEVERELY_DEFICIENT</x:v>
      </x:c>
      <x:c r="X134" t="str">
        <x:v>REWRITE_REQUIRED</x:v>
      </x:c>
      <x:c r="Y134" t="n">
        <x:v>80</x:v>
      </x:c>
      <x:c r="Z134" t="str">
        <x:v>Success</x:v>
      </x:c>
      <x:c r="AA134"/>
      <x:c r="AB134"/>
      <x:c r="AC134" s="13"/>
      <x:c r="AD134" t="n">
        <x:v>0</x:v>
      </x:c>
      <x:c r="AE134" s="19" t="n">
        <x:v>81662</x:v>
      </x:c>
      <x:c r="AF134" t="str">
        <x:v>deepseek-v4-pro</x:v>
      </x:c>
      <x:c r="AG134" s="20" t="n">
        <x:v>46225.225464421295</x:v>
      </x:c>
      <x:c r="AH134" t="n">
        <x:v>200</x:v>
      </x:c>
      <x:c r="AI134" t="str">
        <x:v>b2f50081a42e62e9b8c32dd1c940bf96fa21d83d1944ce5728b4e72d0c0200fd</x:v>
      </x:c>
      <x:c r="AJ134" t="str">
        <x:v>99e55c13b29cbadc235b4f0a7b22308079cd00d971954f9264c02b407e0220b5</x:v>
      </x:c>
    </x:row>
    <x:row r="135">
      <x:c r="A135" s="17" t="str">
        <x:v>134</x:v>
      </x:c>
      <x:c r="B135" t="str">
        <x:v>ZH-EXTREMELY-BAD-014</x:v>
      </x:c>
      <x:c r="C135" s="17" t="str">
        <x:v>014</x:v>
      </x:c>
      <x:c r="D135" t="str">
        <x:v>Extremely Bad</x:v>
      </x:c>
      <x:c r="E135" t="n">
        <x:v>0</x:v>
      </x:c>
      <x:c r="F135" t="n">
        <x:v>29</x:v>
      </x:c>
      <x:c r="G135" t="n">
        <x:v>1</x:v>
      </x:c>
      <x:c r="H135" s="18" t="n">
        <x:v>23</x:v>
      </x:c>
      <x:c r="I135" s="18" t="n">
        <x:v>25</x:v>
      </x:c>
      <x:c r="J135" s="18" t="n">
        <x:v>20</x:v>
      </x:c>
      <x:c r="K135" s="18" t="n">
        <x:v>25</x:v>
      </x:c>
      <x:c r="L135" s="18" t="n">
        <x:v>30</x:v>
      </x:c>
      <x:c r="M135" s="18" t="n">
        <x:v>25</x:v>
      </x:c>
      <x:c r="N135" s="18" t="n">
        <x:v>10</x:v>
      </x:c>
      <x:c r="O135" s="18" t="n">
        <x:v>23</x:v>
      </x:c>
      <x:c r="P135" s="18" t="n">
        <x:v>39</x:v>
      </x:c>
      <x:c r="Q135" t="str">
        <x:v>Yes</x:v>
      </x:c>
      <x:c r="R135" s="18" t="n">
        <x:v>0</x:v>
      </x:c>
      <x:c r="S135" s="18" t="n">
        <x:v>0</x:v>
      </x:c>
      <x:c r="T135" s="18" t="n">
        <x:v>0</x:v>
      </x:c>
      <x:c r="U135" t="str">
        <x:v>Extremely Bad</x:v>
      </x:c>
      <x:c r="V135" t="str">
        <x:v>Yes</x:v>
      </x:c>
      <x:c r="W135" t="str">
        <x:v>SEVERELY_DEFICIENT</x:v>
      </x:c>
      <x:c r="X135" t="str">
        <x:v>REWRITE_REQUIRED</x:v>
      </x:c>
      <x:c r="Y135" t="n">
        <x:v>80</x:v>
      </x:c>
      <x:c r="Z135" t="str">
        <x:v>Success</x:v>
      </x:c>
      <x:c r="AA135"/>
      <x:c r="AB135"/>
      <x:c r="AC135" s="13"/>
      <x:c r="AD135" t="n">
        <x:v>0</x:v>
      </x:c>
      <x:c r="AE135" s="19" t="n">
        <x:v>60866</x:v>
      </x:c>
      <x:c r="AF135" t="str">
        <x:v>deepseek-v4-pro</x:v>
      </x:c>
      <x:c r="AG135" s="20" t="n">
        <x:v>46225.22616892361</x:v>
      </x:c>
      <x:c r="AH135" t="n">
        <x:v>200</x:v>
      </x:c>
      <x:c r="AI135" t="str">
        <x:v>ce6b8738282976aea74018bbf2b0f0ccde4008e247ae6fc960d09b8741dada74</x:v>
      </x:c>
      <x:c r="AJ135" t="str">
        <x:v>99e55c13b29cbadc235b4f0a7b22308079cd00d971954f9264c02b407e0220b5</x:v>
      </x:c>
    </x:row>
    <x:row r="136">
      <x:c r="A136" s="17" t="str">
        <x:v>135</x:v>
      </x:c>
      <x:c r="B136" t="str">
        <x:v>ZH-EXTREMELY-BAD-015</x:v>
      </x:c>
      <x:c r="C136" s="17" t="str">
        <x:v>015</x:v>
      </x:c>
      <x:c r="D136" t="str">
        <x:v>Extremely Bad</x:v>
      </x:c>
      <x:c r="E136" t="n">
        <x:v>0</x:v>
      </x:c>
      <x:c r="F136" t="n">
        <x:v>29</x:v>
      </x:c>
      <x:c r="G136" t="n">
        <x:v>1</x:v>
      </x:c>
      <x:c r="H136" s="18" t="n">
        <x:v>20</x:v>
      </x:c>
      <x:c r="I136" s="18" t="n">
        <x:v>20</x:v>
      </x:c>
      <x:c r="J136" s="18" t="n">
        <x:v>15</x:v>
      </x:c>
      <x:c r="K136" s="18" t="n">
        <x:v>20</x:v>
      </x:c>
      <x:c r="L136" s="18" t="n">
        <x:v>30</x:v>
      </x:c>
      <x:c r="M136" s="18" t="n">
        <x:v>25</x:v>
      </x:c>
      <x:c r="N136" s="18" t="n">
        <x:v>10</x:v>
      </x:c>
      <x:c r="O136" s="18" t="n">
        <x:v>20</x:v>
      </x:c>
      <x:c r="P136" s="18" t="n">
        <x:v>39</x:v>
      </x:c>
      <x:c r="Q136" t="str">
        <x:v>Yes</x:v>
      </x:c>
      <x:c r="R136" s="18" t="n">
        <x:v>0</x:v>
      </x:c>
      <x:c r="S136" s="18" t="n">
        <x:v>0</x:v>
      </x:c>
      <x:c r="T136" s="18" t="n">
        <x:v>0</x:v>
      </x:c>
      <x:c r="U136" t="str">
        <x:v>Extremely Bad</x:v>
      </x:c>
      <x:c r="V136" t="str">
        <x:v>Yes</x:v>
      </x:c>
      <x:c r="W136" t="str">
        <x:v>SEVERELY_DEFICIENT</x:v>
      </x:c>
      <x:c r="X136" t="str">
        <x:v>REWRITE_REQUIRED</x:v>
      </x:c>
      <x:c r="Y136" t="n">
        <x:v>80</x:v>
      </x:c>
      <x:c r="Z136" t="str">
        <x:v>Success</x:v>
      </x:c>
      <x:c r="AA136"/>
      <x:c r="AB136"/>
      <x:c r="AC136" s="13"/>
      <x:c r="AD136" t="n">
        <x:v>0</x:v>
      </x:c>
      <x:c r="AE136" s="19" t="n">
        <x:v>70353</x:v>
      </x:c>
      <x:c r="AF136" t="str">
        <x:v>deepseek-v4-pro</x:v>
      </x:c>
      <x:c r="AG136" s="20" t="n">
        <x:v>46225.226983217595</x:v>
      </x:c>
      <x:c r="AH136" t="n">
        <x:v>200</x:v>
      </x:c>
      <x:c r="AI136" t="str">
        <x:v>e5a758cf7d681d02b0e01ddb50a066da848a0fe144751509abcec98179e16e78</x:v>
      </x:c>
      <x:c r="AJ136" t="str">
        <x:v>99e55c13b29cbadc235b4f0a7b22308079cd00d971954f9264c02b407e0220b5</x:v>
      </x:c>
    </x:row>
    <x:row r="137">
      <x:c r="A137" s="17" t="str">
        <x:v>136</x:v>
      </x:c>
      <x:c r="B137" t="str">
        <x:v>ZH-EXTREMELY-BAD-016</x:v>
      </x:c>
      <x:c r="C137" s="17" t="str">
        <x:v>016</x:v>
      </x:c>
      <x:c r="D137" t="str">
        <x:v>Extremely Bad</x:v>
      </x:c>
      <x:c r="E137" t="n">
        <x:v>0</x:v>
      </x:c>
      <x:c r="F137" t="n">
        <x:v>29</x:v>
      </x:c>
      <x:c r="G137" t="n">
        <x:v>1</x:v>
      </x:c>
      <x:c r="H137" s="18" t="n">
        <x:v>39</x:v>
      </x:c>
      <x:c r="I137" s="18" t="n">
        <x:v>45</x:v>
      </x:c>
      <x:c r="J137" s="18" t="n">
        <x:v>40</x:v>
      </x:c>
      <x:c r="K137" s="18" t="n">
        <x:v>45</x:v>
      </x:c>
      <x:c r="L137" s="18" t="n">
        <x:v>50</x:v>
      </x:c>
      <x:c r="M137" s="18" t="n">
        <x:v>45</x:v>
      </x:c>
      <x:c r="N137" s="18" t="n">
        <x:v>25</x:v>
      </x:c>
      <x:c r="O137" s="18" t="n">
        <x:v>43</x:v>
      </x:c>
      <x:c r="P137" s="18" t="n">
        <x:v>39</x:v>
      </x:c>
      <x:c r="Q137" t="str">
        <x:v>No</x:v>
      </x:c>
      <x:c r="R137" s="18" t="n">
        <x:v>10</x:v>
      </x:c>
      <x:c r="S137" s="18" t="n">
        <x:v>0</x:v>
      </x:c>
      <x:c r="T137" s="18" t="n">
        <x:v>10</x:v>
      </x:c>
      <x:c r="U137" t="str">
        <x:v>Bad</x:v>
      </x:c>
      <x:c r="V137" t="str">
        <x:v>No</x:v>
      </x:c>
      <x:c r="W137" t="str">
        <x:v>SEVERELY_DEFICIENT</x:v>
      </x:c>
      <x:c r="X137" t="str">
        <x:v>REWRITE_REQUIRED</x:v>
      </x:c>
      <x:c r="Y137" t="n">
        <x:v>80</x:v>
      </x:c>
      <x:c r="Z137" t="str">
        <x:v>Success</x:v>
      </x:c>
      <x:c r="AA137"/>
      <x:c r="AB137"/>
      <x:c r="AC137" s="13"/>
      <x:c r="AD137" t="n">
        <x:v>0</x:v>
      </x:c>
      <x:c r="AE137" s="19" t="n">
        <x:v>71680</x:v>
      </x:c>
      <x:c r="AF137" t="str">
        <x:v>deepseek-v4-pro</x:v>
      </x:c>
      <x:c r="AG137" s="20" t="n">
        <x:v>46225.22781287037</x:v>
      </x:c>
      <x:c r="AH137" t="n">
        <x:v>200</x:v>
      </x:c>
      <x:c r="AI137" t="str">
        <x:v>a3f488c252b2774693c85889de3846e3ffbd45c73ec5f2e525a0ea56250fcd62</x:v>
      </x:c>
      <x:c r="AJ137" t="str">
        <x:v>99e55c13b29cbadc235b4f0a7b22308079cd00d971954f9264c02b407e0220b5</x:v>
      </x:c>
    </x:row>
    <x:row r="138">
      <x:c r="A138" s="17" t="str">
        <x:v>137</x:v>
      </x:c>
      <x:c r="B138" t="str">
        <x:v>ZH-EXTREMELY-BAD-017</x:v>
      </x:c>
      <x:c r="C138" s="17" t="str">
        <x:v>017</x:v>
      </x:c>
      <x:c r="D138" t="str">
        <x:v>Extremely Bad</x:v>
      </x:c>
      <x:c r="E138" t="n">
        <x:v>0</x:v>
      </x:c>
      <x:c r="F138" t="n">
        <x:v>29</x:v>
      </x:c>
      <x:c r="G138" t="n">
        <x:v>1</x:v>
      </x:c>
      <x:c r="H138" s="18" t="n">
        <x:v>28</x:v>
      </x:c>
      <x:c r="I138" s="18" t="n">
        <x:v>30</x:v>
      </x:c>
      <x:c r="J138" s="18" t="n">
        <x:v>20</x:v>
      </x:c>
      <x:c r="K138" s="18" t="n">
        <x:v>35</x:v>
      </x:c>
      <x:c r="L138" s="18" t="n">
        <x:v>40</x:v>
      </x:c>
      <x:c r="M138" s="18" t="n">
        <x:v>25</x:v>
      </x:c>
      <x:c r="N138" s="18" t="n">
        <x:v>10</x:v>
      </x:c>
      <x:c r="O138" s="18" t="n">
        <x:v>28</x:v>
      </x:c>
      <x:c r="P138" s="18" t="n">
        <x:v>59</x:v>
      </x:c>
      <x:c r="Q138" t="str">
        <x:v>Yes</x:v>
      </x:c>
      <x:c r="R138" s="18" t="n">
        <x:v>0</x:v>
      </x:c>
      <x:c r="S138" s="18" t="n">
        <x:v>0</x:v>
      </x:c>
      <x:c r="T138" s="18" t="n">
        <x:v>0</x:v>
      </x:c>
      <x:c r="U138" t="str">
        <x:v>Extremely Bad</x:v>
      </x:c>
      <x:c r="V138" t="str">
        <x:v>Yes</x:v>
      </x:c>
      <x:c r="W138" t="str">
        <x:v>SEVERELY_DEFICIENT</x:v>
      </x:c>
      <x:c r="X138" t="str">
        <x:v>REWRITE_REQUIRED</x:v>
      </x:c>
      <x:c r="Y138" t="n">
        <x:v>80</x:v>
      </x:c>
      <x:c r="Z138" t="str">
        <x:v>Success</x:v>
      </x:c>
      <x:c r="AA138"/>
      <x:c r="AB138"/>
      <x:c r="AC138" s="13"/>
      <x:c r="AD138" t="n">
        <x:v>0</x:v>
      </x:c>
      <x:c r="AE138" s="19" t="n">
        <x:v>89264</x:v>
      </x:c>
      <x:c r="AF138" t="str">
        <x:v>deepseek-v4-pro</x:v>
      </x:c>
      <x:c r="AG138" s="20" t="n">
        <x:v>46225.22884603009</x:v>
      </x:c>
      <x:c r="AH138" t="n">
        <x:v>200</x:v>
      </x:c>
      <x:c r="AI138" t="str">
        <x:v>0e90fb8d250ee4db40dfc06317a9af3f1f1d9aa426f2d9a29ae373cf2beab279</x:v>
      </x:c>
      <x:c r="AJ138" t="str">
        <x:v>99e55c13b29cbadc235b4f0a7b22308079cd00d971954f9264c02b407e0220b5</x:v>
      </x:c>
    </x:row>
    <x:row r="139">
      <x:c r="A139" s="17" t="str">
        <x:v>138</x:v>
      </x:c>
      <x:c r="B139" t="str">
        <x:v>ZH-EXTREMELY-BAD-018</x:v>
      </x:c>
      <x:c r="C139" s="17" t="str">
        <x:v>018</x:v>
      </x:c>
      <x:c r="D139" t="str">
        <x:v>Extremely Bad</x:v>
      </x:c>
      <x:c r="E139" t="n">
        <x:v>0</x:v>
      </x:c>
      <x:c r="F139" t="n">
        <x:v>29</x:v>
      </x:c>
      <x:c r="G139" t="n">
        <x:v>1</x:v>
      </x:c>
      <x:c r="H139" s="18" t="n">
        <x:v>16</x:v>
      </x:c>
      <x:c r="I139" s="18" t="n">
        <x:v>20</x:v>
      </x:c>
      <x:c r="J139" s="18" t="n">
        <x:v>15</x:v>
      </x:c>
      <x:c r="K139" s="18" t="n">
        <x:v>15</x:v>
      </x:c>
      <x:c r="L139" s="18" t="n">
        <x:v>20</x:v>
      </x:c>
      <x:c r="M139" s="18" t="n">
        <x:v>20</x:v>
      </x:c>
      <x:c r="N139" s="18" t="n">
        <x:v>0</x:v>
      </x:c>
      <x:c r="O139" s="18" t="n">
        <x:v>16</x:v>
      </x:c>
      <x:c r="P139" s="18" t="n">
        <x:v>39</x:v>
      </x:c>
      <x:c r="Q139" t="str">
        <x:v>Yes</x:v>
      </x:c>
      <x:c r="R139" s="18" t="n">
        <x:v>0</x:v>
      </x:c>
      <x:c r="S139" s="18" t="n">
        <x:v>0</x:v>
      </x:c>
      <x:c r="T139" s="18" t="n">
        <x:v>0</x:v>
      </x:c>
      <x:c r="U139" t="str">
        <x:v>Extremely Bad</x:v>
      </x:c>
      <x:c r="V139" t="str">
        <x:v>Yes</x:v>
      </x:c>
      <x:c r="W139" t="str">
        <x:v>SEVERELY_DEFICIENT</x:v>
      </x:c>
      <x:c r="X139" t="str">
        <x:v>REWRITE_REQUIRED</x:v>
      </x:c>
      <x:c r="Y139" t="n">
        <x:v>80</x:v>
      </x:c>
      <x:c r="Z139" t="str">
        <x:v>Success</x:v>
      </x:c>
      <x:c r="AA139"/>
      <x:c r="AB139"/>
      <x:c r="AC139" s="13"/>
      <x:c r="AD139" t="n">
        <x:v>0</x:v>
      </x:c>
      <x:c r="AE139" s="19" t="n">
        <x:v>76879</x:v>
      </x:c>
      <x:c r="AF139" t="str">
        <x:v>deepseek-v4-pro</x:v>
      </x:c>
      <x:c r="AG139" s="20" t="n">
        <x:v>46225.22973586806</x:v>
      </x:c>
      <x:c r="AH139" t="n">
        <x:v>200</x:v>
      </x:c>
      <x:c r="AI139" t="str">
        <x:v>4c991761e313d515228db25de88ba99bb9c88e256de70c6d12072acb529f51aa</x:v>
      </x:c>
      <x:c r="AJ139" t="str">
        <x:v>99e55c13b29cbadc235b4f0a7b22308079cd00d971954f9264c02b407e0220b5</x:v>
      </x:c>
    </x:row>
    <x:row r="140">
      <x:c r="A140" s="17" t="str">
        <x:v>139</x:v>
      </x:c>
      <x:c r="B140" t="str">
        <x:v>ZH-EXTREMELY-BAD-019</x:v>
      </x:c>
      <x:c r="C140" s="17" t="str">
        <x:v>019</x:v>
      </x:c>
      <x:c r="D140" t="str">
        <x:v>Extremely Bad</x:v>
      </x:c>
      <x:c r="E140" t="n">
        <x:v>0</x:v>
      </x:c>
      <x:c r="F140" t="n">
        <x:v>29</x:v>
      </x:c>
      <x:c r="G140" t="n">
        <x:v>1</x:v>
      </x:c>
      <x:c r="H140" s="18" t="n">
        <x:v>22</x:v>
      </x:c>
      <x:c r="I140" s="18" t="n">
        <x:v>38</x:v>
      </x:c>
      <x:c r="J140" s="18" t="n">
        <x:v>20</x:v>
      </x:c>
      <x:c r="K140" s="18" t="n">
        <x:v>15</x:v>
      </x:c>
      <x:c r="L140" s="18" t="n">
        <x:v>18</x:v>
      </x:c>
      <x:c r="M140" s="18" t="n">
        <x:v>15</x:v>
      </x:c>
      <x:c r="N140" s="18" t="n">
        <x:v>10</x:v>
      </x:c>
      <x:c r="O140" s="18" t="n">
        <x:v>22</x:v>
      </x:c>
      <x:c r="P140" s="18" t="n">
        <x:v>59</x:v>
      </x:c>
      <x:c r="Q140" t="str">
        <x:v>Yes</x:v>
      </x:c>
      <x:c r="R140" s="18" t="n">
        <x:v>0</x:v>
      </x:c>
      <x:c r="S140" s="18" t="n">
        <x:v>0</x:v>
      </x:c>
      <x:c r="T140" s="18" t="n">
        <x:v>0</x:v>
      </x:c>
      <x:c r="U140" t="str">
        <x:v>Extremely Bad</x:v>
      </x:c>
      <x:c r="V140" t="str">
        <x:v>Yes</x:v>
      </x:c>
      <x:c r="W140" t="str">
        <x:v>SEVERELY_DEFICIENT</x:v>
      </x:c>
      <x:c r="X140" t="str">
        <x:v>REWRITE_REQUIRED</x:v>
      </x:c>
      <x:c r="Y140" t="n">
        <x:v>80</x:v>
      </x:c>
      <x:c r="Z140" t="str">
        <x:v>Success</x:v>
      </x:c>
      <x:c r="AA140"/>
      <x:c r="AB140"/>
      <x:c r="AC140" s="13"/>
      <x:c r="AD140" t="n">
        <x:v>0</x:v>
      </x:c>
      <x:c r="AE140" s="19" t="n">
        <x:v>81579</x:v>
      </x:c>
      <x:c r="AF140" t="str">
        <x:v>deepseek-v4-pro</x:v>
      </x:c>
      <x:c r="AG140" s="20" t="n">
        <x:v>46225.230680092594</x:v>
      </x:c>
      <x:c r="AH140" t="n">
        <x:v>200</x:v>
      </x:c>
      <x:c r="AI140" t="str">
        <x:v>21c6960107b9b07f70d3ba60d7da3d831773d035e01fa417ce5c039540c89615</x:v>
      </x:c>
      <x:c r="AJ140" t="str">
        <x:v>99e55c13b29cbadc235b4f0a7b22308079cd00d971954f9264c02b407e0220b5</x:v>
      </x:c>
    </x:row>
    <x:row r="141">
      <x:c r="A141" s="17" t="str">
        <x:v>140</x:v>
      </x:c>
      <x:c r="B141" t="str">
        <x:v>ZH-EXTREMELY-BAD-020</x:v>
      </x:c>
      <x:c r="C141" s="17" t="str">
        <x:v>020</x:v>
      </x:c>
      <x:c r="D141" t="str">
        <x:v>Extremely Bad</x:v>
      </x:c>
      <x:c r="E141" t="n">
        <x:v>0</x:v>
      </x:c>
      <x:c r="F141" t="n">
        <x:v>29</x:v>
      </x:c>
      <x:c r="G141" t="n">
        <x:v>1</x:v>
      </x:c>
      <x:c r="H141" s="18" t="n">
        <x:v>22</x:v>
      </x:c>
      <x:c r="I141" s="18" t="n">
        <x:v>30</x:v>
      </x:c>
      <x:c r="J141" s="18" t="n">
        <x:v>20</x:v>
      </x:c>
      <x:c r="K141" s="18" t="n">
        <x:v>20</x:v>
      </x:c>
      <x:c r="L141" s="18" t="n">
        <x:v>20</x:v>
      </x:c>
      <x:c r="M141" s="18" t="n">
        <x:v>20</x:v>
      </x:c>
      <x:c r="N141" s="18" t="n">
        <x:v>10</x:v>
      </x:c>
      <x:c r="O141" s="18" t="n">
        <x:v>22</x:v>
      </x:c>
      <x:c r="P141" s="18" t="n">
        <x:v>59</x:v>
      </x:c>
      <x:c r="Q141" t="str">
        <x:v>Yes</x:v>
      </x:c>
      <x:c r="R141" s="18" t="n">
        <x:v>0</x:v>
      </x:c>
      <x:c r="S141" s="18" t="n">
        <x:v>0</x:v>
      </x:c>
      <x:c r="T141" s="18" t="n">
        <x:v>0</x:v>
      </x:c>
      <x:c r="U141" t="str">
        <x:v>Extremely Bad</x:v>
      </x:c>
      <x:c r="V141" t="str">
        <x:v>Yes</x:v>
      </x:c>
      <x:c r="W141" t="str">
        <x:v>SEVERELY_DEFICIENT</x:v>
      </x:c>
      <x:c r="X141" t="str">
        <x:v>REWRITE_REQUIRED</x:v>
      </x:c>
      <x:c r="Y141" t="n">
        <x:v>80</x:v>
      </x:c>
      <x:c r="Z141" t="str">
        <x:v>Success</x:v>
      </x:c>
      <x:c r="AA141"/>
      <x:c r="AB141"/>
      <x:c r="AC141" s="13"/>
      <x:c r="AD141" t="n">
        <x:v>0</x:v>
      </x:c>
      <x:c r="AE141" s="19" t="n">
        <x:v>96999</x:v>
      </x:c>
      <x:c r="AF141" t="str">
        <x:v>deepseek-v4-pro</x:v>
      </x:c>
      <x:c r="AG141" s="20" t="n">
        <x:v>46225.23180278935</x:v>
      </x:c>
      <x:c r="AH141" t="n">
        <x:v>200</x:v>
      </x:c>
      <x:c r="AI141" t="str">
        <x:v>f6ff5fe7c08d9345aee154660bf3643f6e4bd35ad1f8bc4fa31ca1eda98a989b</x:v>
      </x:c>
      <x:c r="AJ141" t="str">
        <x:v>99e55c13b29cbadc235b4f0a7b22308079cd00d971954f9264c02b407e0220b5</x:v>
      </x:c>
    </x:row>
    <x:row r="142">
      <x:c r="A142" s="17" t="str">
        <x:v>141</x:v>
      </x:c>
      <x:c r="B142" t="str">
        <x:v>ZH-EXTREMELY-BAD-021</x:v>
      </x:c>
      <x:c r="C142" s="17" t="str">
        <x:v>021</x:v>
      </x:c>
      <x:c r="D142" t="str">
        <x:v>Extremely Bad</x:v>
      </x:c>
      <x:c r="E142" t="n">
        <x:v>0</x:v>
      </x:c>
      <x:c r="F142" t="n">
        <x:v>29</x:v>
      </x:c>
      <x:c r="G142" t="n">
        <x:v>1</x:v>
      </x:c>
      <x:c r="H142" s="18" t="n">
        <x:v>25</x:v>
      </x:c>
      <x:c r="I142" s="18" t="n">
        <x:v>25</x:v>
      </x:c>
      <x:c r="J142" s="18" t="n">
        <x:v>20</x:v>
      </x:c>
      <x:c r="K142" s="18" t="n">
        <x:v>25</x:v>
      </x:c>
      <x:c r="L142" s="18" t="n">
        <x:v>30</x:v>
      </x:c>
      <x:c r="M142" s="18" t="n">
        <x:v>25</x:v>
      </x:c>
      <x:c r="N142" s="18" t="n">
        <x:v>25</x:v>
      </x:c>
      <x:c r="O142" s="18" t="n">
        <x:v>25</x:v>
      </x:c>
      <x:c r="P142" s="18" t="n">
        <x:v>39</x:v>
      </x:c>
      <x:c r="Q142" t="str">
        <x:v>Yes</x:v>
      </x:c>
      <x:c r="R142" s="18" t="n">
        <x:v>0</x:v>
      </x:c>
      <x:c r="S142" s="18" t="n">
        <x:v>0</x:v>
      </x:c>
      <x:c r="T142" s="18" t="n">
        <x:v>0</x:v>
      </x:c>
      <x:c r="U142" t="str">
        <x:v>Extremely Bad</x:v>
      </x:c>
      <x:c r="V142" t="str">
        <x:v>Yes</x:v>
      </x:c>
      <x:c r="W142" t="str">
        <x:v>SEVERELY_DEFICIENT</x:v>
      </x:c>
      <x:c r="X142" t="str">
        <x:v>REWRITE_REQUIRED</x:v>
      </x:c>
      <x:c r="Y142" t="n">
        <x:v>80</x:v>
      </x:c>
      <x:c r="Z142" t="str">
        <x:v>Success</x:v>
      </x:c>
      <x:c r="AA142"/>
      <x:c r="AB142"/>
      <x:c r="AC142" s="13"/>
      <x:c r="AD142" t="n">
        <x:v>0</x:v>
      </x:c>
      <x:c r="AE142" s="19" t="n">
        <x:v>72084</x:v>
      </x:c>
      <x:c r="AF142" t="str">
        <x:v>deepseek-v4-pro</x:v>
      </x:c>
      <x:c r="AG142" s="20" t="n">
        <x:v>46225.23263712963</x:v>
      </x:c>
      <x:c r="AH142" t="n">
        <x:v>200</x:v>
      </x:c>
      <x:c r="AI142" t="str">
        <x:v>4feb04aef7d6f923ccb9c302527af3fa90a4433167376adf563f89057e6a994e</x:v>
      </x:c>
      <x:c r="AJ142" t="str">
        <x:v>99e55c13b29cbadc235b4f0a7b22308079cd00d971954f9264c02b407e0220b5</x:v>
      </x:c>
    </x:row>
    <x:row r="143">
      <x:c r="A143" s="17" t="str">
        <x:v>142</x:v>
      </x:c>
      <x:c r="B143" t="str">
        <x:v>ZH-EXTREMELY-BAD-022</x:v>
      </x:c>
      <x:c r="C143" s="17" t="str">
        <x:v>022</x:v>
      </x:c>
      <x:c r="D143" t="str">
        <x:v>Extremely Bad</x:v>
      </x:c>
      <x:c r="E143" t="n">
        <x:v>0</x:v>
      </x:c>
      <x:c r="F143" t="n">
        <x:v>29</x:v>
      </x:c>
      <x:c r="G143" t="n">
        <x:v>1</x:v>
      </x:c>
      <x:c r="H143" s="18" t="n">
        <x:v>25</x:v>
      </x:c>
      <x:c r="I143" s="18" t="n">
        <x:v>20</x:v>
      </x:c>
      <x:c r="J143" s="18" t="n">
        <x:v>20</x:v>
      </x:c>
      <x:c r="K143" s="18" t="n">
        <x:v>25</x:v>
      </x:c>
      <x:c r="L143" s="18" t="n">
        <x:v>45</x:v>
      </x:c>
      <x:c r="M143" s="18" t="n">
        <x:v>30</x:v>
      </x:c>
      <x:c r="N143" s="18" t="n">
        <x:v>10</x:v>
      </x:c>
      <x:c r="O143" s="18" t="n">
        <x:v>25</x:v>
      </x:c>
      <x:c r="P143" s="18" t="n">
        <x:v>39</x:v>
      </x:c>
      <x:c r="Q143" t="str">
        <x:v>Yes</x:v>
      </x:c>
      <x:c r="R143" s="18" t="n">
        <x:v>0</x:v>
      </x:c>
      <x:c r="S143" s="18" t="n">
        <x:v>0</x:v>
      </x:c>
      <x:c r="T143" s="18" t="n">
        <x:v>0</x:v>
      </x:c>
      <x:c r="U143" t="str">
        <x:v>Extremely Bad</x:v>
      </x:c>
      <x:c r="V143" t="str">
        <x:v>Yes</x:v>
      </x:c>
      <x:c r="W143" t="str">
        <x:v>SEVERELY_DEFICIENT</x:v>
      </x:c>
      <x:c r="X143" t="str">
        <x:v>REWRITE_REQUIRED</x:v>
      </x:c>
      <x:c r="Y143" t="n">
        <x:v>80</x:v>
      </x:c>
      <x:c r="Z143" t="str">
        <x:v>Success</x:v>
      </x:c>
      <x:c r="AA143"/>
      <x:c r="AB143"/>
      <x:c r="AC143" s="13"/>
      <x:c r="AD143" t="n">
        <x:v>0</x:v>
      </x:c>
      <x:c r="AE143" s="19" t="n">
        <x:v>94686</x:v>
      </x:c>
      <x:c r="AF143" t="str">
        <x:v>deepseek-v4-pro</x:v>
      </x:c>
      <x:c r="AG143" s="20" t="n">
        <x:v>46225.23373305555</x:v>
      </x:c>
      <x:c r="AH143" t="n">
        <x:v>200</x:v>
      </x:c>
      <x:c r="AI143" t="str">
        <x:v>b5f4519a50f5428cb62d9d031d95f8effc4f0a5c18cf25f34b24fcd74b5e877f</x:v>
      </x:c>
      <x:c r="AJ143" t="str">
        <x:v>99e55c13b29cbadc235b4f0a7b22308079cd00d971954f9264c02b407e0220b5</x:v>
      </x:c>
    </x:row>
    <x:row r="144">
      <x:c r="A144" s="17" t="str">
        <x:v>143</x:v>
      </x:c>
      <x:c r="B144" t="str">
        <x:v>ZH-EXTREMELY-BAD-023</x:v>
      </x:c>
      <x:c r="C144" s="17" t="str">
        <x:v>023</x:v>
      </x:c>
      <x:c r="D144" t="str">
        <x:v>Extremely Bad</x:v>
      </x:c>
      <x:c r="E144" t="n">
        <x:v>0</x:v>
      </x:c>
      <x:c r="F144" t="n">
        <x:v>29</x:v>
      </x:c>
      <x:c r="G144" t="n">
        <x:v>1</x:v>
      </x:c>
      <x:c r="H144" s="18" t="n">
        <x:v>24</x:v>
      </x:c>
      <x:c r="I144" s="18" t="n">
        <x:v>30</x:v>
      </x:c>
      <x:c r="J144" s="18" t="n">
        <x:v>20</x:v>
      </x:c>
      <x:c r="K144" s="18" t="n">
        <x:v>25</x:v>
      </x:c>
      <x:c r="L144" s="18" t="n">
        <x:v>25</x:v>
      </x:c>
      <x:c r="M144" s="18" t="n">
        <x:v>20</x:v>
      </x:c>
      <x:c r="N144" s="18" t="n">
        <x:v>15</x:v>
      </x:c>
      <x:c r="O144" s="18" t="n">
        <x:v>24</x:v>
      </x:c>
      <x:c r="P144" s="18" t="n">
        <x:v>39</x:v>
      </x:c>
      <x:c r="Q144" t="str">
        <x:v>Yes</x:v>
      </x:c>
      <x:c r="R144" s="18" t="n">
        <x:v>0</x:v>
      </x:c>
      <x:c r="S144" s="18" t="n">
        <x:v>0</x:v>
      </x:c>
      <x:c r="T144" s="18" t="n">
        <x:v>0</x:v>
      </x:c>
      <x:c r="U144" t="str">
        <x:v>Extremely Bad</x:v>
      </x:c>
      <x:c r="V144" t="str">
        <x:v>Yes</x:v>
      </x:c>
      <x:c r="W144" t="str">
        <x:v>SEVERELY_DEFICIENT</x:v>
      </x:c>
      <x:c r="X144" t="str">
        <x:v>REWRITE_REQUIRED</x:v>
      </x:c>
      <x:c r="Y144" t="n">
        <x:v>80</x:v>
      </x:c>
      <x:c r="Z144" t="str">
        <x:v>Success</x:v>
      </x:c>
      <x:c r="AA144"/>
      <x:c r="AB144"/>
      <x:c r="AC144" s="13"/>
      <x:c r="AD144" t="n">
        <x:v>0</x:v>
      </x:c>
      <x:c r="AE144" s="19" t="n">
        <x:v>87470</x:v>
      </x:c>
      <x:c r="AF144" t="str">
        <x:v>deepseek-v4-pro</x:v>
      </x:c>
      <x:c r="AG144" s="20" t="n">
        <x:v>46225.23474546296</x:v>
      </x:c>
      <x:c r="AH144" t="n">
        <x:v>200</x:v>
      </x:c>
      <x:c r="AI144" t="str">
        <x:v>fe5ef18a8addc8d101ed00e7ecbe687aac423f1b57228a1450f3e2b927410db9</x:v>
      </x:c>
      <x:c r="AJ144" t="str">
        <x:v>99e55c13b29cbadc235b4f0a7b22308079cd00d971954f9264c02b407e0220b5</x:v>
      </x:c>
    </x:row>
    <x:row r="145">
      <x:c r="A145" s="17" t="str">
        <x:v>144</x:v>
      </x:c>
      <x:c r="B145" t="str">
        <x:v>ZH-EXTREMELY-BAD-024</x:v>
      </x:c>
      <x:c r="C145" s="17" t="str">
        <x:v>024</x:v>
      </x:c>
      <x:c r="D145" t="str">
        <x:v>Extremely Bad</x:v>
      </x:c>
      <x:c r="E145" t="n">
        <x:v>0</x:v>
      </x:c>
      <x:c r="F145" t="n">
        <x:v>29</x:v>
      </x:c>
      <x:c r="G145" t="n">
        <x:v>1</x:v>
      </x:c>
      <x:c r="H145" s="18" t="n">
        <x:v>21</x:v>
      </x:c>
      <x:c r="I145" s="18" t="n">
        <x:v>15</x:v>
      </x:c>
      <x:c r="J145" s="18" t="n">
        <x:v>10</x:v>
      </x:c>
      <x:c r="K145" s="18" t="n">
        <x:v>20</x:v>
      </x:c>
      <x:c r="L145" s="18" t="n">
        <x:v>60</x:v>
      </x:c>
      <x:c r="M145" s="18" t="n">
        <x:v>15</x:v>
      </x:c>
      <x:c r="N145" s="18" t="n">
        <x:v>5</x:v>
      </x:c>
      <x:c r="O145" s="18" t="n">
        <x:v>21</x:v>
      </x:c>
      <x:c r="P145" s="18" t="n">
        <x:v>39</x:v>
      </x:c>
      <x:c r="Q145" t="str">
        <x:v>Yes</x:v>
      </x:c>
      <x:c r="R145" s="18" t="n">
        <x:v>0</x:v>
      </x:c>
      <x:c r="S145" s="18" t="n">
        <x:v>0</x:v>
      </x:c>
      <x:c r="T145" s="18" t="n">
        <x:v>0</x:v>
      </x:c>
      <x:c r="U145" t="str">
        <x:v>Extremely Bad</x:v>
      </x:c>
      <x:c r="V145" t="str">
        <x:v>Yes</x:v>
      </x:c>
      <x:c r="W145" t="str">
        <x:v>SEVERELY_DEFICIENT</x:v>
      </x:c>
      <x:c r="X145" t="str">
        <x:v>REWRITE_REQUIRED</x:v>
      </x:c>
      <x:c r="Y145" t="n">
        <x:v>80</x:v>
      </x:c>
      <x:c r="Z145" t="str">
        <x:v>Success</x:v>
      </x:c>
      <x:c r="AA145"/>
      <x:c r="AB145"/>
      <x:c r="AC145" s="13"/>
      <x:c r="AD145" t="n">
        <x:v>0</x:v>
      </x:c>
      <x:c r="AE145" s="19" t="n">
        <x:v>81780</x:v>
      </x:c>
      <x:c r="AF145" t="str">
        <x:v>deepseek-v4-pro</x:v>
      </x:c>
      <x:c r="AG145" s="20" t="n">
        <x:v>46225.23569202546</x:v>
      </x:c>
      <x:c r="AH145" t="n">
        <x:v>200</x:v>
      </x:c>
      <x:c r="AI145" t="str">
        <x:v>42d58c161799531e7043d0955e038e46ea035d1476c5cb47e46fbed8c809afa5</x:v>
      </x:c>
      <x:c r="AJ145" t="str">
        <x:v>99e55c13b29cbadc235b4f0a7b22308079cd00d971954f9264c02b407e0220b5</x:v>
      </x:c>
    </x:row>
    <x:row r="146">
      <x:c r="A146" s="17" t="str">
        <x:v>145</x:v>
      </x:c>
      <x:c r="B146" t="str">
        <x:v>ZH-EXTREMELY-BAD-025</x:v>
      </x:c>
      <x:c r="C146" s="17" t="str">
        <x:v>025</x:v>
      </x:c>
      <x:c r="D146" t="str">
        <x:v>Extremely Bad</x:v>
      </x:c>
      <x:c r="E146" t="n">
        <x:v>0</x:v>
      </x:c>
      <x:c r="F146" t="n">
        <x:v>29</x:v>
      </x:c>
      <x:c r="G146" t="n">
        <x:v>1</x:v>
      </x:c>
      <x:c r="H146" s="18" t="n">
        <x:v>38</x:v>
      </x:c>
      <x:c r="I146" s="18" t="n">
        <x:v>25</x:v>
      </x:c>
      <x:c r="J146" s="18" t="n">
        <x:v>35</x:v>
      </x:c>
      <x:c r="K146" s="18" t="n">
        <x:v>45</x:v>
      </x:c>
      <x:c r="L146" s="18" t="n">
        <x:v>75</x:v>
      </x:c>
      <x:c r="M146" s="18" t="n">
        <x:v>30</x:v>
      </x:c>
      <x:c r="N146" s="18" t="n">
        <x:v>20</x:v>
      </x:c>
      <x:c r="O146" s="18" t="n">
        <x:v>38</x:v>
      </x:c>
      <x:c r="P146" s="18" t="n">
        <x:v>39</x:v>
      </x:c>
      <x:c r="Q146" t="str">
        <x:v>No</x:v>
      </x:c>
      <x:c r="R146" s="18" t="n">
        <x:v>9</x:v>
      </x:c>
      <x:c r="S146" s="18" t="n">
        <x:v>0</x:v>
      </x:c>
      <x:c r="T146" s="18" t="n">
        <x:v>9</x:v>
      </x:c>
      <x:c r="U146" t="str">
        <x:v>Bad</x:v>
      </x:c>
      <x:c r="V146" t="str">
        <x:v>No</x:v>
      </x:c>
      <x:c r="W146" t="str">
        <x:v>SEVERELY_DEFICIENT</x:v>
      </x:c>
      <x:c r="X146" t="str">
        <x:v>REWRITE_REQUIRED</x:v>
      </x:c>
      <x:c r="Y146" t="n">
        <x:v>80</x:v>
      </x:c>
      <x:c r="Z146" t="str">
        <x:v>Success</x:v>
      </x:c>
      <x:c r="AA146"/>
      <x:c r="AB146"/>
      <x:c r="AC146" s="13"/>
      <x:c r="AD146" t="n">
        <x:v>0</x:v>
      </x:c>
      <x:c r="AE146" s="19" t="n">
        <x:v>97496</x:v>
      </x:c>
      <x:c r="AF146" t="str">
        <x:v>deepseek-v4-pro</x:v>
      </x:c>
      <x:c r="AG146" s="20" t="n">
        <x:v>46225.236820474536</x:v>
      </x:c>
      <x:c r="AH146" t="n">
        <x:v>200</x:v>
      </x:c>
      <x:c r="AI146" t="str">
        <x:v>95535c28373be5e33d2f2e4e33a7befaaff43ee5183c60fbf8c0c1038622cc58</x:v>
      </x:c>
      <x:c r="AJ146" t="str">
        <x:v>99e55c13b29cbadc235b4f0a7b22308079cd00d971954f9264c02b407e0220b5</x:v>
      </x:c>
    </x:row>
    <x:row r="147">
      <x:c r="A147" s="17" t="str">
        <x:v>146</x:v>
      </x:c>
      <x:c r="B147" t="str">
        <x:v>ZH-EXTREMELY-BAD-026</x:v>
      </x:c>
      <x:c r="C147" s="17" t="str">
        <x:v>026</x:v>
      </x:c>
      <x:c r="D147" t="str">
        <x:v>Extremely Bad</x:v>
      </x:c>
      <x:c r="E147" t="n">
        <x:v>0</x:v>
      </x:c>
      <x:c r="F147" t="n">
        <x:v>29</x:v>
      </x:c>
      <x:c r="G147" t="n">
        <x:v>1</x:v>
      </x:c>
      <x:c r="H147" s="18" t="n">
        <x:v>19</x:v>
      </x:c>
      <x:c r="I147" s="18" t="n">
        <x:v>20</x:v>
      </x:c>
      <x:c r="J147" s="18" t="n">
        <x:v>15</x:v>
      </x:c>
      <x:c r="K147" s="18" t="n">
        <x:v>20</x:v>
      </x:c>
      <x:c r="L147" s="18" t="n">
        <x:v>25</x:v>
      </x:c>
      <x:c r="M147" s="18" t="n">
        <x:v>20</x:v>
      </x:c>
      <x:c r="N147" s="18" t="n">
        <x:v>10</x:v>
      </x:c>
      <x:c r="O147" s="18" t="n">
        <x:v>19</x:v>
      </x:c>
      <x:c r="P147" s="18" t="n">
        <x:v>39</x:v>
      </x:c>
      <x:c r="Q147" t="str">
        <x:v>Yes</x:v>
      </x:c>
      <x:c r="R147" s="18" t="n">
        <x:v>0</x:v>
      </x:c>
      <x:c r="S147" s="18" t="n">
        <x:v>0</x:v>
      </x:c>
      <x:c r="T147" s="18" t="n">
        <x:v>0</x:v>
      </x:c>
      <x:c r="U147" t="str">
        <x:v>Extremely Bad</x:v>
      </x:c>
      <x:c r="V147" t="str">
        <x:v>Yes</x:v>
      </x:c>
      <x:c r="W147" t="str">
        <x:v>SEVERELY_DEFICIENT</x:v>
      </x:c>
      <x:c r="X147" t="str">
        <x:v>REWRITE_REQUIRED</x:v>
      </x:c>
      <x:c r="Y147" t="n">
        <x:v>80</x:v>
      </x:c>
      <x:c r="Z147" t="str">
        <x:v>Success</x:v>
      </x:c>
      <x:c r="AA147"/>
      <x:c r="AB147"/>
      <x:c r="AC147" s="13"/>
      <x:c r="AD147" t="n">
        <x:v>0</x:v>
      </x:c>
      <x:c r="AE147" s="19" t="n">
        <x:v>87391</x:v>
      </x:c>
      <x:c r="AF147" t="str">
        <x:v>deepseek-v4-pro</x:v>
      </x:c>
      <x:c r="AG147" s="20" t="n">
        <x:v>46225.23783196759</x:v>
      </x:c>
      <x:c r="AH147" t="n">
        <x:v>200</x:v>
      </x:c>
      <x:c r="AI147" t="str">
        <x:v>4c659e71c8bde604a106aff032e293cee22310211b930ceedba299bd435ec275</x:v>
      </x:c>
      <x:c r="AJ147" t="str">
        <x:v>99e55c13b29cbadc235b4f0a7b22308079cd00d971954f9264c02b407e0220b5</x:v>
      </x:c>
    </x:row>
    <x:row r="148">
      <x:c r="A148" s="17" t="str">
        <x:v>147</x:v>
      </x:c>
      <x:c r="B148" t="str">
        <x:v>ZH-EXTREMELY-BAD-027</x:v>
      </x:c>
      <x:c r="C148" s="17" t="str">
        <x:v>027</x:v>
      </x:c>
      <x:c r="D148" t="str">
        <x:v>Extremely Bad</x:v>
      </x:c>
      <x:c r="E148" t="n">
        <x:v>0</x:v>
      </x:c>
      <x:c r="F148" t="n">
        <x:v>29</x:v>
      </x:c>
      <x:c r="G148" t="n">
        <x:v>1</x:v>
      </x:c>
      <x:c r="H148" s="18" t="n">
        <x:v>16</x:v>
      </x:c>
      <x:c r="I148" s="18" t="n">
        <x:v>20</x:v>
      </x:c>
      <x:c r="J148" s="18" t="n">
        <x:v>15</x:v>
      </x:c>
      <x:c r="K148" s="18" t="n">
        <x:v>15</x:v>
      </x:c>
      <x:c r="L148" s="18" t="n">
        <x:v>15</x:v>
      </x:c>
      <x:c r="M148" s="18" t="n">
        <x:v>15</x:v>
      </x:c>
      <x:c r="N148" s="18" t="n">
        <x:v>10</x:v>
      </x:c>
      <x:c r="O148" s="18" t="n">
        <x:v>16</x:v>
      </x:c>
      <x:c r="P148" s="18" t="n">
        <x:v>39</x:v>
      </x:c>
      <x:c r="Q148" t="str">
        <x:v>Yes</x:v>
      </x:c>
      <x:c r="R148" s="18" t="n">
        <x:v>0</x:v>
      </x:c>
      <x:c r="S148" s="18" t="n">
        <x:v>0</x:v>
      </x:c>
      <x:c r="T148" s="18" t="n">
        <x:v>0</x:v>
      </x:c>
      <x:c r="U148" t="str">
        <x:v>Extremely Bad</x:v>
      </x:c>
      <x:c r="V148" t="str">
        <x:v>Yes</x:v>
      </x:c>
      <x:c r="W148" t="str">
        <x:v>SEVERELY_DEFICIENT</x:v>
      </x:c>
      <x:c r="X148" t="str">
        <x:v>REWRITE_REQUIRED</x:v>
      </x:c>
      <x:c r="Y148" t="n">
        <x:v>80</x:v>
      </x:c>
      <x:c r="Z148" t="str">
        <x:v>Success</x:v>
      </x:c>
      <x:c r="AA148"/>
      <x:c r="AB148"/>
      <x:c r="AC148" s="13"/>
      <x:c r="AD148" t="n">
        <x:v>0</x:v>
      </x:c>
      <x:c r="AE148" s="19" t="n">
        <x:v>73368</x:v>
      </x:c>
      <x:c r="AF148" t="str">
        <x:v>deepseek-v4-pro</x:v>
      </x:c>
      <x:c r="AG148" s="20" t="n">
        <x:v>46225.23868115741</x:v>
      </x:c>
      <x:c r="AH148" t="n">
        <x:v>200</x:v>
      </x:c>
      <x:c r="AI148" t="str">
        <x:v>e11b642616cb414948b4d384ef4a7df22c0fae52ce659a7938dce3c5b1ac5eb1</x:v>
      </x:c>
      <x:c r="AJ148" t="str">
        <x:v>99e55c13b29cbadc235b4f0a7b22308079cd00d971954f9264c02b407e0220b5</x:v>
      </x:c>
    </x:row>
    <x:row r="149">
      <x:c r="A149" s="17" t="str">
        <x:v>148</x:v>
      </x:c>
      <x:c r="B149" t="str">
        <x:v>ZH-EXTREMELY-BAD-028</x:v>
      </x:c>
      <x:c r="C149" s="17" t="str">
        <x:v>028</x:v>
      </x:c>
      <x:c r="D149" t="str">
        <x:v>Extremely Bad</x:v>
      </x:c>
      <x:c r="E149" t="n">
        <x:v>0</x:v>
      </x:c>
      <x:c r="F149" t="n">
        <x:v>29</x:v>
      </x:c>
      <x:c r="G149" t="n">
        <x:v>1</x:v>
      </x:c>
      <x:c r="H149" s="18" t="n">
        <x:v>25</x:v>
      </x:c>
      <x:c r="I149" s="18" t="n">
        <x:v>20</x:v>
      </x:c>
      <x:c r="J149" s="18" t="n">
        <x:v>15</x:v>
      </x:c>
      <x:c r="K149" s="18" t="n">
        <x:v>35</x:v>
      </x:c>
      <x:c r="L149" s="18" t="n">
        <x:v>45</x:v>
      </x:c>
      <x:c r="M149" s="18" t="n">
        <x:v>20</x:v>
      </x:c>
      <x:c r="N149" s="18" t="n">
        <x:v>15</x:v>
      </x:c>
      <x:c r="O149" s="18" t="n">
        <x:v>25</x:v>
      </x:c>
      <x:c r="P149" s="18" t="n">
        <x:v>39</x:v>
      </x:c>
      <x:c r="Q149" t="str">
        <x:v>Yes</x:v>
      </x:c>
      <x:c r="R149" s="18" t="n">
        <x:v>0</x:v>
      </x:c>
      <x:c r="S149" s="18" t="n">
        <x:v>0</x:v>
      </x:c>
      <x:c r="T149" s="18" t="n">
        <x:v>0</x:v>
      </x:c>
      <x:c r="U149" t="str">
        <x:v>Extremely Bad</x:v>
      </x:c>
      <x:c r="V149" t="str">
        <x:v>Yes</x:v>
      </x:c>
      <x:c r="W149" t="str">
        <x:v>SEVERELY_DEFICIENT</x:v>
      </x:c>
      <x:c r="X149" t="str">
        <x:v>REWRITE_REQUIRED</x:v>
      </x:c>
      <x:c r="Y149" t="n">
        <x:v>80</x:v>
      </x:c>
      <x:c r="Z149" t="str">
        <x:v>Success</x:v>
      </x:c>
      <x:c r="AA149"/>
      <x:c r="AB149"/>
      <x:c r="AC149" s="13"/>
      <x:c r="AD149" t="n">
        <x:v>0</x:v>
      </x:c>
      <x:c r="AE149" s="19" t="n">
        <x:v>107879</x:v>
      </x:c>
      <x:c r="AF149" t="str">
        <x:v>deepseek-v4-pro</x:v>
      </x:c>
      <x:c r="AG149" s="20" t="n">
        <x:v>46225.239929780095</x:v>
      </x:c>
      <x:c r="AH149" t="n">
        <x:v>200</x:v>
      </x:c>
      <x:c r="AI149" t="str">
        <x:v>4df3c7eef1cd880994ff1563c8679be9f19d64c4ffc6f6fb8407691768460ae1</x:v>
      </x:c>
      <x:c r="AJ149" t="str">
        <x:v>99e55c13b29cbadc235b4f0a7b22308079cd00d971954f9264c02b407e0220b5</x:v>
      </x:c>
    </x:row>
    <x:row r="150">
      <x:c r="A150" s="17" t="str">
        <x:v>149</x:v>
      </x:c>
      <x:c r="B150" t="str">
        <x:v>ZH-EXTREMELY-BAD-029</x:v>
      </x:c>
      <x:c r="C150" s="17" t="str">
        <x:v>029</x:v>
      </x:c>
      <x:c r="D150" t="str">
        <x:v>Extremely Bad</x:v>
      </x:c>
      <x:c r="E150" t="n">
        <x:v>0</x:v>
      </x:c>
      <x:c r="F150" t="n">
        <x:v>29</x:v>
      </x:c>
      <x:c r="G150" t="n">
        <x:v>1</x:v>
      </x:c>
      <x:c r="H150" s="18" t="n">
        <x:v>18</x:v>
      </x:c>
      <x:c r="I150" s="18" t="n">
        <x:v>20</x:v>
      </x:c>
      <x:c r="J150" s="18" t="n">
        <x:v>15</x:v>
      </x:c>
      <x:c r="K150" s="18" t="n">
        <x:v>15</x:v>
      </x:c>
      <x:c r="L150" s="18" t="n">
        <x:v>30</x:v>
      </x:c>
      <x:c r="M150" s="18" t="n">
        <x:v>15</x:v>
      </x:c>
      <x:c r="N150" s="18" t="n">
        <x:v>5</x:v>
      </x:c>
      <x:c r="O150" s="18" t="n">
        <x:v>18</x:v>
      </x:c>
      <x:c r="P150" s="18" t="n">
        <x:v>39</x:v>
      </x:c>
      <x:c r="Q150" t="str">
        <x:v>Yes</x:v>
      </x:c>
      <x:c r="R150" s="18" t="n">
        <x:v>0</x:v>
      </x:c>
      <x:c r="S150" s="18" t="n">
        <x:v>0</x:v>
      </x:c>
      <x:c r="T150" s="18" t="n">
        <x:v>0</x:v>
      </x:c>
      <x:c r="U150" t="str">
        <x:v>Extremely Bad</x:v>
      </x:c>
      <x:c r="V150" t="str">
        <x:v>Yes</x:v>
      </x:c>
      <x:c r="W150" t="str">
        <x:v>SEVERELY_DEFICIENT</x:v>
      </x:c>
      <x:c r="X150" t="str">
        <x:v>REWRITE_REQUIRED</x:v>
      </x:c>
      <x:c r="Y150" t="n">
        <x:v>80</x:v>
      </x:c>
      <x:c r="Z150" t="str">
        <x:v>Success</x:v>
      </x:c>
      <x:c r="AA150"/>
      <x:c r="AB150"/>
      <x:c r="AC150" s="13"/>
      <x:c r="AD150" t="n">
        <x:v>0</x:v>
      </x:c>
      <x:c r="AE150" s="19" t="n">
        <x:v>85583</x:v>
      </x:c>
      <x:c r="AF150" t="str">
        <x:v>deepseek-v4-pro</x:v>
      </x:c>
      <x:c r="AG150" s="20" t="n">
        <x:v>46225.240920358796</x:v>
      </x:c>
      <x:c r="AH150" t="n">
        <x:v>200</x:v>
      </x:c>
      <x:c r="AI150" t="str">
        <x:v>9020f774b063b39e99246b0b4fdb9826f9bc158215ac538740ab501e64214942</x:v>
      </x:c>
      <x:c r="AJ150" t="str">
        <x:v>99e55c13b29cbadc235b4f0a7b22308079cd00d971954f9264c02b407e0220b5</x:v>
      </x:c>
    </x:row>
    <x:row r="151">
      <x:c r="A151" s="17" t="str">
        <x:v>150</x:v>
      </x:c>
      <x:c r="B151" t="str">
        <x:v>ZH-EXTREMELY-BAD-030</x:v>
      </x:c>
      <x:c r="C151" s="17" t="str">
        <x:v>030</x:v>
      </x:c>
      <x:c r="D151" t="str">
        <x:v>Extremely Bad</x:v>
      </x:c>
      <x:c r="E151" t="n">
        <x:v>0</x:v>
      </x:c>
      <x:c r="F151" t="n">
        <x:v>29</x:v>
      </x:c>
      <x:c r="G151" t="n">
        <x:v>1</x:v>
      </x:c>
      <x:c r="H151" s="18" t="n">
        <x:v>25</x:v>
      </x:c>
      <x:c r="I151" s="18" t="n">
        <x:v>15</x:v>
      </x:c>
      <x:c r="J151" s="18" t="n">
        <x:v>20</x:v>
      </x:c>
      <x:c r="K151" s="18" t="n">
        <x:v>40</x:v>
      </x:c>
      <x:c r="L151" s="18" t="n">
        <x:v>50</x:v>
      </x:c>
      <x:c r="M151" s="18" t="n">
        <x:v>20</x:v>
      </x:c>
      <x:c r="N151" s="18" t="n">
        <x:v>10</x:v>
      </x:c>
      <x:c r="O151" s="18" t="n">
        <x:v>25</x:v>
      </x:c>
      <x:c r="P151" s="18" t="n">
        <x:v>39</x:v>
      </x:c>
      <x:c r="Q151" t="str">
        <x:v>Yes</x:v>
      </x:c>
      <x:c r="R151" s="18" t="n">
        <x:v>0</x:v>
      </x:c>
      <x:c r="S151" s="18" t="n">
        <x:v>0</x:v>
      </x:c>
      <x:c r="T151" s="18" t="n">
        <x:v>0</x:v>
      </x:c>
      <x:c r="U151" t="str">
        <x:v>Extremely Bad</x:v>
      </x:c>
      <x:c r="V151" t="str">
        <x:v>Yes</x:v>
      </x:c>
      <x:c r="W151" t="str">
        <x:v>SEVERELY_DEFICIENT</x:v>
      </x:c>
      <x:c r="X151" t="str">
        <x:v>REWRITE_REQUIRED</x:v>
      </x:c>
      <x:c r="Y151" t="n">
        <x:v>80</x:v>
      </x:c>
      <x:c r="Z151" t="str">
        <x:v>Success</x:v>
      </x:c>
      <x:c r="AA151"/>
      <x:c r="AB151"/>
      <x:c r="AC151" s="13"/>
      <x:c r="AD151" t="n">
        <x:v>0</x:v>
      </x:c>
      <x:c r="AE151" s="19" t="n">
        <x:v>83140</x:v>
      </x:c>
      <x:c r="AF151" t="str">
        <x:v>deepseek-v4-pro</x:v>
      </x:c>
      <x:c r="AG151" s="20" t="n">
        <x:v>46225.241882650465</x:v>
      </x:c>
      <x:c r="AH151" t="n">
        <x:v>200</x:v>
      </x:c>
      <x:c r="AI151" t="str">
        <x:v>cc15d2db78eb108e07857547dc89933f5510a92e2b8d1a1c6722d22634019b03</x:v>
      </x:c>
      <x:c r="AJ151" t="str">
        <x:v>99e55c13b29cbadc235b4f0a7b22308079cd00d971954f9264c02b407e0220b5</x:v>
      </x:c>
    </x:row>
  </x:sheetData>
  <x:conditionalFormatting sqref="Q2:Q151">
    <x:cfRule type="containsText" dxfId="0" priority="1" operator="containsText" text="Yes"/>
    <x:cfRule type="containsText" dxfId="1" priority="2" operator="containsText" text="No"/>
  </x:conditionalFormatting>
  <x:conditionalFormatting sqref="Z2:Z151">
    <x:cfRule type="containsText" dxfId="2" priority="3" operator="containsText" text="Error"/>
  </x:conditionalFormatting>
  <x:conditionalFormatting sqref="H2:H151">
    <x:cfRule type="dataBar" priority="4">
      <x:dataBar>
        <x:cfvo type="num" val="0"/>
        <x:cfvo type="num" val="100"/>
        <x:color rgb="FF087E8B"/>
      </x:dataBar>
      <x:extLst>
        <x:ext xmlns:x14="http://schemas.microsoft.com/office/spreadsheetml/2009/9/main" uri="{B025F937-C7B1-47D3-B67F-A62EFF666E3E}">
          <x14:id>{31684187-CE30-1D02-026E-DF4908F8B596}</x14:id>
        </x:ext>
      </x:extLst>
    </x:cfRule>
  </x:conditionalFormatting>
  <x:pageMargins left="0.7" right="0.7" top="0.75" bottom="0.75" header="0.3" footer="0.3"/>
  <x:tableParts count="1">
    <x:tablePart xmlns:r="http://schemas.openxmlformats.org/officeDocument/2006/relationships" r:id="R8773fc0f4b3540ef"/>
  </x:tableParts>
  <x:extLst>
    <x:ext xmlns:x14="http://schemas.microsoft.com/office/spreadsheetml/2009/9/main" xmlns:xm="http://schemas.microsoft.com/office/excel/2006/main" uri="{78C0D931-6437-407d-A8EE-F0AAD7539E65}">
      <x14:conditionalFormattings>
        <x14:conditionalFormatting>
          <x14:cfRule type="dataBar" priority="4" id="{31684187-CE30-1D02-026E-DF4908F8B596}">
            <x14:dataBar gradient="1">
              <x14:cfvo type="num">
                <xm:f>0</xm:f>
              </x14:cfvo>
              <x14:cfvo type="num">
                <xm:f>100</xm:f>
              </x14:cfvo>
              <x14:fillColor rgb="FF087E8B"/>
            </x14:dataBar>
          </x14:cfRule>
          <xm:sqref>H2:H151</xm:sqref>
        </x14:conditionalFormatting>
      </x14:conditionalFormattings>
    </x:ext>
  </x:extLst>
</x:worksheet>
</file>

<file path=xl/worksheets/sheet3.xml><?xml version="1.0" encoding="utf-8"?>
<x:worksheet xmlns:x="http://schemas.openxmlformats.org/spreadsheetml/2006/main">
  <x:sheetViews>
    <x:sheetView showGridLines="0" workbookViewId="0"/>
  </x:sheetViews>
  <x:sheetFormatPr defaultRowHeight="15"/>
  <x:cols>
    <x:col min="1" max="1" width="32" hidden="0" customWidth="1"/>
    <x:col min="2" max="2" width="26" hidden="0" customWidth="1"/>
    <x:col min="3" max="3" width="18" hidden="0" customWidth="1"/>
    <x:col min="4" max="4" width="18" hidden="0" customWidth="1"/>
    <x:col min="5" max="5" width="25" hidden="0" customWidth="1"/>
    <x:col min="6" max="6" width="18" hidden="0" customWidth="1"/>
    <x:col min="7" max="7" width="16" hidden="0" customWidth="1"/>
    <x:col min="8" max="8" width="14" hidden="0" customWidth="1"/>
    <x:col min="9" max="9" width="14" hidden="0" customWidth="1"/>
    <x:col min="10" max="10" width="14" hidden="0" customWidth="1"/>
  </x:cols>
  <x:sheetData>
    <x:row r="1" ht="34" customHeight="1">
      <x:c r="A1" s="22" t="str">
        <x:v>Traditional Chinese Review Agent Calibration Report</x:v>
      </x:c>
      <x:c r="B1" s="22" t="str">
        <x:v>Traditional Chinese Review Agent Calibration Report</x:v>
      </x:c>
      <x:c r="C1" s="22" t="str">
        <x:v>Traditional Chinese Review Agent Calibration Report</x:v>
      </x:c>
      <x:c r="D1" s="22" t="str">
        <x:v>Traditional Chinese Review Agent Calibration Report</x:v>
      </x:c>
      <x:c r="E1" s="22" t="str">
        <x:v>Traditional Chinese Review Agent Calibration Report</x:v>
      </x:c>
      <x:c r="F1" s="22" t="str">
        <x:v>Traditional Chinese Review Agent Calibration Report</x:v>
      </x:c>
      <x:c r="G1" s="22" t="str">
        <x:v>Traditional Chinese Review Agent Calibration Report</x:v>
      </x:c>
      <x:c r="H1" s="22" t="str">
        <x:v>Traditional Chinese Review Agent Calibration Report</x:v>
      </x:c>
      <x:c r="I1" s="22" t="str">
        <x:v>Traditional Chinese Review Agent Calibration Report</x:v>
      </x:c>
      <x:c r="J1" s="22" t="str">
        <x:v>Traditional Chinese Review Agent Calibration Report</x:v>
      </x:c>
    </x:row>
    <x:row r="2" ht="22" customHeight="1">
      <x:c r="A2" s="24" t="str">
        <x:v>Generated 2026-07-22T06:02:36.309Z | Model: deepseek-v4-pro | Repeats: 1 | Mode: live</x:v>
      </x:c>
      <x:c r="B2" s="24" t="str">
        <x:v>Generated 2026-07-22T06:02:36.309Z | Model: deepseek-v4-pro | Repeats: 1 | Mode: live</x:v>
      </x:c>
      <x:c r="C2" s="24" t="str">
        <x:v>Generated 2026-07-22T06:02:36.309Z | Model: deepseek-v4-pro | Repeats: 1 | Mode: live</x:v>
      </x:c>
      <x:c r="D2" s="24" t="str">
        <x:v>Generated 2026-07-22T06:02:36.309Z | Model: deepseek-v4-pro | Repeats: 1 | Mode: live</x:v>
      </x:c>
      <x:c r="E2" s="24" t="str">
        <x:v>Generated 2026-07-22T06:02:36.309Z | Model: deepseek-v4-pro | Repeats: 1 | Mode: live</x:v>
      </x:c>
      <x:c r="F2" s="24" t="str">
        <x:v>Generated 2026-07-22T06:02:36.309Z | Model: deepseek-v4-pro | Repeats: 1 | Mode: live</x:v>
      </x:c>
      <x:c r="G2" s="24" t="str">
        <x:v>Generated 2026-07-22T06:02:36.309Z | Model: deepseek-v4-pro | Repeats: 1 | Mode: live</x:v>
      </x:c>
      <x:c r="H2" s="24" t="str">
        <x:v>Generated 2026-07-22T06:02:36.309Z | Model: deepseek-v4-pro | Repeats: 1 | Mode: live</x:v>
      </x:c>
      <x:c r="I2" s="24" t="str">
        <x:v>Generated 2026-07-22T06:02:36.309Z | Model: deepseek-v4-pro | Repeats: 1 | Mode: live</x:v>
      </x:c>
      <x:c r="J2" s="24" t="str">
        <x:v>Generated 2026-07-22T06:02:36.309Z | Model: deepseek-v4-pro | Repeats: 1 | Mode: live</x:v>
      </x:c>
    </x:row>
    <x:row r="4" ht="24" customHeight="1">
      <x:c r="A4" s="34" t="str">
        <x:v>Overall summary</x:v>
      </x:c>
      <x:c r="B4" s="34" t="str">
        <x:v>Overall summary</x:v>
      </x:c>
      <x:c r="D4" s="27" t="str">
        <x:v>Calibration interpretation</x:v>
      </x:c>
      <x:c r="E4" s="27" t="str">
        <x:v>Calibration interpretation</x:v>
      </x:c>
      <x:c r="F4" s="27" t="str">
        <x:v>Calibration interpretation</x:v>
      </x:c>
      <x:c r="G4" s="27" t="str">
        <x:v>Calibration interpretation</x:v>
      </x:c>
      <x:c r="H4" s="27" t="str">
        <x:v>Calibration interpretation</x:v>
      </x:c>
      <x:c r="I4" s="27" t="str">
        <x:v>Calibration interpretation</x:v>
      </x:c>
      <x:c r="J4" s="27" t="str">
        <x:v>Calibration interpretation</x:v>
      </x:c>
    </x:row>
    <x:row r="5" ht="30" customHeight="1">
      <x:c r="A5" s="35" t="str">
        <x:v>Planned drafts</x:v>
      </x:c>
      <x:c r="B5" s="36" t="n">
        <x:f>COUNTA('Drafts'!$B$2:$B$151)</x:f>
        <x:v>150</x:v>
      </x:c>
      <x:c r="D5" s="42" t="str">
        <x:v>Excellent: 24/30 (80.0%) inside 85-100; 6 below and 0 above; mean score 85.8.</x:v>
      </x:c>
      <x:c r="E5" s="42"/>
      <x:c r="F5" s="42"/>
      <x:c r="G5" s="42"/>
      <x:c r="H5" s="42"/>
      <x:c r="I5" s="42"/>
      <x:c r="J5" s="42"/>
    </x:row>
    <x:row r="6" ht="30" customHeight="1">
      <x:c r="A6" s="35" t="str">
        <x:v>Planned test runs</x:v>
      </x:c>
      <x:c r="B6" s="36" t="n">
        <x:f>150</x:f>
        <x:v>150</x:v>
      </x:c>
      <x:c r="D6" s="42" t="str">
        <x:v>Good: 3/30 (10.0%) inside 70-84; 10 below and 17 above; mean score 78.6.</x:v>
      </x:c>
      <x:c r="E6" s="42"/>
      <x:c r="F6" s="42"/>
      <x:c r="G6" s="42"/>
      <x:c r="H6" s="42"/>
      <x:c r="I6" s="42"/>
      <x:c r="J6" s="42"/>
    </x:row>
    <x:row r="7" ht="30" customHeight="1">
      <x:c r="A7" s="35" t="str">
        <x:v>Saved result rows</x:v>
      </x:c>
      <x:c r="B7" s="36" t="n">
        <x:f>COUNTA('Results'!$B$2:$B$151)</x:f>
        <x:v>150</x:v>
      </x:c>
      <x:c r="D7" s="42" t="str">
        <x:v>Normal: 24/30 (80.0%) inside 50-69; 2 below and 4 above; mean score 60.2.</x:v>
      </x:c>
      <x:c r="E7" s="42"/>
      <x:c r="F7" s="42"/>
      <x:c r="G7" s="42"/>
      <x:c r="H7" s="42"/>
      <x:c r="I7" s="42"/>
      <x:c r="J7" s="42"/>
    </x:row>
    <x:row r="8" ht="30" customHeight="1">
      <x:c r="A8" s="35" t="str">
        <x:v>Successful tests</x:v>
      </x:c>
      <x:c r="B8" s="36" t="n">
        <x:f>COUNTIF('Results'!$Z$2:$Z$151,"Success")</x:f>
        <x:v>150</x:v>
      </x:c>
      <x:c r="D8" s="42" t="str">
        <x:v>Bad: 21/30 (70.0%) inside 30-49; 0 below and 9 above; mean score 47.0.</x:v>
      </x:c>
      <x:c r="E8" s="42"/>
      <x:c r="F8" s="42"/>
      <x:c r="G8" s="42"/>
      <x:c r="H8" s="42"/>
      <x:c r="I8" s="42"/>
      <x:c r="J8" s="42"/>
    </x:row>
    <x:row r="9" ht="30" customHeight="1">
      <x:c r="A9" s="35" t="str">
        <x:v>Failed tests</x:v>
      </x:c>
      <x:c r="B9" s="36" t="n">
        <x:f>COUNTIF('Results'!$Z$2:$Z$151,"Error")</x:f>
        <x:v>0</x:v>
      </x:c>
      <x:c r="D9" s="42" t="str">
        <x:v>Extremely Bad: 26/30 (86.7%) inside 0-29; 0 below and 4 above; mean score 23.3.</x:v>
      </x:c>
      <x:c r="E9" s="42"/>
      <x:c r="F9" s="42"/>
      <x:c r="G9" s="42"/>
      <x:c r="H9" s="42"/>
      <x:c r="I9" s="42"/>
      <x:c r="J9" s="42"/>
    </x:row>
    <x:row r="10" ht="30" customHeight="1">
      <x:c r="A10" s="35" t="str">
        <x:v>Inside expected range (count)</x:v>
      </x:c>
      <x:c r="B10" s="36" t="n">
        <x:f>COUNTIFS('Results'!$Z$2:$Z$151,"Success",'Results'!$Q$2:$Q$151,"Yes")</x:f>
        <x:v>98</x:v>
      </x:c>
      <x:c r="D10" s="42" t="str">
        <x:v>Overall scored-draft classification accuracy is 98/150 (65.3%); coverage is 150/150, so all-draft accuracy is 98/150 (65.3%).</x:v>
      </x:c>
      <x:c r="E10" s="42"/>
      <x:c r="F10" s="42"/>
      <x:c r="G10" s="42"/>
      <x:c r="H10" s="42"/>
      <x:c r="I10" s="42"/>
      <x:c r="J10" s="42"/>
    </x:row>
    <x:row r="11">
      <x:c r="A11" s="35" t="str">
        <x:v>Inside expected range (%)</x:v>
      </x:c>
      <x:c r="B11" s="37" t="n">
        <x:f>IF(B8=0,0,B10/B8)</x:f>
        <x:v>0.6533333333333333</x:v>
      </x:c>
    </x:row>
    <x:row r="12">
      <x:c r="A12" s="35" t="str">
        <x:v>Below expected range (count)</x:v>
      </x:c>
      <x:c r="B12" s="36" t="n">
        <x:f>COUNTIFS('Results'!$Z$2:$Z$151,"Success",'Results'!$S$2:$S$151,"&gt;0")</x:f>
        <x:v>18</x:v>
      </x:c>
    </x:row>
    <x:row r="13">
      <x:c r="A13" s="35" t="str">
        <x:v>Below expected range (%)</x:v>
      </x:c>
      <x:c r="B13" s="37" t="n">
        <x:f>IF(B8=0,0,B12/B8)</x:f>
        <x:v>0.12</x:v>
      </x:c>
    </x:row>
    <x:row r="14">
      <x:c r="A14" s="35" t="str">
        <x:v>Above expected range (count)</x:v>
      </x:c>
      <x:c r="B14" s="36" t="n">
        <x:f>COUNTIFS('Results'!$Z$2:$Z$151,"Success",'Results'!$T$2:$T$151,"&gt;0")</x:f>
        <x:v>34</x:v>
      </x:c>
    </x:row>
    <x:row r="15">
      <x:c r="A15" s="35" t="str">
        <x:v>Above expected range (%)</x:v>
      </x:c>
      <x:c r="B15" s="37" t="n">
        <x:f>IF(B8=0,0,B14/B8)</x:f>
        <x:v>0.22666666666666666</x:v>
      </x:c>
    </x:row>
    <x:row r="16">
      <x:c r="A16" s="35" t="str">
        <x:v>Run classification accuracy</x:v>
      </x:c>
      <x:c r="B16" s="37" t="n">
        <x:f>IF(B8=0,0,COUNTIF('Results'!$V$2:$V$151,"Yes")/B8)</x:f>
        <x:v>0.6533333333333333</x:v>
      </x:c>
    </x:row>
    <x:row r="17">
      <x:c r="A17" s="35" t="str">
        <x:v>Scored-draft classification accuracy</x:v>
      </x:c>
      <x:c r="B17" s="37" t="n">
        <x:f>IF(B8=0,"",0.6533333333333333)</x:f>
        <x:v>0.6533333333333333</x:v>
      </x:c>
    </x:row>
    <x:row r="18">
      <x:c r="A18" s="35" t="str">
        <x:v>Draft coverage</x:v>
      </x:c>
      <x:c r="B18" s="37" t="n">
        <x:f>1</x:f>
        <x:v>1</x:v>
      </x:c>
    </x:row>
    <x:row r="19">
      <x:c r="A19" s="35" t="str">
        <x:v>Overall accuracy across all drafts</x:v>
      </x:c>
      <x:c r="B19" s="37" t="n">
        <x:f>0.6533333333333333</x:f>
        <x:v>0.6533333333333333</x:v>
      </x:c>
    </x:row>
    <x:row r="20">
      <x:c r="A20" s="35" t="str">
        <x:v>Mean successful score</x:v>
      </x:c>
      <x:c r="B20" s="38" t="n">
        <x:f>IF(B8=0,"",AVERAGEIF('Results'!$Z$2:$Z$151,"Success",'Results'!$H$2:$H$151))</x:f>
        <x:v>58.986666666666665</x:v>
      </x:c>
    </x:row>
    <x:row r="21">
      <x:c r="A21" s="35" t="str">
        <x:v>Mean distance from expected range</x:v>
      </x:c>
      <x:c r="B21" s="38" t="n">
        <x:f>IF(B8=0,"",AVERAGEIF('Results'!$Z$2:$Z$151,"Success",'Results'!$R$2:$R$151))</x:f>
        <x:v>3.3533333333333335</x:v>
      </x:c>
    </x:row>
    <x:row r="22">
      <x:c r="A22" s="35" t="str">
        <x:v>Inversion cases</x:v>
      </x:c>
      <x:c r="B22" s="36" t="n">
        <x:f>12</x:f>
        <x:v>12</x:v>
      </x:c>
    </x:row>
    <x:row r="25" ht="24" customHeight="1">
      <x:c r="A25" s="27" t="str">
        <x:v>Confusion matrix (successful test runs; expected rows vs predicted columns)</x:v>
      </x:c>
      <x:c r="B25" s="27" t="str">
        <x:v>Confusion matrix (successful test runs; expected rows vs predicted columns)</x:v>
      </x:c>
      <x:c r="C25" s="27" t="str">
        <x:v>Confusion matrix (successful test runs; expected rows vs predicted columns)</x:v>
      </x:c>
      <x:c r="D25" s="27" t="str">
        <x:v>Confusion matrix (successful test runs; expected rows vs predicted columns)</x:v>
      </x:c>
      <x:c r="E25" s="27" t="str">
        <x:v>Confusion matrix (successful test runs; expected rows vs predicted columns)</x:v>
      </x:c>
      <x:c r="F25" s="27" t="str">
        <x:v>Confusion matrix (successful test runs; expected rows vs predicted columns)</x:v>
      </x:c>
      <x:c r="G25" s="27" t="str">
        <x:v>Confusion matrix (successful test runs; expected rows vs predicted columns)</x:v>
      </x:c>
    </x:row>
    <x:row r="26">
      <x:c r="A26" s="45" t="str">
        <x:v>Expected / Predicted</x:v>
      </x:c>
      <x:c r="B26" s="45" t="str">
        <x:v>Excellent</x:v>
      </x:c>
      <x:c r="C26" s="45" t="str">
        <x:v>Good</x:v>
      </x:c>
      <x:c r="D26" s="45" t="str">
        <x:v>Normal</x:v>
      </x:c>
      <x:c r="E26" s="45" t="str">
        <x:v>Bad</x:v>
      </x:c>
      <x:c r="F26" s="45" t="str">
        <x:v>Extremely Bad</x:v>
      </x:c>
      <x:c r="G26" s="45" t="str">
        <x:v>Row total</x:v>
      </x:c>
    </x:row>
    <x:row r="27">
      <x:c r="A27" s="46" t="str">
        <x:v>Excellent</x:v>
      </x:c>
      <x:c r="B27" s="47" t="n">
        <x:f>COUNTIFS('Results'!$D$2:$D$151,$A27,'Results'!$U$2:$U$151,B$26,'Results'!$Z$2:$Z$151,"Success")</x:f>
        <x:v>24</x:v>
      </x:c>
      <x:c r="C27" s="47" t="n">
        <x:f>COUNTIFS('Results'!$D$2:$D$151,$A27,'Results'!$U$2:$U$151,C$26,'Results'!$Z$2:$Z$151,"Success")</x:f>
        <x:v>1</x:v>
      </x:c>
      <x:c r="D27" s="47" t="n">
        <x:f>COUNTIFS('Results'!$D$2:$D$151,$A27,'Results'!$U$2:$U$151,D$26,'Results'!$Z$2:$Z$151,"Success")</x:f>
        <x:v>5</x:v>
      </x:c>
      <x:c r="E27" s="47" t="n">
        <x:f>COUNTIFS('Results'!$D$2:$D$151,$A27,'Results'!$U$2:$U$151,E$26,'Results'!$Z$2:$Z$151,"Success")</x:f>
        <x:v>0</x:v>
      </x:c>
      <x:c r="F27" s="47" t="n">
        <x:f>COUNTIFS('Results'!$D$2:$D$151,$A27,'Results'!$U$2:$U$151,F$26,'Results'!$Z$2:$Z$151,"Success")</x:f>
        <x:v>0</x:v>
      </x:c>
      <x:c r="G27" s="47" t="n">
        <x:f>SUM(B27:F27)</x:f>
        <x:v>30</x:v>
      </x:c>
    </x:row>
    <x:row r="28">
      <x:c r="A28" s="46" t="str">
        <x:v>Good</x:v>
      </x:c>
      <x:c r="B28" s="47" t="n">
        <x:f>COUNTIFS('Results'!$D$2:$D$151,$A28,'Results'!$U$2:$U$151,B$26,'Results'!$Z$2:$Z$151,"Success")</x:f>
        <x:v>17</x:v>
      </x:c>
      <x:c r="C28" s="47" t="n">
        <x:f>COUNTIFS('Results'!$D$2:$D$151,$A28,'Results'!$U$2:$U$151,C$26,'Results'!$Z$2:$Z$151,"Success")</x:f>
        <x:v>3</x:v>
      </x:c>
      <x:c r="D28" s="47" t="n">
        <x:f>COUNTIFS('Results'!$D$2:$D$151,$A28,'Results'!$U$2:$U$151,D$26,'Results'!$Z$2:$Z$151,"Success")</x:f>
        <x:v>10</x:v>
      </x:c>
      <x:c r="E28" s="47" t="n">
        <x:f>COUNTIFS('Results'!$D$2:$D$151,$A28,'Results'!$U$2:$U$151,E$26,'Results'!$Z$2:$Z$151,"Success")</x:f>
        <x:v>0</x:v>
      </x:c>
      <x:c r="F28" s="47" t="n">
        <x:f>COUNTIFS('Results'!$D$2:$D$151,$A28,'Results'!$U$2:$U$151,F$26,'Results'!$Z$2:$Z$151,"Success")</x:f>
        <x:v>0</x:v>
      </x:c>
      <x:c r="G28" s="47" t="n">
        <x:f>SUM(B28:F28)</x:f>
        <x:v>30</x:v>
      </x:c>
    </x:row>
    <x:row r="29">
      <x:c r="A29" s="46" t="str">
        <x:v>Normal</x:v>
      </x:c>
      <x:c r="B29" s="47" t="n">
        <x:f>COUNTIFS('Results'!$D$2:$D$151,$A29,'Results'!$U$2:$U$151,B$26,'Results'!$Z$2:$Z$151,"Success")</x:f>
        <x:v>2</x:v>
      </x:c>
      <x:c r="C29" s="47" t="n">
        <x:f>COUNTIFS('Results'!$D$2:$D$151,$A29,'Results'!$U$2:$U$151,C$26,'Results'!$Z$2:$Z$151,"Success")</x:f>
        <x:v>2</x:v>
      </x:c>
      <x:c r="D29" s="47" t="n">
        <x:f>COUNTIFS('Results'!$D$2:$D$151,$A29,'Results'!$U$2:$U$151,D$26,'Results'!$Z$2:$Z$151,"Success")</x:f>
        <x:v>24</x:v>
      </x:c>
      <x:c r="E29" s="47" t="n">
        <x:f>COUNTIFS('Results'!$D$2:$D$151,$A29,'Results'!$U$2:$U$151,E$26,'Results'!$Z$2:$Z$151,"Success")</x:f>
        <x:v>2</x:v>
      </x:c>
      <x:c r="F29" s="47" t="n">
        <x:f>COUNTIFS('Results'!$D$2:$D$151,$A29,'Results'!$U$2:$U$151,F$26,'Results'!$Z$2:$Z$151,"Success")</x:f>
        <x:v>0</x:v>
      </x:c>
      <x:c r="G29" s="47" t="n">
        <x:f>SUM(B29:F29)</x:f>
        <x:v>30</x:v>
      </x:c>
    </x:row>
    <x:row r="30">
      <x:c r="A30" s="46" t="str">
        <x:v>Bad</x:v>
      </x:c>
      <x:c r="B30" s="47" t="n">
        <x:f>COUNTIFS('Results'!$D$2:$D$151,$A30,'Results'!$U$2:$U$151,B$26,'Results'!$Z$2:$Z$151,"Success")</x:f>
        <x:v>0</x:v>
      </x:c>
      <x:c r="C30" s="47" t="n">
        <x:f>COUNTIFS('Results'!$D$2:$D$151,$A30,'Results'!$U$2:$U$151,C$26,'Results'!$Z$2:$Z$151,"Success")</x:f>
        <x:v>0</x:v>
      </x:c>
      <x:c r="D30" s="47" t="n">
        <x:f>COUNTIFS('Results'!$D$2:$D$151,$A30,'Results'!$U$2:$U$151,D$26,'Results'!$Z$2:$Z$151,"Success")</x:f>
        <x:v>9</x:v>
      </x:c>
      <x:c r="E30" s="47" t="n">
        <x:f>COUNTIFS('Results'!$D$2:$D$151,$A30,'Results'!$U$2:$U$151,E$26,'Results'!$Z$2:$Z$151,"Success")</x:f>
        <x:v>21</x:v>
      </x:c>
      <x:c r="F30" s="47" t="n">
        <x:f>COUNTIFS('Results'!$D$2:$D$151,$A30,'Results'!$U$2:$U$151,F$26,'Results'!$Z$2:$Z$151,"Success")</x:f>
        <x:v>0</x:v>
      </x:c>
      <x:c r="G30" s="47" t="n">
        <x:f>SUM(B30:F30)</x:f>
        <x:v>30</x:v>
      </x:c>
    </x:row>
    <x:row r="31">
      <x:c r="A31" s="46" t="str">
        <x:v>Extremely Bad</x:v>
      </x:c>
      <x:c r="B31" s="47" t="n">
        <x:f>COUNTIFS('Results'!$D$2:$D$151,$A31,'Results'!$U$2:$U$151,B$26,'Results'!$Z$2:$Z$151,"Success")</x:f>
        <x:v>0</x:v>
      </x:c>
      <x:c r="C31" s="47" t="n">
        <x:f>COUNTIFS('Results'!$D$2:$D$151,$A31,'Results'!$U$2:$U$151,C$26,'Results'!$Z$2:$Z$151,"Success")</x:f>
        <x:v>0</x:v>
      </x:c>
      <x:c r="D31" s="47" t="n">
        <x:f>COUNTIFS('Results'!$D$2:$D$151,$A31,'Results'!$U$2:$U$151,D$26,'Results'!$Z$2:$Z$151,"Success")</x:f>
        <x:v>0</x:v>
      </x:c>
      <x:c r="E31" s="47" t="n">
        <x:f>COUNTIFS('Results'!$D$2:$D$151,$A31,'Results'!$U$2:$U$151,E$26,'Results'!$Z$2:$Z$151,"Success")</x:f>
        <x:v>4</x:v>
      </x:c>
      <x:c r="F31" s="47" t="n">
        <x:f>COUNTIFS('Results'!$D$2:$D$151,$A31,'Results'!$U$2:$U$151,F$26,'Results'!$Z$2:$Z$151,"Success")</x:f>
        <x:v>26</x:v>
      </x:c>
      <x:c r="G31" s="47" t="n">
        <x:f>SUM(B31:F31)</x:f>
        <x:v>30</x:v>
      </x:c>
    </x:row>
    <x:row r="34" ht="24" customHeight="1">
      <x:c r="A34" s="27" t="str">
        <x:v>Ten largest scoring mismatches</x:v>
      </x:c>
      <x:c r="B34" s="27" t="str">
        <x:v>Ten largest scoring mismatches</x:v>
      </x:c>
      <x:c r="C34" s="27" t="str">
        <x:v>Ten largest scoring mismatches</x:v>
      </x:c>
      <x:c r="D34" s="27" t="str">
        <x:v>Ten largest scoring mismatches</x:v>
      </x:c>
      <x:c r="E34" s="27" t="str">
        <x:v>Ten largest scoring mismatches</x:v>
      </x:c>
      <x:c r="F34" s="27" t="str">
        <x:v>Ten largest scoring mismatches</x:v>
      </x:c>
      <x:c r="G34" s="27" t="str">
        <x:v>Ten largest scoring mismatches</x:v>
      </x:c>
      <x:c r="H34" s="27" t="str">
        <x:v>Ten largest scoring mismatches</x:v>
      </x:c>
    </x:row>
    <x:row r="35">
      <x:c r="A35" s="45" t="str">
        <x:v>Rank</x:v>
      </x:c>
      <x:c r="B35" s="45" t="str">
        <x:v>Draft ID</x:v>
      </x:c>
      <x:c r="C35" s="45" t="str">
        <x:v>Scenario</x:v>
      </x:c>
      <x:c r="D35" s="45" t="str">
        <x:v>Expected</x:v>
      </x:c>
      <x:c r="E35" s="45" t="str">
        <x:v>Predicted</x:v>
      </x:c>
      <x:c r="F35" s="45" t="str">
        <x:v>Expected range</x:v>
      </x:c>
      <x:c r="G35" s="45" t="str">
        <x:v>Average score</x:v>
      </x:c>
      <x:c r="H35" s="9" t="str">
        <x:v>Distance</x:v>
      </x:c>
    </x:row>
    <x:row r="36">
      <x:c r="A36" s="48" t="n">
        <x:v>1</x:v>
      </x:c>
      <x:c r="B36" s="48" t="str">
        <x:v>ZH-EXCELLENT-004</x:v>
      </x:c>
      <x:c r="C36" s="48" t="str">
        <x:v>004</x:v>
      </x:c>
      <x:c r="D36" s="48" t="str">
        <x:v>Excellent</x:v>
      </x:c>
      <x:c r="E36" s="48" t="str">
        <x:v>Normal</x:v>
      </x:c>
      <x:c r="F36" s="48" t="str">
        <x:v>85-100</x:v>
      </x:c>
      <x:c r="G36" s="49" t="n">
        <x:v>59</x:v>
      </x:c>
      <x:c r="H36" s="50" t="n">
        <x:v>26</x:v>
      </x:c>
    </x:row>
    <x:row r="37">
      <x:c r="A37" s="48" t="n">
        <x:v>2</x:v>
      </x:c>
      <x:c r="B37" s="48" t="str">
        <x:v>ZH-EXCELLENT-006</x:v>
      </x:c>
      <x:c r="C37" s="48" t="str">
        <x:v>006</x:v>
      </x:c>
      <x:c r="D37" s="48" t="str">
        <x:v>Excellent</x:v>
      </x:c>
      <x:c r="E37" s="48" t="str">
        <x:v>Normal</x:v>
      </x:c>
      <x:c r="F37" s="48" t="str">
        <x:v>85-100</x:v>
      </x:c>
      <x:c r="G37" s="49" t="n">
        <x:v>59</x:v>
      </x:c>
      <x:c r="H37" s="50" t="n">
        <x:v>26</x:v>
      </x:c>
    </x:row>
    <x:row r="38">
      <x:c r="A38" s="48" t="n">
        <x:v>3</x:v>
      </x:c>
      <x:c r="B38" s="48" t="str">
        <x:v>ZH-EXCELLENT-007</x:v>
      </x:c>
      <x:c r="C38" s="48" t="str">
        <x:v>007</x:v>
      </x:c>
      <x:c r="D38" s="48" t="str">
        <x:v>Excellent</x:v>
      </x:c>
      <x:c r="E38" s="48" t="str">
        <x:v>Normal</x:v>
      </x:c>
      <x:c r="F38" s="48" t="str">
        <x:v>85-100</x:v>
      </x:c>
      <x:c r="G38" s="49" t="n">
        <x:v>59</x:v>
      </x:c>
      <x:c r="H38" s="50" t="n">
        <x:v>26</x:v>
      </x:c>
    </x:row>
    <x:row r="39">
      <x:c r="A39" s="48" t="n">
        <x:v>4</x:v>
      </x:c>
      <x:c r="B39" s="48" t="str">
        <x:v>ZH-EXCELLENT-015</x:v>
      </x:c>
      <x:c r="C39" s="48" t="str">
        <x:v>015</x:v>
      </x:c>
      <x:c r="D39" s="48" t="str">
        <x:v>Excellent</x:v>
      </x:c>
      <x:c r="E39" s="48" t="str">
        <x:v>Normal</x:v>
      </x:c>
      <x:c r="F39" s="48" t="str">
        <x:v>85-100</x:v>
      </x:c>
      <x:c r="G39" s="49" t="n">
        <x:v>59</x:v>
      </x:c>
      <x:c r="H39" s="50" t="n">
        <x:v>26</x:v>
      </x:c>
    </x:row>
    <x:row r="40">
      <x:c r="A40" s="48" t="n">
        <x:v>5</x:v>
      </x:c>
      <x:c r="B40" s="48" t="str">
        <x:v>ZH-EXCELLENT-016</x:v>
      </x:c>
      <x:c r="C40" s="48" t="str">
        <x:v>016</x:v>
      </x:c>
      <x:c r="D40" s="48" t="str">
        <x:v>Excellent</x:v>
      </x:c>
      <x:c r="E40" s="48" t="str">
        <x:v>Normal</x:v>
      </x:c>
      <x:c r="F40" s="48" t="str">
        <x:v>85-100</x:v>
      </x:c>
      <x:c r="G40" s="49" t="n">
        <x:v>59</x:v>
      </x:c>
      <x:c r="H40" s="50" t="n">
        <x:v>26</x:v>
      </x:c>
    </x:row>
    <x:row r="41">
      <x:c r="A41" s="48" t="n">
        <x:v>6</x:v>
      </x:c>
      <x:c r="B41" s="48" t="str">
        <x:v>ZH-NORMAL-001</x:v>
      </x:c>
      <x:c r="C41" s="48" t="str">
        <x:v>001</x:v>
      </x:c>
      <x:c r="D41" s="48" t="str">
        <x:v>Normal</x:v>
      </x:c>
      <x:c r="E41" s="48" t="str">
        <x:v>Excellent</x:v>
      </x:c>
      <x:c r="F41" s="48" t="str">
        <x:v>50-69</x:v>
      </x:c>
      <x:c r="G41" s="49" t="n">
        <x:v>86</x:v>
      </x:c>
      <x:c r="H41" s="50" t="n">
        <x:v>17</x:v>
      </x:c>
    </x:row>
    <x:row r="42">
      <x:c r="A42" s="48" t="n">
        <x:v>7</x:v>
      </x:c>
      <x:c r="B42" s="48" t="str">
        <x:v>ZH-NORMAL-017</x:v>
      </x:c>
      <x:c r="C42" s="48" t="str">
        <x:v>017</x:v>
      </x:c>
      <x:c r="D42" s="48" t="str">
        <x:v>Normal</x:v>
      </x:c>
      <x:c r="E42" s="48" t="str">
        <x:v>Excellent</x:v>
      </x:c>
      <x:c r="F42" s="48" t="str">
        <x:v>50-69</x:v>
      </x:c>
      <x:c r="G42" s="49" t="n">
        <x:v>86</x:v>
      </x:c>
      <x:c r="H42" s="50" t="n">
        <x:v>17</x:v>
      </x:c>
    </x:row>
    <x:row r="43">
      <x:c r="A43" s="48" t="n">
        <x:v>8</x:v>
      </x:c>
      <x:c r="B43" s="48" t="str">
        <x:v>ZH-EXCELLENT-009</x:v>
      </x:c>
      <x:c r="C43" s="48" t="str">
        <x:v>009</x:v>
      </x:c>
      <x:c r="D43" s="48" t="str">
        <x:v>Excellent</x:v>
      </x:c>
      <x:c r="E43" s="48" t="str">
        <x:v>Good</x:v>
      </x:c>
      <x:c r="F43" s="48" t="str">
        <x:v>85-100</x:v>
      </x:c>
      <x:c r="G43" s="49" t="n">
        <x:v>74</x:v>
      </x:c>
      <x:c r="H43" s="50" t="n">
        <x:v>11</x:v>
      </x:c>
    </x:row>
    <x:row r="44">
      <x:c r="A44" s="48" t="n">
        <x:v>9</x:v>
      </x:c>
      <x:c r="B44" s="48" t="str">
        <x:v>ZH-GOOD-004</x:v>
      </x:c>
      <x:c r="C44" s="48" t="str">
        <x:v>004</x:v>
      </x:c>
      <x:c r="D44" s="48" t="str">
        <x:v>Good</x:v>
      </x:c>
      <x:c r="E44" s="48" t="str">
        <x:v>Normal</x:v>
      </x:c>
      <x:c r="F44" s="48" t="str">
        <x:v>70-84</x:v>
      </x:c>
      <x:c r="G44" s="49" t="n">
        <x:v>59</x:v>
      </x:c>
      <x:c r="H44" s="50" t="n">
        <x:v>11</x:v>
      </x:c>
    </x:row>
    <x:row r="45">
      <x:c r="A45" s="48" t="n">
        <x:v>10</x:v>
      </x:c>
      <x:c r="B45" s="48" t="str">
        <x:v>ZH-GOOD-006</x:v>
      </x:c>
      <x:c r="C45" s="48" t="str">
        <x:v>006</x:v>
      </x:c>
      <x:c r="D45" s="48" t="str">
        <x:v>Good</x:v>
      </x:c>
      <x:c r="E45" s="48" t="str">
        <x:v>Normal</x:v>
      </x:c>
      <x:c r="F45" s="48" t="str">
        <x:v>70-84</x:v>
      </x:c>
      <x:c r="G45" s="49" t="n">
        <x:v>59</x:v>
      </x:c>
      <x:c r="H45" s="50" t="n">
        <x:v>11</x:v>
      </x:c>
    </x:row>
    <x:row r="48" ht="24" customHeight="1">
      <x:c r="A48" s="27" t="str">
        <x:v>Lower-quality versions that scored higher</x:v>
      </x:c>
      <x:c r="B48" s="27" t="str">
        <x:v>Lower-quality versions that scored higher</x:v>
      </x:c>
      <x:c r="C48" s="27" t="str">
        <x:v>Lower-quality versions that scored higher</x:v>
      </x:c>
      <x:c r="D48" s="27" t="str">
        <x:v>Lower-quality versions that scored higher</x:v>
      </x:c>
      <x:c r="E48" s="27" t="str">
        <x:v>Lower-quality versions that scored higher</x:v>
      </x:c>
      <x:c r="F48" s="27" t="str">
        <x:v>Lower-quality versions that scored higher</x:v>
      </x:c>
      <x:c r="G48" s="27" t="str">
        <x:v>Lower-quality versions that scored higher</x:v>
      </x:c>
      <x:c r="H48" s="27" t="str">
        <x:v>Lower-quality versions that scored higher</x:v>
      </x:c>
    </x:row>
    <x:row r="49">
      <x:c r="A49" s="9" t="str">
        <x:v>Scenario</x:v>
      </x:c>
      <x:c r="B49" s="10" t="str">
        <x:v>Higher-quality draft</x:v>
      </x:c>
      <x:c r="C49" s="10" t="str">
        <x:v>Higher category</x:v>
      </x:c>
      <x:c r="D49" s="10" t="str">
        <x:v>Higher score</x:v>
      </x:c>
      <x:c r="E49" s="10" t="str">
        <x:v>Lower-quality draft</x:v>
      </x:c>
      <x:c r="F49" s="10" t="str">
        <x:v>Lower category</x:v>
      </x:c>
      <x:c r="G49" s="10" t="str">
        <x:v>Lower score</x:v>
      </x:c>
      <x:c r="H49" s="11" t="str">
        <x:v>Gap</x:v>
      </x:c>
    </x:row>
    <x:row r="50">
      <x:c r="A50" t="str">
        <x:v>016</x:v>
      </x:c>
      <x:c r="B50" t="str">
        <x:v>ZH-EXCELLENT-016</x:v>
      </x:c>
      <x:c r="C50" t="str">
        <x:v>Excellent</x:v>
      </x:c>
      <x:c r="D50" s="18" t="n">
        <x:v>59</x:v>
      </x:c>
      <x:c r="E50" s="18" t="str">
        <x:v>ZH-GOOD-016</x:v>
      </x:c>
      <x:c r="F50" s="18" t="str">
        <x:v>Good</x:v>
      </x:c>
      <x:c r="G50" s="18" t="n">
        <x:v>89</x:v>
      </x:c>
      <x:c r="H50" s="18" t="n">
        <x:v>30</x:v>
      </x:c>
    </x:row>
    <x:row r="51">
      <x:c r="A51" t="str">
        <x:v>015</x:v>
      </x:c>
      <x:c r="B51" t="str">
        <x:v>ZH-EXCELLENT-015</x:v>
      </x:c>
      <x:c r="C51" t="str">
        <x:v>Excellent</x:v>
      </x:c>
      <x:c r="D51" s="18" t="n">
        <x:v>59</x:v>
      </x:c>
      <x:c r="E51" s="18" t="str">
        <x:v>ZH-GOOD-015</x:v>
      </x:c>
      <x:c r="F51" s="18" t="str">
        <x:v>Good</x:v>
      </x:c>
      <x:c r="G51" s="18" t="n">
        <x:v>87</x:v>
      </x:c>
      <x:c r="H51" s="18" t="n">
        <x:v>28</x:v>
      </x:c>
    </x:row>
    <x:row r="52">
      <x:c r="A52" t="str">
        <x:v>009</x:v>
      </x:c>
      <x:c r="B52" t="str">
        <x:v>ZH-EXCELLENT-009</x:v>
      </x:c>
      <x:c r="C52" t="str">
        <x:v>Excellent</x:v>
      </x:c>
      <x:c r="D52" s="18" t="n">
        <x:v>74</x:v>
      </x:c>
      <x:c r="E52" s="18" t="str">
        <x:v>ZH-GOOD-009</x:v>
      </x:c>
      <x:c r="F52" s="18" t="str">
        <x:v>Good</x:v>
      </x:c>
      <x:c r="G52" s="18" t="n">
        <x:v>89</x:v>
      </x:c>
      <x:c r="H52" s="18" t="n">
        <x:v>15</x:v>
      </x:c>
    </x:row>
    <x:row r="53">
      <x:c r="A53" t="str">
        <x:v>001</x:v>
      </x:c>
      <x:c r="B53" t="str">
        <x:v>ZH-GOOD-001</x:v>
      </x:c>
      <x:c r="C53" t="str">
        <x:v>Good</x:v>
      </x:c>
      <x:c r="D53" s="18" t="n">
        <x:v>74</x:v>
      </x:c>
      <x:c r="E53" s="18" t="str">
        <x:v>ZH-NORMAL-001</x:v>
      </x:c>
      <x:c r="F53" s="18" t="str">
        <x:v>Normal</x:v>
      </x:c>
      <x:c r="G53" s="18" t="n">
        <x:v>86</x:v>
      </x:c>
      <x:c r="H53" s="18" t="n">
        <x:v>12</x:v>
      </x:c>
    </x:row>
    <x:row r="54">
      <x:c r="A54" t="str">
        <x:v>017</x:v>
      </x:c>
      <x:c r="B54" t="str">
        <x:v>ZH-EXCELLENT-017</x:v>
      </x:c>
      <x:c r="C54" t="str">
        <x:v>Excellent</x:v>
      </x:c>
      <x:c r="D54" s="18" t="n">
        <x:v>89</x:v>
      </x:c>
      <x:c r="E54" s="18" t="str">
        <x:v>ZH-GOOD-017</x:v>
      </x:c>
      <x:c r="F54" s="18" t="str">
        <x:v>Good</x:v>
      </x:c>
      <x:c r="G54" s="18" t="n">
        <x:v>95</x:v>
      </x:c>
      <x:c r="H54" s="18" t="n">
        <x:v>6</x:v>
      </x:c>
    </x:row>
    <x:row r="55">
      <x:c r="A55" t="str">
        <x:v>008</x:v>
      </x:c>
      <x:c r="B55" t="str">
        <x:v>ZH-EXCELLENT-008</x:v>
      </x:c>
      <x:c r="C55" t="str">
        <x:v>Excellent</x:v>
      </x:c>
      <x:c r="D55" s="18" t="n">
        <x:v>89</x:v>
      </x:c>
      <x:c r="E55" s="18" t="str">
        <x:v>ZH-GOOD-008</x:v>
      </x:c>
      <x:c r="F55" s="18" t="str">
        <x:v>Good</x:v>
      </x:c>
      <x:c r="G55" s="18" t="n">
        <x:v>94</x:v>
      </x:c>
      <x:c r="H55" s="18" t="n">
        <x:v>5</x:v>
      </x:c>
    </x:row>
    <x:row r="56">
      <x:c r="A56" t="str">
        <x:v>005</x:v>
      </x:c>
      <x:c r="B56" t="str">
        <x:v>ZH-EXCELLENT-005</x:v>
      </x:c>
      <x:c r="C56" t="str">
        <x:v>Excellent</x:v>
      </x:c>
      <x:c r="D56" s="18" t="n">
        <x:v>89</x:v>
      </x:c>
      <x:c r="E56" s="18" t="str">
        <x:v>ZH-GOOD-005</x:v>
      </x:c>
      <x:c r="F56" s="18" t="str">
        <x:v>Good</x:v>
      </x:c>
      <x:c r="G56" s="18" t="n">
        <x:v>93</x:v>
      </x:c>
      <x:c r="H56" s="18" t="n">
        <x:v>4</x:v>
      </x:c>
    </x:row>
    <x:row r="57">
      <x:c r="A57" t="str">
        <x:v>027</x:v>
      </x:c>
      <x:c r="B57" t="str">
        <x:v>ZH-NORMAL-027</x:v>
      </x:c>
      <x:c r="C57" t="str">
        <x:v>Normal</x:v>
      </x:c>
      <x:c r="D57" s="18" t="n">
        <x:v>39</x:v>
      </x:c>
      <x:c r="E57" s="18" t="str">
        <x:v>ZH-BAD-027</x:v>
      </x:c>
      <x:c r="F57" s="18" t="str">
        <x:v>Bad</x:v>
      </x:c>
      <x:c r="G57" s="18" t="n">
        <x:v>42</x:v>
      </x:c>
      <x:c r="H57" s="18" t="n">
        <x:v>3</x:v>
      </x:c>
    </x:row>
    <x:row r="58">
      <x:c r="A58" t="str">
        <x:v>003</x:v>
      </x:c>
      <x:c r="B58" t="str">
        <x:v>ZH-NORMAL-003</x:v>
      </x:c>
      <x:c r="C58" t="str">
        <x:v>Normal</x:v>
      </x:c>
      <x:c r="D58" s="18" t="n">
        <x:v>57</x:v>
      </x:c>
      <x:c r="E58" s="18" t="str">
        <x:v>ZH-BAD-003</x:v>
      </x:c>
      <x:c r="F58" s="18" t="str">
        <x:v>Bad</x:v>
      </x:c>
      <x:c r="G58" s="18" t="n">
        <x:v>59</x:v>
      </x:c>
      <x:c r="H58" s="18" t="n">
        <x:v>2</x:v>
      </x:c>
    </x:row>
    <x:row r="59">
      <x:c r="A59" t="str">
        <x:v>010</x:v>
      </x:c>
      <x:c r="B59" t="str">
        <x:v>ZH-EXCELLENT-010</x:v>
      </x:c>
      <x:c r="C59" t="str">
        <x:v>Excellent</x:v>
      </x:c>
      <x:c r="D59" s="18" t="n">
        <x:v>93</x:v>
      </x:c>
      <x:c r="E59" s="18" t="str">
        <x:v>ZH-GOOD-010</x:v>
      </x:c>
      <x:c r="F59" s="18" t="str">
        <x:v>Good</x:v>
      </x:c>
      <x:c r="G59" s="18" t="n">
        <x:v>95</x:v>
      </x:c>
      <x:c r="H59" s="18" t="n">
        <x:v>2</x:v>
      </x:c>
    </x:row>
    <x:row r="60">
      <x:c r="A60" t="str">
        <x:v>019</x:v>
      </x:c>
      <x:c r="B60" t="str">
        <x:v>ZH-EXCELLENT-019</x:v>
      </x:c>
      <x:c r="C60" t="str">
        <x:v>Excellent</x:v>
      </x:c>
      <x:c r="D60" s="18" t="n">
        <x:v>88</x:v>
      </x:c>
      <x:c r="E60" s="18" t="str">
        <x:v>ZH-GOOD-019</x:v>
      </x:c>
      <x:c r="F60" s="18" t="str">
        <x:v>Good</x:v>
      </x:c>
      <x:c r="G60" s="18" t="n">
        <x:v>89</x:v>
      </x:c>
      <x:c r="H60" s="18" t="n">
        <x:v>1</x:v>
      </x:c>
    </x:row>
    <x:row r="61">
      <x:c r="A61" t="str">
        <x:v>022</x:v>
      </x:c>
      <x:c r="B61" t="str">
        <x:v>ZH-EXCELLENT-022</x:v>
      </x:c>
      <x:c r="C61" t="str">
        <x:v>Excellent</x:v>
      </x:c>
      <x:c r="D61" s="18" t="n">
        <x:v>88</x:v>
      </x:c>
      <x:c r="E61" s="18" t="str">
        <x:v>ZH-GOOD-022</x:v>
      </x:c>
      <x:c r="F61" s="18" t="str">
        <x:v>Good</x:v>
      </x:c>
      <x:c r="G61" s="18" t="n">
        <x:v>89</x:v>
      </x:c>
      <x:c r="H61" s="18" t="n">
        <x:v>1</x:v>
      </x:c>
    </x:row>
    <x:row r="64" ht="24" customHeight="1">
      <x:c r="A64" s="27" t="str">
        <x:v>Repeated errors and suspicious patterns</x:v>
      </x:c>
      <x:c r="B64" s="27" t="str">
        <x:v>Repeated errors and suspicious patterns</x:v>
      </x:c>
      <x:c r="C64" s="27" t="str">
        <x:v>Repeated errors and suspicious patterns</x:v>
      </x:c>
      <x:c r="D64" s="27" t="str">
        <x:v>Repeated errors and suspicious patterns</x:v>
      </x:c>
      <x:c r="E64" s="27" t="str">
        <x:v>Repeated errors and suspicious patterns</x:v>
      </x:c>
      <x:c r="F64" s="27" t="str">
        <x:v>Repeated errors and suspicious patterns</x:v>
      </x:c>
      <x:c r="G64" s="27" t="str">
        <x:v>Repeated errors and suspicious patterns</x:v>
      </x:c>
      <x:c r="H64" s="27" t="str">
        <x:v>Repeated errors and suspicious patterns</x:v>
      </x:c>
      <x:c r="I64" s="27" t="str">
        <x:v>Repeated errors and suspicious patterns</x:v>
      </x:c>
      <x:c r="J64" s="27" t="str">
        <x:v>Repeated errors and suspicious patterns</x:v>
      </x:c>
    </x:row>
    <x:row r="65" ht="28" customHeight="1">
      <x:c r="A65" s="54" t="str">
        <x:v>12 lower-quality/higher-score inversion(s) were detected.</x:v>
      </x:c>
      <x:c r="B65" s="54"/>
      <x:c r="C65" s="54"/>
      <x:c r="D65" s="54"/>
      <x:c r="E65" s="54"/>
      <x:c r="F65" s="54"/>
      <x:c r="G65" s="54"/>
      <x:c r="H65" s="54"/>
      <x:c r="I65" s="54"/>
      <x:c r="J65" s="54"/>
    </x:row>
    <x:row r="66" ht="28" customHeight="1">
      <x:c r="A66" s="54" t="str">
        <x:v>Score 59 appears in 36/150 successful tests (24.0%).</x:v>
      </x:c>
      <x:c r="B66" s="54"/>
      <x:c r="C66" s="54"/>
      <x:c r="D66" s="54"/>
      <x:c r="E66" s="54"/>
      <x:c r="F66" s="54"/>
      <x:c r="G66" s="54"/>
      <x:c r="H66" s="54"/>
      <x:c r="I66" s="54"/>
      <x:c r="J66" s="54"/>
    </x:row>
    <x:row r="67" ht="28" customHeight="1">
      <x:c r="A67" s="54" t="str">
        <x:v>65/150 scores (43.3%) sit exactly on deterministic cap boundaries 39, 59, 74, or 89.</x:v>
      </x:c>
      <x:c r="B67" s="54"/>
      <x:c r="C67" s="54"/>
      <x:c r="D67" s="54"/>
      <x:c r="E67" s="54"/>
      <x:c r="F67" s="54"/>
      <x:c r="G67" s="54"/>
      <x:c r="H67" s="54"/>
      <x:c r="I67" s="54"/>
      <x:c r="J67" s="54"/>
    </x:row>
  </x:sheetData>
  <x:mergeCells>
    <x:mergeCell ref="A1:J1"/>
    <x:mergeCell ref="A2:J2"/>
    <x:mergeCell ref="A4:B4"/>
    <x:mergeCell ref="D4:J4"/>
    <x:mergeCell ref="D5:J5"/>
    <x:mergeCell ref="D6:J6"/>
    <x:mergeCell ref="D7:J7"/>
    <x:mergeCell ref="D8:J8"/>
    <x:mergeCell ref="D9:J9"/>
    <x:mergeCell ref="D10:J10"/>
    <x:mergeCell ref="A25:G25"/>
    <x:mergeCell ref="A34:H34"/>
    <x:mergeCell ref="A48:H48"/>
    <x:mergeCell ref="A64:J64"/>
    <x:mergeCell ref="A65:J65"/>
    <x:mergeCell ref="A66:J66"/>
    <x:mergeCell ref="A67:J67"/>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2" hidden="0" customWidth="1"/>
    <x:col min="3" max="3" width="12" hidden="0" customWidth="1"/>
    <x:col min="4" max="4" width="11" hidden="0" customWidth="1"/>
    <x:col min="5" max="5" width="10" hidden="0" customWidth="1"/>
    <x:col min="6" max="6" width="11" hidden="0" customWidth="1"/>
    <x:col min="7" max="7" width="11" hidden="0" customWidth="1"/>
    <x:col min="8" max="8" width="11" hidden="0" customWidth="1"/>
    <x:col min="9" max="9" width="11" hidden="0" customWidth="1"/>
    <x:col min="10" max="10" width="17" hidden="0" customWidth="1"/>
    <x:col min="11" max="11" width="12" hidden="0" customWidth="1"/>
    <x:col min="12" max="12" width="11" hidden="0" customWidth="1"/>
    <x:col min="13" max="13" width="11" hidden="0" customWidth="1"/>
    <x:col min="14" max="14" width="10" hidden="0" customWidth="1"/>
    <x:col min="15" max="15" width="11" hidden="0" customWidth="1"/>
    <x:col min="16" max="16" width="10" hidden="0" customWidth="1"/>
    <x:col min="17" max="17" width="13" hidden="0" customWidth="1"/>
    <x:col min="18" max="18" width="12" hidden="0" customWidth="1"/>
    <x:col min="19" max="19" width="11" hidden="0" customWidth="1"/>
  </x:cols>
  <x:sheetData>
    <x:row r="1" ht="34" customHeight="1">
      <x:c r="A1" s="22" t="str">
        <x:v>Category Summary</x:v>
      </x:c>
      <x:c r="B1" s="22" t="str">
        <x:v>Category Summary</x:v>
      </x:c>
      <x:c r="C1" s="22" t="str">
        <x:v>Category Summary</x:v>
      </x:c>
      <x:c r="D1" s="22" t="str">
        <x:v>Category Summary</x:v>
      </x:c>
      <x:c r="E1" s="22" t="str">
        <x:v>Category Summary</x:v>
      </x:c>
      <x:c r="F1" s="22" t="str">
        <x:v>Category Summary</x:v>
      </x:c>
      <x:c r="G1" s="22" t="str">
        <x:v>Category Summary</x:v>
      </x:c>
      <x:c r="H1" s="22" t="str">
        <x:v>Category Summary</x:v>
      </x:c>
      <x:c r="I1" s="22" t="str">
        <x:v>Category Summary</x:v>
      </x:c>
      <x:c r="J1" s="22" t="str">
        <x:v>Category Summary</x:v>
      </x:c>
      <x:c r="K1" s="22" t="str">
        <x:v>Category Summary</x:v>
      </x:c>
      <x:c r="L1" s="22" t="str">
        <x:v>Category Summary</x:v>
      </x:c>
      <x:c r="M1" s="22" t="str">
        <x:v>Category Summary</x:v>
      </x:c>
      <x:c r="N1" s="22" t="str">
        <x:v>Category Summary</x:v>
      </x:c>
      <x:c r="O1" s="22" t="str">
        <x:v>Category Summary</x:v>
      </x:c>
      <x:c r="P1" s="22" t="str">
        <x:v>Category Summary</x:v>
      </x:c>
      <x:c r="Q1" s="22" t="str">
        <x:v>Category Summary</x:v>
      </x:c>
      <x:c r="R1" s="22" t="str">
        <x:v>Category Summary</x:v>
      </x:c>
      <x:c r="S1" s="22" t="str">
        <x:v>Category Summary</x:v>
      </x:c>
    </x:row>
    <x:row r="2">
      <x:c r="A2" s="45" t="str">
        <x:v>Category</x:v>
      </x:c>
      <x:c r="B2" s="45" t="str">
        <x:v>Expected min</x:v>
      </x:c>
      <x:c r="C2" s="45" t="str">
        <x:v>Expected max</x:v>
      </x:c>
      <x:c r="D2" s="45" t="str">
        <x:v>Successful</x:v>
      </x:c>
      <x:c r="E2" s="45" t="str">
        <x:v>Failed</x:v>
      </x:c>
      <x:c r="F2" s="45" t="str">
        <x:v>Average</x:v>
      </x:c>
      <x:c r="G2" s="45" t="str">
        <x:v>Median</x:v>
      </x:c>
      <x:c r="H2" s="45" t="str">
        <x:v>Minimum</x:v>
      </x:c>
      <x:c r="I2" s="45" t="str">
        <x:v>Maximum</x:v>
      </x:c>
      <x:c r="J2" s="45" t="str">
        <x:v>Std dev (population)</x:v>
      </x:c>
      <x:c r="K2" s="45" t="str">
        <x:v>Inside count</x:v>
      </x:c>
      <x:c r="L2" s="45" t="str">
        <x:v>Inside %</x:v>
      </x:c>
      <x:c r="M2" s="45" t="str">
        <x:v>Below count</x:v>
      </x:c>
      <x:c r="N2" s="45" t="str">
        <x:v>Below %</x:v>
      </x:c>
      <x:c r="O2" s="45" t="str">
        <x:v>Above count</x:v>
      </x:c>
      <x:c r="P2" s="45" t="str">
        <x:v>Above %</x:v>
      </x:c>
      <x:c r="Q2" s="45" t="str">
        <x:v>Mean distance</x:v>
      </x:c>
      <x:c r="R2" s="45" t="str">
        <x:v>Correct count</x:v>
      </x:c>
      <x:c r="S2" s="45" t="str">
        <x:v>Accuracy</x:v>
      </x:c>
    </x:row>
    <x:row r="3">
      <x:c r="A3" s="57" t="str">
        <x:v>Excellent</x:v>
      </x:c>
      <x:c r="B3" s="47" t="n">
        <x:v>85</x:v>
      </x:c>
      <x:c r="C3" s="47" t="n">
        <x:v>100</x:v>
      </x:c>
      <x:c r="D3" s="47" t="n">
        <x:f>COUNTIFS('Results'!$D$2:$D$151,$A3,'Results'!$Z$2:$Z$151,"Success")</x:f>
        <x:v>30</x:v>
      </x:c>
      <x:c r="E3" s="47" t="n">
        <x:f>COUNTIFS('Results'!$D$2:$D$151,$A3,'Results'!$Z$2:$Z$151,"Error")</x:f>
        <x:v>0</x:v>
      </x:c>
      <x:c r="F3" s="49" t="n">
        <x:f>IF(D3=0,"",SUMIFS('Results'!$H$2:$H$151,'Results'!$D$2:$D$151,$A3,'Results'!$Z$2:$Z$151,"Success")/D3)</x:f>
        <x:v>85.8</x:v>
      </x:c>
      <x:c r="G3" s="49" t="n">
        <x:f>IF(D3=0,"",MEDIAN(_xlfn._xlws.FILTER('Results'!$H$2:$H$151,('Results'!$D$2:$D$151=$A3)*('Results'!$Z$2:$Z$151="Success"))))</x:f>
        <x:v>89</x:v>
      </x:c>
      <x:c r="H3" s="49" t="n">
        <x:f>IF(D3=0,"",MINIFS('Results'!$H$2:$H$151,'Results'!$D$2:$D$151,$A3,'Results'!$Z$2:$Z$151,"Success"))</x:f>
        <x:v>59</x:v>
      </x:c>
      <x:c r="I3" s="49" t="n">
        <x:f>IF(D3=0,"",MAXIFS('Results'!$H$2:$H$151,'Results'!$D$2:$D$151,$A3,'Results'!$Z$2:$Z$151,"Success"))</x:f>
        <x:v>96</x:v>
      </x:c>
      <x:c r="J3" s="49" t="n">
        <x:f>IF(D3=0,"",STDEV.P(_xlfn._xlws.FILTER('Results'!$H$2:$H$151,('Results'!$D$2:$D$151=$A3)*('Results'!$Z$2:$Z$151="Success"))))</x:f>
        <x:v>12.710625476348518</x:v>
      </x:c>
      <x:c r="K3" s="47" t="n">
        <x:f>COUNTIFS('Results'!$D$2:$D$151,$A3,'Results'!$Z$2:$Z$151,"Success",'Results'!$Q$2:$Q$151,"Yes")</x:f>
        <x:v>24</x:v>
      </x:c>
      <x:c r="L3" s="58" t="n">
        <x:f>IF(D3=0,0,K3/D3)</x:f>
        <x:v>0.8</x:v>
      </x:c>
      <x:c r="M3" s="47" t="n">
        <x:f>COUNTIFS('Results'!$D$2:$D$151,$A3,'Results'!$Z$2:$Z$151,"Success",'Results'!$S$2:$S$151,"&gt;0")</x:f>
        <x:v>6</x:v>
      </x:c>
      <x:c r="N3" s="58" t="n">
        <x:f>IF(D3=0,0,M3/D3)</x:f>
        <x:v>0.2</x:v>
      </x:c>
      <x:c r="O3" s="47" t="n">
        <x:f>COUNTIFS('Results'!$D$2:$D$151,$A3,'Results'!$Z$2:$Z$151,"Success",'Results'!$T$2:$T$151,"&gt;0")</x:f>
        <x:v>0</x:v>
      </x:c>
      <x:c r="P3" s="58" t="n">
        <x:f>IF(D3=0,0,O3/D3)</x:f>
        <x:v>0</x:v>
      </x:c>
      <x:c r="Q3" s="49" t="n">
        <x:f>IF(D3=0,"",SUMIFS('Results'!$R$2:$R$151,'Results'!$D$2:$D$151,$A3,'Results'!$Z$2:$Z$151,"Success")/D3)</x:f>
        <x:v>4.7</x:v>
      </x:c>
      <x:c r="R3" s="47" t="n">
        <x:f>COUNTIFS('Results'!$D$2:$D$151,$A3,'Results'!$Z$2:$Z$151,"Success",'Results'!$V$2:$V$151,"Yes")</x:f>
        <x:v>24</x:v>
      </x:c>
      <x:c r="S3" s="58" t="n">
        <x:f>IF(D3=0,0,R3/D3)</x:f>
        <x:v>0.8</x:v>
      </x:c>
    </x:row>
    <x:row r="4">
      <x:c r="A4" s="57" t="str">
        <x:v>Good</x:v>
      </x:c>
      <x:c r="B4" s="47" t="n">
        <x:v>70</x:v>
      </x:c>
      <x:c r="C4" s="47" t="n">
        <x:v>84</x:v>
      </x:c>
      <x:c r="D4" s="47" t="n">
        <x:f>COUNTIFS('Results'!$D$2:$D$151,$A4,'Results'!$Z$2:$Z$151,"Success")</x:f>
        <x:v>30</x:v>
      </x:c>
      <x:c r="E4" s="47" t="n">
        <x:f>COUNTIFS('Results'!$D$2:$D$151,$A4,'Results'!$Z$2:$Z$151,"Error")</x:f>
        <x:v>0</x:v>
      </x:c>
      <x:c r="F4" s="49" t="n">
        <x:f>IF(D4=0,"",SUMIFS('Results'!$H$2:$H$151,'Results'!$D$2:$D$151,$A4,'Results'!$Z$2:$Z$151,"Success")/D4)</x:f>
        <x:v>78.6</x:v>
      </x:c>
      <x:c r="G4" s="49" t="n">
        <x:f>IF(D4=0,"",MEDIAN(_xlfn._xlws.FILTER('Results'!$H$2:$H$151,('Results'!$D$2:$D$151=$A4)*('Results'!$Z$2:$Z$151="Success"))))</x:f>
        <x:v>88</x:v>
      </x:c>
      <x:c r="H4" s="49" t="n">
        <x:f>IF(D4=0,"",MINIFS('Results'!$H$2:$H$151,'Results'!$D$2:$D$151,$A4,'Results'!$Z$2:$Z$151,"Success"))</x:f>
        <x:v>59</x:v>
      </x:c>
      <x:c r="I4" s="49" t="n">
        <x:f>IF(D4=0,"",MAXIFS('Results'!$H$2:$H$151,'Results'!$D$2:$D$151,$A4,'Results'!$Z$2:$Z$151,"Success"))</x:f>
        <x:v>95</x:v>
      </x:c>
      <x:c r="J4" s="49" t="n">
        <x:f>IF(D4=0,"",STDEV.P(_xlfn._xlws.FILTER('Results'!$H$2:$H$151,('Results'!$D$2:$D$151=$A4)*('Results'!$Z$2:$Z$151="Success"))))</x:f>
        <x:v>14.591321621658082</x:v>
      </x:c>
      <x:c r="K4" s="47" t="n">
        <x:f>COUNTIFS('Results'!$D$2:$D$151,$A4,'Results'!$Z$2:$Z$151,"Success",'Results'!$Q$2:$Q$151,"Yes")</x:f>
        <x:v>3</x:v>
      </x:c>
      <x:c r="L4" s="58" t="n">
        <x:f>IF(D4=0,0,K4/D4)</x:f>
        <x:v>0.1</x:v>
      </x:c>
      <x:c r="M4" s="47" t="n">
        <x:f>COUNTIFS('Results'!$D$2:$D$151,$A4,'Results'!$Z$2:$Z$151,"Success",'Results'!$S$2:$S$151,"&gt;0")</x:f>
        <x:v>10</x:v>
      </x:c>
      <x:c r="N4" s="58" t="n">
        <x:f>IF(D4=0,0,M4/D4)</x:f>
        <x:v>0.3333333333333333</x:v>
      </x:c>
      <x:c r="O4" s="47" t="n">
        <x:f>COUNTIFS('Results'!$D$2:$D$151,$A4,'Results'!$Z$2:$Z$151,"Success",'Results'!$T$2:$T$151,"&gt;0")</x:f>
        <x:v>17</x:v>
      </x:c>
      <x:c r="P4" s="58" t="n">
        <x:f>IF(D4=0,0,O4/D4)</x:f>
        <x:v>0.5666666666666667</x:v>
      </x:c>
      <x:c r="Q4" s="49" t="n">
        <x:f>IF(D4=0,"",SUMIFS('Results'!$R$2:$R$151,'Results'!$D$2:$D$151,$A4,'Results'!$Z$2:$Z$151,"Success")/D4)</x:f>
        <x:v>7.3</x:v>
      </x:c>
      <x:c r="R4" s="47" t="n">
        <x:f>COUNTIFS('Results'!$D$2:$D$151,$A4,'Results'!$Z$2:$Z$151,"Success",'Results'!$V$2:$V$151,"Yes")</x:f>
        <x:v>3</x:v>
      </x:c>
      <x:c r="S4" s="58" t="n">
        <x:f>IF(D4=0,0,R4/D4)</x:f>
        <x:v>0.1</x:v>
      </x:c>
    </x:row>
    <x:row r="5">
      <x:c r="A5" s="57" t="str">
        <x:v>Normal</x:v>
      </x:c>
      <x:c r="B5" s="47" t="n">
        <x:v>50</x:v>
      </x:c>
      <x:c r="C5" s="47" t="n">
        <x:v>69</x:v>
      </x:c>
      <x:c r="D5" s="47" t="n">
        <x:f>COUNTIFS('Results'!$D$2:$D$151,$A5,'Results'!$Z$2:$Z$151,"Success")</x:f>
        <x:v>30</x:v>
      </x:c>
      <x:c r="E5" s="47" t="n">
        <x:f>COUNTIFS('Results'!$D$2:$D$151,$A5,'Results'!$Z$2:$Z$151,"Error")</x:f>
        <x:v>0</x:v>
      </x:c>
      <x:c r="F5" s="49" t="n">
        <x:f>IF(D5=0,"",SUMIFS('Results'!$H$2:$H$151,'Results'!$D$2:$D$151,$A5,'Results'!$Z$2:$Z$151,"Success")/D5)</x:f>
        <x:v>60.2</x:v>
      </x:c>
      <x:c r="G5" s="49" t="n">
        <x:f>IF(D5=0,"",MEDIAN(_xlfn._xlws.FILTER('Results'!$H$2:$H$151,('Results'!$D$2:$D$151=$A5)*('Results'!$Z$2:$Z$151="Success"))))</x:f>
        <x:v>59</x:v>
      </x:c>
      <x:c r="H5" s="49" t="n">
        <x:f>IF(D5=0,"",MINIFS('Results'!$H$2:$H$151,'Results'!$D$2:$D$151,$A5,'Results'!$Z$2:$Z$151,"Success"))</x:f>
        <x:v>39</x:v>
      </x:c>
      <x:c r="I5" s="49" t="n">
        <x:f>IF(D5=0,"",MAXIFS('Results'!$H$2:$H$151,'Results'!$D$2:$D$151,$A5,'Results'!$Z$2:$Z$151,"Success"))</x:f>
        <x:v>86</x:v>
      </x:c>
      <x:c r="J5" s="49" t="n">
        <x:f>IF(D5=0,"",STDEV.P(_xlfn._xlws.FILTER('Results'!$H$2:$H$151,('Results'!$D$2:$D$151=$A5)*('Results'!$Z$2:$Z$151="Success"))))</x:f>
        <x:v>8.829496021857649</x:v>
      </x:c>
      <x:c r="K5" s="47" t="n">
        <x:f>COUNTIFS('Results'!$D$2:$D$151,$A5,'Results'!$Z$2:$Z$151,"Success",'Results'!$Q$2:$Q$151,"Yes")</x:f>
        <x:v>24</x:v>
      </x:c>
      <x:c r="L5" s="58" t="n">
        <x:f>IF(D5=0,0,K5/D5)</x:f>
        <x:v>0.8</x:v>
      </x:c>
      <x:c r="M5" s="47" t="n">
        <x:f>COUNTIFS('Results'!$D$2:$D$151,$A5,'Results'!$Z$2:$Z$151,"Success",'Results'!$S$2:$S$151,"&gt;0")</x:f>
        <x:v>2</x:v>
      </x:c>
      <x:c r="N5" s="58" t="n">
        <x:f>IF(D5=0,0,M5/D5)</x:f>
        <x:v>0.06666666666666667</x:v>
      </x:c>
      <x:c r="O5" s="47" t="n">
        <x:f>COUNTIFS('Results'!$D$2:$D$151,$A5,'Results'!$Z$2:$Z$151,"Success",'Results'!$T$2:$T$151,"&gt;0")</x:f>
        <x:v>4</x:v>
      </x:c>
      <x:c r="P5" s="58" t="n">
        <x:f>IF(D5=0,0,O5/D5)</x:f>
        <x:v>0.13333333333333333</x:v>
      </x:c>
      <x:c r="Q5" s="49" t="n">
        <x:f>IF(D5=0,"",SUMIFS('Results'!$R$2:$R$151,'Results'!$D$2:$D$151,$A5,'Results'!$Z$2:$Z$151,"Success")/D5)</x:f>
        <x:v>1.8</x:v>
      </x:c>
      <x:c r="R5" s="47" t="n">
        <x:f>COUNTIFS('Results'!$D$2:$D$151,$A5,'Results'!$Z$2:$Z$151,"Success",'Results'!$V$2:$V$151,"Yes")</x:f>
        <x:v>24</x:v>
      </x:c>
      <x:c r="S5" s="58" t="n">
        <x:f>IF(D5=0,0,R5/D5)</x:f>
        <x:v>0.8</x:v>
      </x:c>
    </x:row>
    <x:row r="6">
      <x:c r="A6" s="57" t="str">
        <x:v>Bad</x:v>
      </x:c>
      <x:c r="B6" s="47" t="n">
        <x:v>30</x:v>
      </x:c>
      <x:c r="C6" s="47" t="n">
        <x:v>49</x:v>
      </x:c>
      <x:c r="D6" s="47" t="n">
        <x:f>COUNTIFS('Results'!$D$2:$D$151,$A6,'Results'!$Z$2:$Z$151,"Success")</x:f>
        <x:v>30</x:v>
      </x:c>
      <x:c r="E6" s="47" t="n">
        <x:f>COUNTIFS('Results'!$D$2:$D$151,$A6,'Results'!$Z$2:$Z$151,"Error")</x:f>
        <x:v>0</x:v>
      </x:c>
      <x:c r="F6" s="49" t="n">
        <x:f>IF(D6=0,"",SUMIFS('Results'!$H$2:$H$151,'Results'!$D$2:$D$151,$A6,'Results'!$Z$2:$Z$151,"Success")/D6)</x:f>
        <x:v>47.03333333333333</x:v>
      </x:c>
      <x:c r="G6" s="49" t="n">
        <x:f>IF(D6=0,"",MEDIAN(_xlfn._xlws.FILTER('Results'!$H$2:$H$151,('Results'!$D$2:$D$151=$A6)*('Results'!$Z$2:$Z$151="Success"))))</x:f>
        <x:v>48</x:v>
      </x:c>
      <x:c r="H6" s="49" t="n">
        <x:f>IF(D6=0,"",MINIFS('Results'!$H$2:$H$151,'Results'!$D$2:$D$151,$A6,'Results'!$Z$2:$Z$151,"Success"))</x:f>
        <x:v>31</x:v>
      </x:c>
      <x:c r="I6" s="49" t="n">
        <x:f>IF(D6=0,"",MAXIFS('Results'!$H$2:$H$151,'Results'!$D$2:$D$151,$A6,'Results'!$Z$2:$Z$151,"Success"))</x:f>
        <x:v>59</x:v>
      </x:c>
      <x:c r="J6" s="49" t="n">
        <x:f>IF(D6=0,"",STDEV.P(_xlfn._xlws.FILTER('Results'!$H$2:$H$151,('Results'!$D$2:$D$151=$A6)*('Results'!$Z$2:$Z$151="Success"))))</x:f>
        <x:v>7.0355446760637435</x:v>
      </x:c>
      <x:c r="K6" s="47" t="n">
        <x:f>COUNTIFS('Results'!$D$2:$D$151,$A6,'Results'!$Z$2:$Z$151,"Success",'Results'!$Q$2:$Q$151,"Yes")</x:f>
        <x:v>21</x:v>
      </x:c>
      <x:c r="L6" s="58" t="n">
        <x:f>IF(D6=0,0,K6/D6)</x:f>
        <x:v>0.7</x:v>
      </x:c>
      <x:c r="M6" s="47" t="n">
        <x:f>COUNTIFS('Results'!$D$2:$D$151,$A6,'Results'!$Z$2:$Z$151,"Success",'Results'!$S$2:$S$151,"&gt;0")</x:f>
        <x:v>0</x:v>
      </x:c>
      <x:c r="N6" s="58" t="n">
        <x:f>IF(D6=0,0,M6/D6)</x:f>
        <x:v>0</x:v>
      </x:c>
      <x:c r="O6" s="47" t="n">
        <x:f>COUNTIFS('Results'!$D$2:$D$151,$A6,'Results'!$Z$2:$Z$151,"Success",'Results'!$T$2:$T$151,"&gt;0")</x:f>
        <x:v>9</x:v>
      </x:c>
      <x:c r="P6" s="58" t="n">
        <x:f>IF(D6=0,0,O6/D6)</x:f>
        <x:v>0.3</x:v>
      </x:c>
      <x:c r="Q6" s="49" t="n">
        <x:f>IF(D6=0,"",SUMIFS('Results'!$R$2:$R$151,'Results'!$D$2:$D$151,$A6,'Results'!$Z$2:$Z$151,"Success")/D6)</x:f>
        <x:v>1.9333333333333333</x:v>
      </x:c>
      <x:c r="R6" s="47" t="n">
        <x:f>COUNTIFS('Results'!$D$2:$D$151,$A6,'Results'!$Z$2:$Z$151,"Success",'Results'!$V$2:$V$151,"Yes")</x:f>
        <x:v>21</x:v>
      </x:c>
      <x:c r="S6" s="58" t="n">
        <x:f>IF(D6=0,0,R6/D6)</x:f>
        <x:v>0.7</x:v>
      </x:c>
    </x:row>
    <x:row r="7">
      <x:c r="A7" s="57" t="str">
        <x:v>Extremely Bad</x:v>
      </x:c>
      <x:c r="B7" s="47" t="n">
        <x:v>0</x:v>
      </x:c>
      <x:c r="C7" s="47" t="n">
        <x:v>29</x:v>
      </x:c>
      <x:c r="D7" s="47" t="n">
        <x:f>COUNTIFS('Results'!$D$2:$D$151,$A7,'Results'!$Z$2:$Z$151,"Success")</x:f>
        <x:v>30</x:v>
      </x:c>
      <x:c r="E7" s="47" t="n">
        <x:f>COUNTIFS('Results'!$D$2:$D$151,$A7,'Results'!$Z$2:$Z$151,"Error")</x:f>
        <x:v>0</x:v>
      </x:c>
      <x:c r="F7" s="49" t="n">
        <x:f>IF(D7=0,"",SUMIFS('Results'!$H$2:$H$151,'Results'!$D$2:$D$151,$A7,'Results'!$Z$2:$Z$151,"Success")/D7)</x:f>
        <x:v>23.3</x:v>
      </x:c>
      <x:c r="G7" s="49" t="n">
        <x:f>IF(D7=0,"",MEDIAN(_xlfn._xlws.FILTER('Results'!$H$2:$H$151,('Results'!$D$2:$D$151=$A7)*('Results'!$Z$2:$Z$151="Success"))))</x:f>
        <x:v>22.5</x:v>
      </x:c>
      <x:c r="H7" s="49" t="n">
        <x:f>IF(D7=0,"",MINIFS('Results'!$H$2:$H$151,'Results'!$D$2:$D$151,$A7,'Results'!$Z$2:$Z$151,"Success"))</x:f>
        <x:v>11</x:v>
      </x:c>
      <x:c r="I7" s="49" t="n">
        <x:f>IF(D7=0,"",MAXIFS('Results'!$H$2:$H$151,'Results'!$D$2:$D$151,$A7,'Results'!$Z$2:$Z$151,"Success"))</x:f>
        <x:v>39</x:v>
      </x:c>
      <x:c r="J7" s="49" t="n">
        <x:f>IF(D7=0,"",STDEV.P(_xlfn._xlws.FILTER('Results'!$H$2:$H$151,('Results'!$D$2:$D$151=$A7)*('Results'!$Z$2:$Z$151="Success"))))</x:f>
        <x:v>6.986415389883428</x:v>
      </x:c>
      <x:c r="K7" s="47" t="n">
        <x:f>COUNTIFS('Results'!$D$2:$D$151,$A7,'Results'!$Z$2:$Z$151,"Success",'Results'!$Q$2:$Q$151,"Yes")</x:f>
        <x:v>26</x:v>
      </x:c>
      <x:c r="L7" s="58" t="n">
        <x:f>IF(D7=0,0,K7/D7)</x:f>
        <x:v>0.8666666666666667</x:v>
      </x:c>
      <x:c r="M7" s="47" t="n">
        <x:f>COUNTIFS('Results'!$D$2:$D$151,$A7,'Results'!$Z$2:$Z$151,"Success",'Results'!$S$2:$S$151,"&gt;0")</x:f>
        <x:v>0</x:v>
      </x:c>
      <x:c r="N7" s="58" t="n">
        <x:f>IF(D7=0,0,M7/D7)</x:f>
        <x:v>0</x:v>
      </x:c>
      <x:c r="O7" s="47" t="n">
        <x:f>COUNTIFS('Results'!$D$2:$D$151,$A7,'Results'!$Z$2:$Z$151,"Success",'Results'!$T$2:$T$151,"&gt;0")</x:f>
        <x:v>4</x:v>
      </x:c>
      <x:c r="P7" s="58" t="n">
        <x:f>IF(D7=0,0,O7/D7)</x:f>
        <x:v>0.13333333333333333</x:v>
      </x:c>
      <x:c r="Q7" s="49" t="n">
        <x:f>IF(D7=0,"",SUMIFS('Results'!$R$2:$R$151,'Results'!$D$2:$D$151,$A7,'Results'!$Z$2:$Z$151,"Success")/D7)</x:f>
        <x:v>1.0333333333333334</x:v>
      </x:c>
      <x:c r="R7" s="47" t="n">
        <x:f>COUNTIFS('Results'!$D$2:$D$151,$A7,'Results'!$Z$2:$Z$151,"Success",'Results'!$V$2:$V$151,"Yes")</x:f>
        <x:v>26</x:v>
      </x:c>
      <x:c r="S7" s="58" t="n">
        <x:f>IF(D7=0,0,R7/D7)</x:f>
        <x:v>0.8666666666666667</x:v>
      </x:c>
    </x:row>
  </x:sheetData>
  <x:mergeCells>
    <x:mergeCell ref="A1:S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6" hidden="0" customWidth="1"/>
    <x:col min="2" max="2" width="11" hidden="0" customWidth="1"/>
    <x:col min="3" max="3" width="18" hidden="0" customWidth="1"/>
    <x:col min="4" max="4" width="9" hidden="0" customWidth="1"/>
    <x:col min="5" max="5" width="13" hidden="0" customWidth="1"/>
    <x:col min="6" max="6" width="25" hidden="0" customWidth="1"/>
    <x:col min="7" max="7" width="54" hidden="0" customWidth="1"/>
    <x:col min="8" max="8" width="11" hidden="0" customWidth="1"/>
    <x:col min="9" max="9" width="17" hidden="0" customWidth="1"/>
    <x:col min="10" max="10" width="24" hidden="0" customWidth="1"/>
  </x:cols>
  <x:sheetData>
    <x:row r="1" ht="34" customHeight="1">
      <x:c r="A1" s="22" t="str">
        <x:v>Error Log</x:v>
      </x:c>
      <x:c r="B1" s="22" t="str">
        <x:v>Error Log</x:v>
      </x:c>
      <x:c r="C1" s="22" t="str">
        <x:v>Error Log</x:v>
      </x:c>
      <x:c r="D1" s="22" t="str">
        <x:v>Error Log</x:v>
      </x:c>
      <x:c r="E1" s="22" t="str">
        <x:v>Error Log</x:v>
      </x:c>
      <x:c r="F1" s="22" t="str">
        <x:v>Error Log</x:v>
      </x:c>
      <x:c r="G1" s="22" t="str">
        <x:v>Error Log</x:v>
      </x:c>
      <x:c r="H1" s="22" t="str">
        <x:v>Error Log</x:v>
      </x:c>
      <x:c r="I1" s="22" t="str">
        <x:v>Error Log</x:v>
      </x:c>
      <x:c r="J1" s="22" t="str">
        <x:v>Error Log</x:v>
      </x:c>
    </x:row>
    <x:row r="2">
      <x:c r="A2" s="9" t="str">
        <x:v>Draft ID</x:v>
      </x:c>
      <x:c r="B2" s="10" t="str">
        <x:v>Scenario</x:v>
      </x:c>
      <x:c r="C2" s="10" t="str">
        <x:v>Category</x:v>
      </x:c>
      <x:c r="D2" s="10" t="str">
        <x:v>Repeat</x:v>
      </x:c>
      <x:c r="E2" s="10" t="str">
        <x:v>Error type</x:v>
      </x:c>
      <x:c r="F2" s="10" t="str">
        <x:v>Error code</x:v>
      </x:c>
      <x:c r="G2" s="10" t="str">
        <x:v>Error message</x:v>
      </x:c>
      <x:c r="H2" s="10" t="str">
        <x:v>Retry count</x:v>
      </x:c>
      <x:c r="I2" s="10" t="str">
        <x:v>Response time (ms)</x:v>
      </x:c>
      <x:c r="J2" s="11" t="str">
        <x:v>Timestamp</x:v>
      </x:c>
    </x:row>
    <x:row r="3">
      <x:c r="A3" s="60" t="str">
        <x:v>No errors are recorded in the current results file.</x:v>
      </x:c>
      <x:c r="B3" s="60" t="str">
        <x:v>No errors are recorded in the current results file.</x:v>
      </x:c>
      <x:c r="C3" s="60" t="str">
        <x:v>No errors are recorded in the current results file.</x:v>
      </x:c>
      <x:c r="D3" s="60" t="str">
        <x:v>No errors are recorded in the current results file.</x:v>
      </x:c>
      <x:c r="E3" s="60" t="str">
        <x:v>No errors are recorded in the current results file.</x:v>
      </x:c>
      <x:c r="F3" s="60" t="str">
        <x:v>No errors are recorded in the current results file.</x:v>
      </x:c>
      <x:c r="G3" s="60" t="str">
        <x:v>No errors are recorded in the current results file.</x:v>
      </x:c>
      <x:c r="H3" s="60" t="str">
        <x:v>No errors are recorded in the current results file.</x:v>
      </x:c>
      <x:c r="I3" s="60" t="str">
        <x:v>No errors are recorded in the current results file.</x:v>
      </x:c>
      <x:c r="J3" s="60" t="str">
        <x:v>No errors are recorded in the current results file.</x:v>
      </x:c>
    </x:row>
  </x:sheetData>
  <x:mergeCells>
    <x:mergeCell ref="A1:J1"/>
    <x:mergeCell ref="A3:J3"/>
  </x:mergeCells>
  <x:pageMargins left="0.7" right="0.7" top="0.75" bottom="0.75" header="0.3" footer="0.3"/>
</x:worksheet>
</file>