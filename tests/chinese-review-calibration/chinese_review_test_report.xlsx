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6b33fc4891f4748" /></Relationships>
</file>

<file path=xl/workbook.xml><?xml version="1.0" encoding="utf-8"?>
<x:workbook xmlns:x="http://schemas.openxmlformats.org/spreadsheetml/2006/main">
  <x:sheets>
    <x:sheet xmlns:r="http://schemas.openxmlformats.org/officeDocument/2006/relationships" name="Drafts" sheetId="1" r:id="R65c7bd78ba894a34"/>
    <x:sheet xmlns:r="http://schemas.openxmlformats.org/officeDocument/2006/relationships" name="Results" sheetId="2" r:id="Rb71ead843f174a92"/>
    <x:sheet xmlns:r="http://schemas.openxmlformats.org/officeDocument/2006/relationships" name="Summary" sheetId="3" r:id="R9bd64238037c4e42"/>
    <x:sheet xmlns:r="http://schemas.openxmlformats.org/officeDocument/2006/relationships" name="Category Summary" sheetId="4" r:id="R24d34ec89e2547bf"/>
    <x:sheet xmlns:r="http://schemas.openxmlformats.org/officeDocument/2006/relationships" name="Error Log" sheetId="5" r:id="Rd679b13ec7234e37"/>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00"/>
    <x:numFmt numFmtId="201" formatCode="0"/>
    <x:numFmt numFmtId="202" formatCode="0.0"/>
    <x:numFmt numFmtId="203" formatCode="#,##0"/>
    <x:numFmt numFmtId="204" formatCode="yyyy-mm-dd hh:mm:ss"/>
    <x:numFmt numFmtId="205" formatCode="0.0%"/>
  </x:numFmts>
  <x:fonts count="11">
    <x:font>
      <x:sz val="11"/>
      <x:name val="Carlito"/>
    </x:font>
    <x:font>
      <x:b/>
      <x:sz val="10"/>
      <x:color rgb="FFFFFFFF"/>
      <x:name val="Carlito"/>
    </x:font>
    <x:font>
      <x:b/>
      <x:sz val="18"/>
      <x:color rgb="FFFFFFFF"/>
      <x:name val="Carlito"/>
    </x:font>
    <x:font>
      <x:i/>
      <x:sz val="10"/>
      <x:color rgb="FF374151"/>
      <x:name val="Carlito"/>
    </x:font>
    <x:font>
      <x:b/>
      <x:sz val="11"/>
      <x:color rgb="FFFFFFFF"/>
      <x:name val="Carlito"/>
    </x:font>
    <x:font>
      <x:b/>
      <x:sz val="11"/>
      <x:color rgb="FF374151"/>
      <x:name val="Carlito"/>
    </x:font>
    <x:font>
      <x:b/>
      <x:sz val="11"/>
      <x:color rgb="FF17324D"/>
      <x:name val="Carlito"/>
    </x:font>
    <x:font>
      <x:sz val="11"/>
      <x:color rgb="FF374151"/>
      <x:name val="Carlito"/>
    </x:font>
    <x:font>
      <x:b/>
      <x:sz val="11"/>
      <x:name val="Carlito"/>
    </x:font>
    <x:font>
      <x:sz val="11"/>
      <x:color rgb="FF92400E"/>
      <x:name val="Carlito"/>
    </x:font>
    <x:font>
      <x:b/>
      <x:sz val="11"/>
      <x:color rgb="FF166534"/>
      <x:name val="Carlito"/>
    </x:font>
  </x:fonts>
  <x:fills count="10">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087E8B"/>
      </x:patternFill>
    </x:fill>
    <x:fill>
      <x:patternFill patternType="solid">
        <x:fgColor rgb="FFF3F4F6"/>
      </x:patternFill>
    </x:fill>
    <x:fill>
      <x:patternFill patternType="solid">
        <x:fgColor rgb="FFFFFFFF"/>
      </x:patternFill>
    </x:fill>
    <x:fill>
      <x:patternFill patternType="solid">
        <x:fgColor rgb="FFDDF3F4"/>
      </x:patternFill>
    </x:fill>
    <x:fill>
      <x:patternFill patternType="solid">
        <x:fgColor rgb="FFFEF3C7"/>
      </x:patternFill>
    </x:fill>
    <x:fill>
      <x:patternFill patternType="solid">
        <x:fgColor rgb="FFDCFCE7"/>
      </x:patternFill>
    </x:fill>
  </x:fills>
  <x:borders count="5">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6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x:xf>
    <x:xf numFmtId="201" fontId="0" fillId="0" borderId="0" xfId="0" applyNumberFormat="1" applyFont="1" applyFill="1" applyBorder="1" applyAlignment="1">
      <x:alignment vertical="top"/>
    </x:xf>
    <x:xf numFmtId="200" fontId="0" fillId="0" borderId="0" xfId="0" applyNumberFormat="1" applyFont="1" applyFill="1" applyBorder="1"/>
    <x:xf numFmtId="202" fontId="0" fillId="0" borderId="0" xfId="0" applyNumberFormat="1" applyFont="1" applyFill="1" applyBorder="1"/>
    <x:xf numFmtId="203" fontId="0" fillId="0" borderId="0" xfId="0" applyNumberFormat="1" applyFont="1" applyFill="1" applyBorder="1"/>
    <x:xf numFmtId="204" fontId="0" fillId="0"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vertical="center"/>
    </x:xf>
    <x:xf numFmtId="0" fontId="0" fillId="5" borderId="0" xfId="0" applyNumberFormat="1" applyFont="1" applyFill="1" applyBorder="1"/>
    <x:xf numFmtId="0" fontId="5" fillId="5"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205" fontId="6" fillId="6" borderId="0" xfId="0" applyNumberFormat="1" applyFont="1" applyFill="1" applyBorder="1"/>
    <x:xf numFmtId="202" fontId="6" fillId="6" borderId="0" xfId="0" applyNumberFormat="1" applyFont="1" applyFill="1" applyBorder="1"/>
    <x:xf numFmtId="0" fontId="4" fillId="4" borderId="4" xfId="0" applyNumberFormat="1" applyFont="1" applyFill="1" applyBorder="1" applyAlignment="1">
      <x:alignment vertical="center"/>
    </x:xf>
    <x:xf numFmtId="0" fontId="5" fillId="5" borderId="4" xfId="0" applyNumberFormat="1" applyFont="1" applyFill="1" applyBorder="1"/>
    <x:xf numFmtId="0" fontId="6" fillId="6" borderId="4" xfId="0" applyNumberFormat="1" applyFont="1" applyFill="1" applyBorder="1"/>
    <x:xf numFmtId="205" fontId="6" fillId="6" borderId="4" xfId="0" applyNumberFormat="1" applyFont="1" applyFill="1" applyBorder="1"/>
    <x:xf numFmtId="202" fontId="6" fillId="6" borderId="4" xfId="0" applyNumberFormat="1" applyFont="1" applyFill="1" applyBorder="1"/>
    <x:xf numFmtId="0" fontId="0" fillId="7" borderId="0" xfId="0" applyNumberFormat="1" applyFont="1" applyFill="1" applyBorder="1"/>
    <x:xf numFmtId="0" fontId="7" fillId="7" borderId="0" xfId="0" applyNumberFormat="1" applyFont="1" applyFill="1" applyBorder="1"/>
    <x:xf numFmtId="0" fontId="7" fillId="7" borderId="0" xfId="0" applyNumberFormat="1" applyFont="1" applyFill="1" applyBorder="1" applyAlignment="1">
      <x:alignment wrapText="1"/>
    </x:xf>
    <x:xf numFmtId="0" fontId="7" fillId="7" borderId="0" xfId="0" applyNumberFormat="1" applyFont="1" applyFill="1" applyBorder="1" applyAlignment="1">
      <x:alignment vertical="top" wrapText="1"/>
    </x:xf>
    <x:xf numFmtId="0" fontId="8" fillId="5" borderId="0" xfId="0" applyNumberFormat="1" applyFont="1" applyFill="1" applyBorder="1"/>
    <x:xf numFmtId="201" fontId="0" fillId="0" borderId="0" xfId="0" applyNumberFormat="1" applyFont="1" applyFill="1" applyBorder="1"/>
    <x:xf numFmtId="0" fontId="1" fillId="2" borderId="4" xfId="0" applyNumberFormat="1" applyFont="1" applyFill="1" applyBorder="1" applyAlignment="1">
      <x:alignment vertical="center" wrapText="1"/>
    </x:xf>
    <x:xf numFmtId="0" fontId="8" fillId="5" borderId="4" xfId="0" applyNumberFormat="1" applyFont="1" applyFill="1" applyBorder="1"/>
    <x:xf numFmtId="201" fontId="0" fillId="0" borderId="4" xfId="0" applyNumberFormat="1" applyFont="1" applyFill="1" applyBorder="1"/>
    <x:xf numFmtId="0" fontId="0" fillId="0" borderId="4" xfId="0" applyNumberFormat="1" applyFont="1" applyFill="1" applyBorder="1"/>
    <x:xf numFmtId="202" fontId="0" fillId="0" borderId="4" xfId="0" applyNumberFormat="1" applyFont="1" applyFill="1" applyBorder="1"/>
    <x:xf numFmtId="202" fontId="0" fillId="0" borderId="1" xfId="0" applyNumberFormat="1" applyFont="1" applyFill="1" applyBorder="1"/>
    <x:xf numFmtId="0" fontId="0"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9" fillId="8" borderId="0" xfId="0" applyNumberFormat="1" applyFont="1" applyFill="1" applyBorder="1" applyAlignment="1">
      <x:alignment vertical="top" wrapText="1"/>
    </x:xf>
    <x:xf numFmtId="0" fontId="6" fillId="3" borderId="0" xfId="0" applyNumberFormat="1" applyFont="1" applyFill="1" applyBorder="1"/>
    <x:xf numFmtId="205" fontId="0" fillId="0" borderId="0" xfId="0" applyNumberFormat="1" applyFont="1" applyFill="1" applyBorder="1"/>
    <x:xf numFmtId="0" fontId="6" fillId="3" borderId="4" xfId="0" applyNumberFormat="1" applyFont="1" applyFill="1" applyBorder="1"/>
    <x:xf numFmtId="205" fontId="0" fillId="0" borderId="4" xfId="0" applyNumberFormat="1" applyFont="1" applyFill="1" applyBorder="1"/>
    <x:xf numFmtId="0" fontId="0" fillId="9" borderId="0" xfId="0" applyNumberFormat="1" applyFont="1" applyFill="1" applyBorder="1"/>
    <x:xf numFmtId="0" fontId="10" fillId="9" borderId="0" xfId="0" applyNumberFormat="1" applyFont="1" applyFill="1" applyBorder="1"/>
  </x:cellXfs>
  <x:cellStyles count="1">
    <x:cellStyle name="Normal" xfId="0"/>
  </x:cellStyles>
  <x:dxfs count="3">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9ee451684ee4894" /><Relationship Type="http://schemas.openxmlformats.org/officeDocument/2006/relationships/theme" Target="/xl/theme/theme1.xml" Id="Ra55e4aaefbb74eda" /><Relationship Type="http://schemas.openxmlformats.org/officeDocument/2006/relationships/sharedStrings" Target="/xl/sharedStrings.xml" Id="R774d5f8ed1ad4f30" /><Relationship Type="http://schemas.openxmlformats.org/officeDocument/2006/relationships/worksheet" Target="/xl/worksheets/sheet1.xml" Id="R65c7bd78ba894a34" /><Relationship Type="http://schemas.openxmlformats.org/officeDocument/2006/relationships/worksheet" Target="/xl/worksheets/sheet2.xml" Id="Rb71ead843f174a92" /><Relationship Type="http://schemas.openxmlformats.org/officeDocument/2006/relationships/worksheet" Target="/xl/worksheets/sheet3.xml" Id="R9bd64238037c4e42" /><Relationship Type="http://schemas.openxmlformats.org/officeDocument/2006/relationships/worksheet" Target="/xl/worksheets/sheet4.xml" Id="R24d34ec89e2547bf" /><Relationship Type="http://schemas.openxmlformats.org/officeDocument/2006/relationships/worksheet" Target="/xl/worksheets/sheet5.xml" Id="Rd679b13ec7234e37" /></Relationships>
</file>

<file path=xl/tables/table1.xml><?xml version="1.0" encoding="utf-8"?>
<x:table xmlns:x="http://schemas.openxmlformats.org/spreadsheetml/2006/main" id="1" name="ChineseReviewDraftsTable" displayName="ChineseReviewDraftsTable" ref="A1:G151" headerRowCount="1" totalsRowCount="0" totalsRowShown="0">
  <x:tableColumns count="7">
    <x:tableColumn id="1" name="Global order"/>
    <x:tableColumn id="2" name="Draft ID"/>
    <x:tableColumn id="3" name="Scenario ID"/>
    <x:tableColumn id="4" name="Category"/>
    <x:tableColumn id="5" name="Expected minimum"/>
    <x:tableColumn id="6" name="Expected maximum"/>
    <x:tableColumn id="7" name="Complete draft text"/>
  </x:tableColumns>
  <x:tableStyleInfo name="TableStyleMedium2" showFirstColumn="0" showLastColumn="0" showRowStripes="1" showColumnStripes="0"/>
</x:table>
</file>

<file path=xl/tables/table2.xml><?xml version="1.0" encoding="utf-8"?>
<x:table xmlns:x="http://schemas.openxmlformats.org/spreadsheetml/2006/main" id="2" name="ChineseReviewResultsTable" displayName="ChineseReviewResultsTable" ref="A1:AJ151" headerRowCount="1" totalsRowCount="0" totalsRowShown="0">
  <x:tableColumns count="36">
    <x:tableColumn id="1" name="Global order"/>
    <x:tableColumn id="2" name="Draft ID"/>
    <x:tableColumn id="3" name="Scenario ID"/>
    <x:tableColumn id="4" name="Category"/>
    <x:tableColumn id="5" name="Expected minimum"/>
    <x:tableColumn id="6" name="Expected maximum"/>
    <x:tableColumn id="7" name="Repeat"/>
    <x:tableColumn id="8" name="Actual overall score"/>
    <x:tableColumn id="9" name="Content completeness &amp; internal consistency"/>
    <x:tableColumn id="10" name="Structure"/>
    <x:tableColumn id="11" name="Clarity"/>
    <x:tableColumn id="12" name="Language quality"/>
    <x:tableColumn id="13" name="Professionalism"/>
    <x:tableColumn id="14" name="Attribution"/>
    <x:tableColumn id="15" name="Weighted score"/>
    <x:tableColumn id="16" name="Applied score cap"/>
    <x:tableColumn id="17" name="In expected range"/>
    <x:tableColumn id="18" name="Distance from range"/>
    <x:tableColumn id="19" name="Distance below"/>
    <x:tableColumn id="20" name="Distance above"/>
    <x:tableColumn id="21" name="Predicted category"/>
    <x:tableColumn id="22" name="Category correct"/>
    <x:tableColumn id="23" name="Readiness band"/>
    <x:tableColumn id="24" name="Decision"/>
    <x:tableColumn id="25" name="Pass score"/>
    <x:tableColumn id="26" name="Test status"/>
    <x:tableColumn id="27" name="Error type"/>
    <x:tableColumn id="28" name="Error code"/>
    <x:tableColumn id="29" name="Error message"/>
    <x:tableColumn id="30" name="Retry count"/>
    <x:tableColumn id="31" name="Response time (ms)"/>
    <x:tableColumn id="32" name="Model name"/>
    <x:tableColumn id="33" name="Test timestamp"/>
    <x:tableColumn id="34" name="HTTP status"/>
    <x:tableColumn id="35" name="Draft SHA-256"/>
    <x:tableColumn id="36" name="Reviewer SHA-256"/>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9c402906c5d41ea" /></Relationships>
</file>

<file path=xl/worksheets/_rels/sheet2.xml.rels>&#65279;<?xml version="1.0" encoding="utf-8"?><Relationships xmlns="http://schemas.openxmlformats.org/package/2006/relationships"><Relationship Type="http://schemas.openxmlformats.org/officeDocument/2006/relationships/table" Target="/xl/tables/table2.xml" Id="R16675bd88ac24c9c"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26" hidden="0" customWidth="1"/>
    <x:col min="3" max="3" width="12" hidden="0" customWidth="1"/>
    <x:col min="4" max="4" width="18" hidden="0" customWidth="1"/>
    <x:col min="5" max="5" width="14" hidden="0" customWidth="1"/>
    <x:col min="6" max="6" width="14" hidden="0" customWidth="1"/>
    <x:col min="7" max="7" width="92" hidden="0" customWidth="1"/>
  </x:cols>
  <x:sheetData>
    <x:row r="1">
      <x:c r="A1" s="9" t="str">
        <x:v>Global order</x:v>
      </x:c>
      <x:c r="B1" s="10" t="str">
        <x:v>Draft ID</x:v>
      </x:c>
      <x:c r="C1" s="10" t="str">
        <x:v>Scenario ID</x:v>
      </x:c>
      <x:c r="D1" s="10" t="str">
        <x:v>Category</x:v>
      </x:c>
      <x:c r="E1" s="10" t="str">
        <x:v>Expected minimum</x:v>
      </x:c>
      <x:c r="F1" s="10" t="str">
        <x:v>Expected maximum</x:v>
      </x:c>
      <x:c r="G1" s="11" t="str">
        <x:v>Complete draft text</x:v>
      </x:c>
    </x:row>
    <x:row r="2" ht="92.4000015258789" hidden="0" customHeight="1">
      <x:c r="A2" s="15" t="str">
        <x:v>001</x:v>
      </x:c>
      <x:c r="B2" s="12" t="str">
        <x:v>ZH-EXCELLENT-001</x:v>
      </x:c>
      <x:c r="C2" s="15" t="str">
        <x:v>001</x:v>
      </x:c>
      <x:c r="D2" s="12" t="str">
        <x:v>Excellent</x:v>
      </x:c>
      <x:c r="E2" s="16" t="n">
        <x:v>85</x:v>
      </x:c>
      <x:c r="F2" s="16" t="n">
        <x:v>100</x:v>
      </x:c>
      <x:c r="G2" s="14" t="str">
        <x:v>港鐵東鐵綫今日上午八時許發生罕見信號系統故障，導致南北行列車服務嚴重延誤，大批上班族及學生於沿線各個月台滯留，人龍一度延伸至站外，部分乘客更因不耐煩而與職員發生口角。港鐵發言人解釋，故障源於大圍站附近的信號系統核心組件突然老化失靈，工程人員已於九時十五分完成緊急搶修，列車服務其後逐步回復正常。署理運輸及物流局局長對事件表示高度關注，強調港鐵必須徹查成因，並提交詳細報告，指出公共安全不容有失。受影響乘客可於車站客務中心辦理車資退款，港鐵亦會安排接駁巴士疏導人潮。立法會交通事務委員會委員批評港鐵近年事故頻生，促請政府加強監管機制，確保鐵路網絡的安全與穩定，避免同類事件重演，並要求港鐵管理層公開道歉及作出賠償。市民對此感到極度不滿，認為服務質素亟待改善，促請當局正視問題。</x:v>
      </x:c>
    </x:row>
    <x:row r="3" ht="79.19999694824219" hidden="0" customHeight="1">
      <x:c r="A3" s="15" t="str">
        <x:v>002</x:v>
      </x:c>
      <x:c r="B3" s="12" t="str">
        <x:v>ZH-EXCELLENT-002</x:v>
      </x:c>
      <x:c r="C3" s="15" t="str">
        <x:v>002</x:v>
      </x:c>
      <x:c r="D3" s="12" t="str">
        <x:v>Excellent</x:v>
      </x:c>
      <x:c r="E3" s="16" t="n">
        <x:v>85</x:v>
      </x:c>
      <x:c r="F3" s="16" t="n">
        <x:v>100</x:v>
      </x:c>
      <x:c r="G3" s="14" t="str">
        <x:v>房屋署今日正式宣布，位於屯門區的全新公共屋邨「屯門東邨」即日起開放予首批居民入伙，提供逾三千個單位以紓緩基層住屋壓力。該屋邨採用最新環保建築設計，配備太陽能板及雨水收集系統，並設有大型商場、街市及社區會堂等配套設施。房屋局局長主持開幕典禮時表示，新屋邨落成標誌著政府解決房屋問題的決心，未來將繼續加快建屋步伐。首批入伙的居民對居住環境表示滿意，尤其讚賞屋邨內綠化空間充足，適合一家大小居住。不過，有社區團體指出，屋邨周邊的交通網絡仍未能完全應付新增的人口，促請運輸署盡快增設巴士路線及優化小巴服務，以免居民出行受阻。房屋署回應指，已與運輸部門緊密協調，確保交通配套逐步完善。</x:v>
      </x:c>
    </x:row>
    <x:row r="4" ht="79.19999694824219" hidden="0" customHeight="1">
      <x:c r="A4" s="15" t="str">
        <x:v>003</x:v>
      </x:c>
      <x:c r="B4" s="12" t="str">
        <x:v>ZH-EXCELLENT-003</x:v>
      </x:c>
      <x:c r="C4" s="15" t="str">
        <x:v>003</x:v>
      </x:c>
      <x:c r="D4" s="12" t="str">
        <x:v>Excellent</x:v>
      </x:c>
      <x:c r="E4" s="16" t="n">
        <x:v>85</x:v>
      </x:c>
      <x:c r="F4" s="16" t="n">
        <x:v>100</x:v>
      </x:c>
      <x:c r="G4" s="14" t="str">
        <x:v>天文台今日下午二時四十分發出八號西北烈風或暴風信號，預料本港風勢將進一步增強，沿岸地區會出現大浪及涌浪。教育局隨即宣布全港學校停課，僱主亦應按勞工處指引安排僱員的工作安排。民政事務總署已於各區開放臨時庇護中心，供有需要的市民入住。政府發言人呼籲市民切勿前往岸邊活動，並盡快將窗戶及室外物品固定，以防意外發生。機場管理局表示，受颱風影響，今日已有逾百班航班取消或延誤，呼籲旅客密切留意航空公司的最新公布。市面交通大致維持有限度服務，港鐵及專營巴士如常運作，但部分渡輪航線已告停航。立法會議員提醒市民做好防風措施，確保自身及家人安全，並促請政府加強巡查水浸黑點，防患於未然。</x:v>
      </x:c>
    </x:row>
    <x:row r="5" ht="79.19999694824219" hidden="0" customHeight="1">
      <x:c r="A5" s="15" t="str">
        <x:v>004</x:v>
      </x:c>
      <x:c r="B5" s="12" t="str">
        <x:v>ZH-EXCELLENT-004</x:v>
      </x:c>
      <x:c r="C5" s="15" t="str">
        <x:v>004</x:v>
      </x:c>
      <x:c r="D5" s="12" t="str">
        <x:v>Excellent</x:v>
      </x:c>
      <x:c r="E5" s="16" t="n">
        <x:v>85</x:v>
      </x:c>
      <x:c r="F5" s="16" t="n">
        <x:v>100</x:v>
      </x:c>
      <x:c r="G5" s="14" t="str">
        <x:v>食物環境衞生署今日聯同警方在旺角區展開大規模聯合執法行動，嚴厲打擊非法街頭擺賣及無牌小販活動，以恢復區內環境衞生及通道暢通。行動中共檢獲逾百件貨物及多部手推車，並向多名違規人士發出定額罰款通知書。食環署發言人表示，無牌小販不僅阻礙行人，更帶來嚴重的衞生隱患，署方將持續採取零容忍態度，加強巡查及執法力度。區議會委員對行動表示支持，認為此舉能有效改善旺角一帶的市容，並促請政府研究設立合法的小販墟市，以平衡基層生計與社區環境。有商戶歡迎執法行動，指小販長期霸佔街道導致生意受損，期望當局能長遠解決問題。警方強調，將繼續與相關部門合作，維護公眾秩序及法治。</x:v>
      </x:c>
    </x:row>
    <x:row r="6" ht="79.19999694824219" hidden="0" customHeight="1">
      <x:c r="A6" s="15" t="str">
        <x:v>005</x:v>
      </x:c>
      <x:c r="B6" s="12" t="str">
        <x:v>ZH-EXCELLENT-005</x:v>
      </x:c>
      <x:c r="C6" s="15" t="str">
        <x:v>005</x:v>
      </x:c>
      <x:c r="D6" s="12" t="str">
        <x:v>Excellent</x:v>
      </x:c>
      <x:c r="E6" s="16" t="n">
        <x:v>85</x:v>
      </x:c>
      <x:c r="F6" s="16" t="n">
        <x:v>100</x:v>
      </x:c>
      <x:c r="G6" s="14" t="str">
        <x:v>水務署今日宣布，沙田區部分大廈因地下主水管突然爆裂，導致食水供應中斷，影響逾萬名居民。工程人員已於凌晨緊急截停漏水點，並展開搶修工作，預計今日傍晚前可逐步恢復供水。為減低對居民的影響，水務署已安排多輛水車及街喉提供臨時食水供應，並呼籲受影響住戶節約用水。民政事務處亦派員到現場協助長者及行動不便人士取水。區議員對事件表示關注，批評區內水管老化問題嚴重，促請水務署加快更換老舊管網，避免同類事故再次發生。水務署回應指，已制定全港性水管更換計劃，並會優先處理高風險區域。受影響居民對停水表示無奈，期望工程人員能盡快完成搶修，早日恢復正常供水。</x:v>
      </x:c>
    </x:row>
    <x:row r="7" ht="79.19999694824219" hidden="0" customHeight="1">
      <x:c r="A7" s="15" t="str">
        <x:v>006</x:v>
      </x:c>
      <x:c r="B7" s="12" t="str">
        <x:v>ZH-EXCELLENT-006</x:v>
      </x:c>
      <x:c r="C7" s="15" t="str">
        <x:v>006</x:v>
      </x:c>
      <x:c r="D7" s="12" t="str">
        <x:v>Excellent</x:v>
      </x:c>
      <x:c r="E7" s="16" t="n">
        <x:v>85</x:v>
      </x:c>
      <x:c r="F7" s="16" t="n">
        <x:v>100</x:v>
      </x:c>
      <x:c r="G7" s="14" t="str">
        <x:v>二十國集團峰會今日於日內瓦圓滿結束，各國領袖就應對氣候變化及推動全球經濟復甦達成共識，並簽署聯合公報。公報承諾各國將大幅增加對可再生能源的投資，並設立專項基金協助發展中國家進行綠色轉型。峰會東道主表示，此次會議成果豐碩，展現了國際社會團結合作的決心。聯合國秘書長對公報表示歡迎，強調落實承諾是關鍵，呼籲各國盡快將協議轉化為具體政策。本港環保團體對峰會結果感到鼓舞，認為這將帶動全球減碳進程，並促請特區政府借鑒國際經驗，加快制定本港的碳中和路線圖。財經界人士則指出，綠色金融將迎來巨大機遇，本港應把握時機鞏固作為國際綠色金融中心的地位。</x:v>
      </x:c>
    </x:row>
    <x:row r="8" ht="79.19999694824219" hidden="0" customHeight="1">
      <x:c r="A8" s="15" t="str">
        <x:v>007</x:v>
      </x:c>
      <x:c r="B8" s="12" t="str">
        <x:v>ZH-EXCELLENT-007</x:v>
      </x:c>
      <x:c r="C8" s="15" t="str">
        <x:v>007</x:v>
      </x:c>
      <x:c r="D8" s="12" t="str">
        <x:v>Excellent</x:v>
      </x:c>
      <x:c r="E8" s="16" t="n">
        <x:v>85</x:v>
      </x:c>
      <x:c r="F8" s="16" t="n">
        <x:v>100</x:v>
      </x:c>
      <x:c r="G8" s="14" t="str">
        <x:v>日本本州東部沿海地區今日清晨發生黎克特制七點二級強烈地震，當局一度發出海嘯警報，呼籲沿岸居民緊急撤離。地震造成多地建築物搖晃，部分地區出現停電及交通中斷，新幹線服務亦一度暫停。日本氣象廳其後解除海嘯警報，指海嘯高度低於預期，未造成嚴重破壞。內閣官房長官召開記者會，確認目前未有重大傷亡報告，並指示自衛隊及救援人員全面戒備，應對可能發生的餘震。本港保安局表示，已透過外交部駐港特派員公署了解情況，目前未收到港人在當地受傷或求助的個案，呼籲在日港人注意安全，並留意當地政府發布的最新資訊。旅遊業界指，部分赴日旅行團已調整行程，避開受影響地區。</x:v>
      </x:c>
    </x:row>
    <x:row r="9" ht="79.19999694824219" hidden="0" customHeight="1">
      <x:c r="A9" s="15" t="str">
        <x:v>008</x:v>
      </x:c>
      <x:c r="B9" s="12" t="str">
        <x:v>ZH-EXCELLENT-008</x:v>
      </x:c>
      <x:c r="C9" s="15" t="str">
        <x:v>008</x:v>
      </x:c>
      <x:c r="D9" s="12" t="str">
        <x:v>Excellent</x:v>
      </x:c>
      <x:c r="E9" s="16" t="n">
        <x:v>85</x:v>
      </x:c>
      <x:c r="F9" s="16" t="n">
        <x:v>100</x:v>
      </x:c>
      <x:c r="G9" s="14" t="str">
        <x:v>國際貿易組織今日宣布，兩大經濟體已就長期貿易爭端達成初步協議，同意互相撤銷部分懲罰性關稅，以促進全球供應鏈穩定。根據協議，雙方將分階段降低對農產品及高科技組件的進口壁壘，並設立聯合委員會監督執行。此舉被視為緩和全球貿易緊張局勢的重要里程碑，國際股市隨即作出正面反應，相關出口板塊股價普遍上揚。本港總商會歡迎協議達成，認為這將有助降低本港企業的進口成本，並提振轉口貿易。經濟學者指出，雖然關稅壁壘減少，但地緣政治風險依然存在，企業仍需分散市場以降低風險。政府發言人表示，將密切監察協議對本港經濟的影響，並適時推出支援措施，協助中小企開拓海外市場。</x:v>
      </x:c>
    </x:row>
    <x:row r="10" ht="66" hidden="0" customHeight="1">
      <x:c r="A10" s="15" t="str">
        <x:v>009</x:v>
      </x:c>
      <x:c r="B10" s="12" t="str">
        <x:v>ZH-EXCELLENT-009</x:v>
      </x:c>
      <x:c r="C10" s="15" t="str">
        <x:v>009</x:v>
      </x:c>
      <x:c r="D10" s="12" t="str">
        <x:v>Excellent</x:v>
      </x:c>
      <x:c r="E10" s="16" t="n">
        <x:v>85</x:v>
      </x:c>
      <x:c r="F10" s="16" t="n">
        <x:v>100</x:v>
      </x:c>
      <x:c r="G10" s="14" t="str">
        <x:v>聯合國安理會今日一致通過決議，授權向中東衝突地區增派維和部隊，以監督停火協議的落實並保護平民安全。決議草案由多國聯合提案，強調必須透過政治途徑解決爭端，並呼籲各方立即停止敵對行動。聯合國秘書長對決議獲通過表示歡迎，指這為該地區帶來和平曙光，並承諾將盡快部署人員。本港國際關係學者分析，此次決議反映了國際社會對人道危機的深切關注，但維和行動的成效仍取決於衝突各方的合作意願。特區政府表示，支持聯合國維護國際和平與安全的努力，並已撥款捐助相關人道救援機構，為受影響平民提供緊急物資及醫療援助。</x:v>
      </x:c>
    </x:row>
    <x:row r="11" ht="79.19999694824219" hidden="0" customHeight="1">
      <x:c r="A11" s="15" t="str">
        <x:v>010</x:v>
      </x:c>
      <x:c r="B11" s="12" t="str">
        <x:v>ZH-EXCELLENT-010</x:v>
      </x:c>
      <x:c r="C11" s="15" t="str">
        <x:v>010</x:v>
      </x:c>
      <x:c r="D11" s="12" t="str">
        <x:v>Excellent</x:v>
      </x:c>
      <x:c r="E11" s="16" t="n">
        <x:v>85</x:v>
      </x:c>
      <x:c r="F11" s="16" t="n">
        <x:v>100</x:v>
      </x:c>
      <x:c r="G11" s="14" t="str">
        <x:v>國際民用航空組織今日於瑞士日內瓦簽署全球航空安全新協定，旨在統一各國的無人機監管標準及加強跨境航班的安全合作。協定規定各成員國必須建立統一的無人機註冊系統，並共享航班安全數據，以應對日益複雜的航空威脅。民航處發言人表示，本港將積極配合協定要求，預計明年完成相關法例修訂，確保本港航空安全標準與國際接軌。航空業內人士歡迎新協定，認為這將有助提升全球航空網絡的保安水平，並減少因標準不一而導致的航班延誤。立法會交通事務委員會委員促請政府加快立法程序，並加強公眾教育，讓市民了解無人機的新規管要求，確保航空安全及私隱得到充分保障。</x:v>
      </x:c>
    </x:row>
    <x:row r="12" ht="79.19999694824219" hidden="0" customHeight="1">
      <x:c r="A12" s="15" t="str">
        <x:v>011</x:v>
      </x:c>
      <x:c r="B12" s="12" t="str">
        <x:v>ZH-EXCELLENT-011</x:v>
      </x:c>
      <x:c r="C12" s="15" t="str">
        <x:v>011</x:v>
      </x:c>
      <x:c r="D12" s="12" t="str">
        <x:v>Excellent</x:v>
      </x:c>
      <x:c r="E12" s="16" t="n">
        <x:v>85</x:v>
      </x:c>
      <x:c r="F12" s="16" t="n">
        <x:v>100</x:v>
      </x:c>
      <x:c r="G12" s="14" t="str">
        <x:v>本地科技初創企業今日宣布成功研發全港首部人工智能輔助診斷系統，並獲醫院管理局批准於公立醫院進行臨床測試。該系統能透過分析病人病歷及影像數據，於數秒內提供診斷建議，準確率高達九成半，有望大幅縮短專科門診的輪候時間。研發團隊表示，系統已通過多項國際安全認證，並強調其設計僅作為醫生參考，不會取代專業判斷。醫管局發言人歡迎創新科技應用，指這將有效提升醫療效率及質素。業界專家認為，此舉標誌着本港智慧醫療發展邁進一大步，並促請政府增加撥款，支援更多醫療科技研發項目。病人組織對此表示期待，期望系統能盡快普及，讓更多病人受惠。</x:v>
      </x:c>
    </x:row>
    <x:row r="13" ht="79.19999694824219" hidden="0" customHeight="1">
      <x:c r="A13" s="15" t="str">
        <x:v>012</x:v>
      </x:c>
      <x:c r="B13" s="12" t="str">
        <x:v>ZH-EXCELLENT-012</x:v>
      </x:c>
      <x:c r="C13" s="15" t="str">
        <x:v>012</x:v>
      </x:c>
      <x:c r="D13" s="12" t="str">
        <x:v>Excellent</x:v>
      </x:c>
      <x:c r="E13" s="16" t="n">
        <x:v>85</x:v>
      </x:c>
      <x:c r="F13" s="16" t="n">
        <x:v>100</x:v>
      </x:c>
      <x:c r="G13" s="14" t="str">
        <x:v>本港大型電訊商「NetCom」今日承認遭遇嚴重網絡攻擊，導致逾百萬客戶的個人資料外洩，包括姓名、身份證號碼及聯絡方式。公司發言人表示，已即時切斷受影響伺服器的連接，並報交警方網絡安全及科技罪案調查科跟進。個人資料私隱專員公署已介入調查，並要求NetCom詳細交代事件及提交改善方案。公署呼籲受影響市民提高警覺，防範詐騙電話及釣魚電郵。立法會資訊科技及廣播事務委員會委員批評該公司保安系統存在漏洞，促請政府加強對關鍵基礎設施的網絡安全監管。NetCom承諾將為受影響客戶提供免費的信用監察服務，並全面檢討現有保安架構，防止同類事件再次發生。</x:v>
      </x:c>
    </x:row>
    <x:row r="14" ht="66" hidden="0" customHeight="1">
      <x:c r="A14" s="15" t="str">
        <x:v>013</x:v>
      </x:c>
      <x:c r="B14" s="12" t="str">
        <x:v>ZH-EXCELLENT-013</x:v>
      </x:c>
      <x:c r="C14" s="15" t="str">
        <x:v>013</x:v>
      </x:c>
      <x:c r="D14" s="12" t="str">
        <x:v>Excellent</x:v>
      </x:c>
      <x:c r="E14" s="16" t="n">
        <x:v>85</x:v>
      </x:c>
      <x:c r="F14" s="16" t="n">
        <x:v>100</x:v>
      </x:c>
      <x:c r="G14" s="14" t="str">
        <x:v>通訊事務管理局辦公室今日宣布，九龍區五個核心商業區的5G網絡鋪設工程已全面竣工，標誌著本港5G覆蓋率達到九成以上。新網絡將為區內企業提供更高速、低延遲的通訊服務，助力推動智慧城市及物聯網發展。電訊商代表表示，5G網絡的普及將大幅提升自動駕駛、遠程醫療及虛擬實境等創新應用的可行性。政府發言人指出，5G基建是本港數字經濟轉型的關鍵，未來將繼續推進偏遠地區的網絡覆蓋。商界對5G全面覆蓋表示歡迎，認為這將提升本港的國際競爭力，並呼籲政府提供更多誘因，鼓勵企業投資5G應用研發，以充分發揮新基建的經濟效益。</x:v>
      </x:c>
    </x:row>
    <x:row r="15" ht="79.19999694824219" hidden="0" customHeight="1">
      <x:c r="A15" s="15" t="str">
        <x:v>014</x:v>
      </x:c>
      <x:c r="B15" s="12" t="str">
        <x:v>ZH-EXCELLENT-014</x:v>
      </x:c>
      <x:c r="C15" s="15" t="str">
        <x:v>014</x:v>
      </x:c>
      <x:c r="D15" s="12" t="str">
        <x:v>Excellent</x:v>
      </x:c>
      <x:c r="E15" s="16" t="n">
        <x:v>85</x:v>
      </x:c>
      <x:c r="F15" s="16" t="n">
        <x:v>100</x:v>
      </x:c>
      <x:c r="G15" s="14" t="str">
        <x:v>國際知名科技巨頭今日於本港舉行亞洲區發布會，正式推出最新一代摺疊屏幕智能手機，主打輕薄設計及多工處理功能。新機採用全新鉸鏈技術，解決了以往屏幕易摺損的問題，並配備最新人工智能晶片，大幅提升影像處理效能。公司亞太區總裁表示，本港作為亞洲科技樞紐，是發布新產品的理想地點，預計新機將帶動區內換機潮。本地電訊商隨即宣布推出多款5G上台優惠，吸引消費者搶先預訂。消費者委員會提醒市民，購買新機時應留意保養條款及屏幕維修費用，避免日後產生糾紛。科技評論員認為，摺疊手機技術已漸趨成熟，但高昂售價仍是普及的一大阻礙，市場仍需時間驗證。</x:v>
      </x:c>
    </x:row>
    <x:row r="16" ht="79.19999694824219" hidden="0" customHeight="1">
      <x:c r="A16" s="15" t="str">
        <x:v>015</x:v>
      </x:c>
      <x:c r="B16" s="12" t="str">
        <x:v>ZH-EXCELLENT-015</x:v>
      </x:c>
      <x:c r="C16" s="15" t="str">
        <x:v>015</x:v>
      </x:c>
      <x:c r="D16" s="12" t="str">
        <x:v>Excellent</x:v>
      </x:c>
      <x:c r="E16" s="16" t="n">
        <x:v>85</x:v>
      </x:c>
      <x:c r="F16" s="16" t="n">
        <x:v>100</x:v>
      </x:c>
      <x:c r="G16" s="14" t="str">
        <x:v>運輸署與科技園公司合作，今日正式啟動全港首個自動駕駛巴士試驗計劃，於科學園內提供免費接駁服務。試驗車隊配備多部雷射雷達及高精度鏡頭，能自動偵測障礙物及行人，確保行車安全。運輸署發言人表示，試驗計劃旨在收集實際路面數據，為未來制定自動駕駛車輛的法規及標準提供依據。科學園行政總裁歡迎計劃落實，指這將提升園區的交通配套，並展現本港推動創科應用的決心。有乘客試乘後讚揚車程平穩，但亦有市民對無人駕駛技術的安全性存疑，促請當局加強監管及透明度。立法會議員建議政府逐步擴大試驗範圍，並加強公眾教育，以建立市民對自動駕駛技術的信心。</x:v>
      </x:c>
    </x:row>
    <x:row r="17" ht="79.19999694824219" hidden="0" customHeight="1">
      <x:c r="A17" s="15" t="str">
        <x:v>016</x:v>
      </x:c>
      <x:c r="B17" s="12" t="str">
        <x:v>ZH-EXCELLENT-016</x:v>
      </x:c>
      <x:c r="C17" s="15" t="str">
        <x:v>016</x:v>
      </x:c>
      <x:c r="D17" s="12" t="str">
        <x:v>Excellent</x:v>
      </x:c>
      <x:c r="E17" s="16" t="n">
        <x:v>85</x:v>
      </x:c>
      <x:c r="F17" s="16" t="n">
        <x:v>100</x:v>
      </x:c>
      <x:c r="G17" s="14" t="str">
        <x:v>衞生防護中心今日確認本港出現首宗新型流感變異病毒感染個案，患者為一名有外遊記錄的年輕男子，目前情況穩定。中心已將病毒樣本送往世衞組織參考實驗室作進一步分析，並即時啟動應變機制，加強口岸體溫檢測及社區監察。衞生署署長呼籲市民無需恐慌，但應保持良好個人衞生習慣，並盡早接種季節性流感疫苗。醫院管理局表示，已備有充足抗病毒藥物及隔離病床，以應對可能出現的爆發。傳染病專家指出，新變異病毒的傳播力似乎較強，但致病力未見明顯增加，當局需密切監察變異情況。政府承諾將加快疫苗採購及分發，確保高危群組得到優先保護。</x:v>
      </x:c>
    </x:row>
    <x:row r="18" ht="79.19999694824219" hidden="0" customHeight="1">
      <x:c r="A18" s="15" t="str">
        <x:v>017</x:v>
      </x:c>
      <x:c r="B18" s="12" t="str">
        <x:v>ZH-EXCELLENT-017</x:v>
      </x:c>
      <x:c r="C18" s="15" t="str">
        <x:v>017</x:v>
      </x:c>
      <x:c r="D18" s="12" t="str">
        <x:v>Excellent</x:v>
      </x:c>
      <x:c r="E18" s="16" t="n">
        <x:v>85</x:v>
      </x:c>
      <x:c r="F18" s="16" t="n">
        <x:v>100</x:v>
      </x:c>
      <x:c r="G18" s="14" t="str">
        <x:v>醫院管理局今日公布最新數據，顯示公立醫院急症室過去一周的平均輪候時間創下三年新高，部分醫院更需輪候逾八小時才能獲得診治。醫管局解釋，冬季流感高峰期加上氣溫驟降，導致求診人數激增，前線醫護人員承受巨大壓力。為紓緩擠塞，醫管局已調撥額外資源增設夜間門診，並呼籲病情輕微的市民向私家醫生求診。立法會衞生事務委員會委員對輪候時間過長表示關注，促請政府增加醫療撥款及改善醫護人手流失問題。病人組織批評公營醫療系統長期超負荷，要求當局正視結構性問題，而非僅靠短期措施應急。醫管局承諾將持續檢討服務流程，務求提升急症室效率。</x:v>
      </x:c>
    </x:row>
    <x:row r="19" ht="79.19999694824219" hidden="0" customHeight="1">
      <x:c r="A19" s="15" t="str">
        <x:v>018</x:v>
      </x:c>
      <x:c r="B19" s="12" t="str">
        <x:v>ZH-EXCELLENT-018</x:v>
      </x:c>
      <x:c r="C19" s="15" t="str">
        <x:v>018</x:v>
      </x:c>
      <x:c r="D19" s="12" t="str">
        <x:v>Excellent</x:v>
      </x:c>
      <x:c r="E19" s="16" t="n">
        <x:v>85</x:v>
      </x:c>
      <x:c r="F19" s="16" t="n">
        <x:v>100</x:v>
      </x:c>
      <x:c r="G19" s="14" t="str">
        <x:v>醫務衞生局今日宣布收緊美容業監管條例，規定所有涉及侵入性程序的醫學美容服務必須由註冊醫生主理或監督，違者將面臨重罰及吊銷牌照。新例旨在打擊非法行醫及保障消費者安全，將於明年一月起正式實施。美容業商會對新例表示支持，認為這有助提升行業專業水平及重建公眾信心。消費者委員會歡迎政府加強監管，指過去多年接獲大量涉及美容陷阱及醫療事故的投訴，新例將有效保障市民權益。立法會議員促請當局加強巡查及執法，並設立舉報熱線，確保新法例得到嚴格執行。業界人士預計，新例實施後將淘汰部分不合規的小型美容中心，促進行業整合。</x:v>
      </x:c>
    </x:row>
    <x:row r="20" ht="79.19999694824219" hidden="0" customHeight="1">
      <x:c r="A20" s="15" t="str">
        <x:v>019</x:v>
      </x:c>
      <x:c r="B20" s="12" t="str">
        <x:v>ZH-EXCELLENT-019</x:v>
      </x:c>
      <x:c r="C20" s="15" t="str">
        <x:v>019</x:v>
      </x:c>
      <x:c r="D20" s="12" t="str">
        <x:v>Excellent</x:v>
      </x:c>
      <x:c r="E20" s="16" t="n">
        <x:v>85</x:v>
      </x:c>
      <x:c r="F20" s="16" t="n">
        <x:v>100</x:v>
      </x:c>
      <x:c r="G20" s="14" t="str">
        <x:v>香港大學醫學院研究團隊今日在國際權威期刊發表突破性研究成果，成功研發出一種新型血液檢測技術，能於阿爾茨海默症早期階段準確診斷出病情，準確率逾九成。研究指出，傳統診斷方法依賴腦部掃描，費用高昂且耗時，新技術只需抽取少量血液，大幅降低檢測門檻及成本。港大表示，團隊正與醫管局合作，準備於公立醫院進行大規模臨床測試。衞生署對研究結果表示歡迎，認為這將有助及早介入治療，延緩患者認知能力衰退。病人家屬組織對此充滿期待，期望新技術能盡快普及，減輕照顧者的沉重負擔。業界專家指，此項突破標誌着本港生物醫學研究達到世界領先水平。</x:v>
      </x:c>
    </x:row>
    <x:row r="21" ht="79.19999694824219" hidden="0" customHeight="1">
      <x:c r="A21" s="15" t="str">
        <x:v>020</x:v>
      </x:c>
      <x:c r="B21" s="12" t="str">
        <x:v>ZH-EXCELLENT-020</x:v>
      </x:c>
      <x:c r="C21" s="15" t="str">
        <x:v>020</x:v>
      </x:c>
      <x:c r="D21" s="12" t="str">
        <x:v>Excellent</x:v>
      </x:c>
      <x:c r="E21" s="16" t="n">
        <x:v>85</x:v>
      </x:c>
      <x:c r="F21" s="16" t="n">
        <x:v>100</x:v>
      </x:c>
      <x:c r="G21" s="14" t="str">
        <x:v>衞生防護中心今日公布，黃大仙區出現登革熱群組爆發，過去兩周錄得五宗本地個案，患者均曾到訪區內某公園。中心已派員到現場進行滅蚊及環境消毒，並呼籲附近居民清除積水容器，以防蚊患滋生。食環署表示，已加強區內的滅蚊行動，並增設誘蚊器監察蚊蟲密度。傳染病專家提醒市民，登革熱可引致嚴重併發症，必須做好防蚊措施，如穿着長袖衣物及使用驅蚊劑。區議會委員促請政府改善公園排水系統，並加強環境衞生巡查，從源頭杜絕蚊患。政府發言人強調，將密切監察疫情發展，並與區議會及社區組織合作，展開全港性的防蚊宣傳運動，保障公眾健康。</x:v>
      </x:c>
    </x:row>
    <x:row r="22" ht="79.19999694824219" hidden="0" customHeight="1">
      <x:c r="A22" s="15" t="str">
        <x:v>021</x:v>
      </x:c>
      <x:c r="B22" s="12" t="str">
        <x:v>ZH-EXCELLENT-021</x:v>
      </x:c>
      <x:c r="C22" s="15" t="str">
        <x:v>021</x:v>
      </x:c>
      <x:c r="D22" s="12" t="str">
        <x:v>Excellent</x:v>
      </x:c>
      <x:c r="E22" s="16" t="n">
        <x:v>85</x:v>
      </x:c>
      <x:c r="F22" s="16" t="n">
        <x:v>100</x:v>
      </x:c>
      <x:c r="G22" s="14" t="str">
        <x:v>本港大型零售集團「恒輝百貨」今日公布第三季度業績，純利按年大跌三成，主要受內地旅客消費模式改變及本地消費意欲疲弱影響。集團主席表示，面對嚴峻營商環境，將關閉部分表現欠佳的門市，並加大投資於電商平台，推動線上線下融合。財經分析員指出，傳統零售業正面臨結構性挑戰，必須加快數碼轉型才能生存。政府發言人表示，理解零售業面對的困難，將推出新一輪消費券計劃以提振內需。商會呼籲業主體恤租戶，適時減租以共渡時艱。恒輝百貨預計，下半年市道仍將充滿挑戰，但對長遠前景保持審慎樂觀，並承諾將繼續優化產品組合，以迎合本地消費者的需求。</x:v>
      </x:c>
    </x:row>
    <x:row r="23" ht="79.19999694824219" hidden="0" customHeight="1">
      <x:c r="A23" s="15" t="str">
        <x:v>022</x:v>
      </x:c>
      <x:c r="B23" s="12" t="str">
        <x:v>ZH-EXCELLENT-022</x:v>
      </x:c>
      <x:c r="C23" s="15" t="str">
        <x:v>022</x:v>
      </x:c>
      <x:c r="D23" s="12" t="str">
        <x:v>Excellent</x:v>
      </x:c>
      <x:c r="E23" s="16" t="n">
        <x:v>85</x:v>
      </x:c>
      <x:c r="F23" s="16" t="n">
        <x:v>100</x:v>
      </x:c>
      <x:c r="G23" s="14" t="str">
        <x:v>財政司司長今日宣布推出新一輪綠色科技稅務優惠，凡投資於碳中和技術及可再生能源的本地企業，可獲高達兩倍的利得稅扣減。新措施旨在鼓勵企業加速綠色轉型，配合國家及全球的減碳目標。稅務局表示，將簡化申請程序，確保企業能盡早享用優惠。商界對此反應熱烈，認為這將大幅提升本港對綠色科技投資的吸引力。環保團體歡迎新措施，但促請政府設立明確的審查機制，防止企業「漂綠」行為。立法會議員建議政府進一步擴大優惠範圍，涵蓋綠色建築及電動交通工具，以全面推動可持續發展。政府承諾將定期檢討政策成效，並適時推出更多支援措施，鞏固本港作為亞洲綠色金融中心的地位。</x:v>
      </x:c>
    </x:row>
    <x:row r="24" ht="79.19999694824219" hidden="0" customHeight="1">
      <x:c r="A24" s="15" t="str">
        <x:v>023</x:v>
      </x:c>
      <x:c r="B24" s="12" t="str">
        <x:v>ZH-EXCELLENT-023</x:v>
      </x:c>
      <x:c r="C24" s="15" t="str">
        <x:v>023</x:v>
      </x:c>
      <x:c r="D24" s="12" t="str">
        <x:v>Excellent</x:v>
      </x:c>
      <x:c r="E24" s="16" t="n">
        <x:v>85</x:v>
      </x:c>
      <x:c r="F24" s="16" t="n">
        <x:v>100</x:v>
      </x:c>
      <x:c r="G24" s="14" t="str">
        <x:v>政府統計處今日公布最新勞動人口數據，本港經季節性調整的失業率跌至百分之三點一，創下三年以來新低，顯示就業市場持續復甦。數據顯示，零售、住宿及餐飲服務業的就業人數增長最為顯著，反映通關後旅遊及消費活動帶動職位需求。勞工及福利局局長表示，政府將繼續推出再就業津貼及培訓計劃，協助失業人士重返職場。人力資源專家指出，雖然整體失業率下降，但部分基層職位仍面臨人手短缺問題，建議企業改善薪酬福利以吸引人才。商會歡迎就業市場好轉，但提醒僱主需關注通脹對員工生活成本的影響，適時調整薪金。政府承諾將密切監察勞工市場變化，確保就業穩定。</x:v>
      </x:c>
    </x:row>
    <x:row r="25" ht="79.19999694824219" hidden="0" customHeight="1">
      <x:c r="A25" s="15" t="str">
        <x:v>024</x:v>
      </x:c>
      <x:c r="B25" s="12" t="str">
        <x:v>ZH-EXCELLENT-024</x:v>
      </x:c>
      <x:c r="C25" s="15" t="str">
        <x:v>024</x:v>
      </x:c>
      <x:c r="D25" s="12" t="str">
        <x:v>Excellent</x:v>
      </x:c>
      <x:c r="E25" s="16" t="n">
        <x:v>85</x:v>
      </x:c>
      <x:c r="F25" s="16" t="n">
        <x:v>100</x:v>
      </x:c>
      <x:c r="G25" s="14" t="str">
        <x:v>本港著名主題公園今日宣布啟動歷來最大規模的擴建計劃，投資逾百億元增設全新機動遊戲及互動體驗區，預計二零三零年分階段落成。公園行政總裁表示，擴建將引入全球首創的虛擬實境過山車，並擴建主題酒店，以提升遊客體驗及延長逗留時間。旅遊發展局歡迎計劃，認為這將增強本港作為國際旅遊樞紐的吸引力，並帶動周邊產業發展。立法會經濟事務委員會委員促請政府優化交通配套，以應付未來新增的客流。環保團體則關注擴建工程對周邊生態的影響，要求公園進行嚴格的環境評估。公園承諾將採用環保建築標準，並設立生態保育基金，確保發展與環保並重。</x:v>
      </x:c>
    </x:row>
    <x:row r="26" ht="79.19999694824219" hidden="0" customHeight="1">
      <x:c r="A26" s="15" t="str">
        <x:v>025</x:v>
      </x:c>
      <x:c r="B26" s="12" t="str">
        <x:v>ZH-EXCELLENT-025</x:v>
      </x:c>
      <x:c r="C26" s="15" t="str">
        <x:v>025</x:v>
      </x:c>
      <x:c r="D26" s="12" t="str">
        <x:v>Excellent</x:v>
      </x:c>
      <x:c r="E26" s="16" t="n">
        <x:v>85</x:v>
      </x:c>
      <x:c r="F26" s="16" t="n">
        <x:v>100</x:v>
      </x:c>
      <x:c r="G26" s="14" t="str">
        <x:v>本地股市今日下午開市後突現閃電式下跌，恆生指數於十五分鐘內急挫逾千點，其後在權重股帶動下迅速收復失地，最終僅微跌收市。證券及期貨事務監察委員會表示，已即時啟動監察機制，初步調查未發現異常交易或市場操縱行為，懷疑是程式交易引發的連鎖反應。交易所發言人強調，市場基礎設施運作正常，流動性充足。財經界人士指出，閃電崩盤反映高頻交易在極端市況下的風險，建議監管機構檢討相關機制。投資者協會呼籲散戶保持冷靜，避免盲目追沽。政府發言人表示，本港金融系統穩健，有能力抵禦市場波動，並將與國際監管機構合作，提升市場抗逆力。</x:v>
      </x:c>
    </x:row>
    <x:row r="27" ht="79.19999694824219" hidden="0" customHeight="1">
      <x:c r="A27" s="15" t="str">
        <x:v>026</x:v>
      </x:c>
      <x:c r="B27" s="12" t="str">
        <x:v>ZH-EXCELLENT-026</x:v>
      </x:c>
      <x:c r="C27" s="15" t="str">
        <x:v>026</x:v>
      </x:c>
      <x:c r="D27" s="12" t="str">
        <x:v>Excellent</x:v>
      </x:c>
      <x:c r="E27" s="16" t="n">
        <x:v>85</x:v>
      </x:c>
      <x:c r="F27" s="16" t="n">
        <x:v>100</x:v>
      </x:c>
      <x:c r="G27" s="14" t="str">
        <x:v>本地多間大學今日聯合宣布，將大幅調低下學年低收入家庭學生的學費，並增加獎學金名額，以減輕基層學生的經濟負擔。新措施涵蓋學士及碩士課程，預計惠及逾萬名學生。大學教育資助委員會歡迎決定，指這體現了大學的社會責任，並承諾將提供額外撥款支援。學生會對此表示讚賞，認為這能有效促進教育公平，讓更多基層青年有機會接受高等教育。教育界團體促請政府帶頭增加資助，並檢討現有學生貸款計劃的息率，避免學生畢業後背負沉重債務。大學校長表示，將繼續推行多元共融政策，確保不同背景的學生都能在平等環境下學習，為社會培育優秀人才。</x:v>
      </x:c>
    </x:row>
    <x:row r="28" ht="79.19999694824219" hidden="0" customHeight="1">
      <x:c r="A28" s="15" t="str">
        <x:v>027</x:v>
      </x:c>
      <x:c r="B28" s="12" t="str">
        <x:v>ZH-EXCELLENT-027</x:v>
      </x:c>
      <x:c r="C28" s="15" t="str">
        <x:v>027</x:v>
      </x:c>
      <x:c r="D28" s="12" t="str">
        <x:v>Excellent</x:v>
      </x:c>
      <x:c r="E28" s="16" t="n">
        <x:v>85</x:v>
      </x:c>
      <x:c r="F28" s="16" t="n">
        <x:v>100</x:v>
      </x:c>
      <x:c r="G28" s="14" t="str">
        <x:v>教育局今日公布小學課程改革指引，宣布由下學年起，全港小四至小六必須加入基礎編程及人工智能概念課程，以培養學生的運算思維及創新能力。新課程將融入常識科及數學科，並提供配套教材及教師培訓。教育局發言人表示，面對數字經濟時代，掌握科技知識對學生未來發展至關重要。家長教師會歡迎新措施，但擔憂加重學生學業壓力，促請當局確保課程內容適切，並提供足夠支援予前線教師。科技界人士讚揚改革具前瞻性，建議政府引入業界專家參與課程設計，使內容更貼合實際應用。教育局承諾將定期檢討課程成效，並根據師生反饋進行優化，確保教學質素。</x:v>
      </x:c>
    </x:row>
    <x:row r="29" ht="66" hidden="0" customHeight="1">
      <x:c r="A29" s="15" t="str">
        <x:v>028</x:v>
      </x:c>
      <x:c r="B29" s="12" t="str">
        <x:v>ZH-EXCELLENT-028</x:v>
      </x:c>
      <x:c r="C29" s="15" t="str">
        <x:v>028</x:v>
      </x:c>
      <x:c r="D29" s="12" t="str">
        <x:v>Excellent</x:v>
      </x:c>
      <x:c r="E29" s="16" t="n">
        <x:v>85</x:v>
      </x:c>
      <x:c r="F29" s="16" t="n">
        <x:v>100</x:v>
      </x:c>
      <x:c r="G29" s="14" t="str">
        <x:v>教育團體今日發布調查報告，指本港特殊學校正面臨嚴重的教師流失潮，過去一年離職率逾一成五，主因是工作壓力過大及薪酬缺乏競爭力。報告促請政府增加特殊學校的資源撥款，改善師生比例，並設立特殊教育津貼以挽留人才。教育局回應指，高度關注特殊學校的人手問題，已成立專責小組跟進，並會於下學年增加常額教席。家長組織對報告結果感到憂慮，指教師流失直接影響學生的學習進度及照顧質素，要求當局立即採取行動。立法會福利事務委員會委員促請政府全面檢討特殊教育政策，確保有特殊需要的學生得到適切的支援及優質的教育服務。</x:v>
      </x:c>
    </x:row>
    <x:row r="30" ht="79.19999694824219" hidden="0" customHeight="1">
      <x:c r="A30" s="15" t="str">
        <x:v>029</x:v>
      </x:c>
      <x:c r="B30" s="12" t="str">
        <x:v>ZH-EXCELLENT-029</x:v>
      </x:c>
      <x:c r="C30" s="15" t="str">
        <x:v>029</x:v>
      </x:c>
      <x:c r="D30" s="12" t="str">
        <x:v>Excellent</x:v>
      </x:c>
      <x:c r="E30" s="16" t="n">
        <x:v>85</x:v>
      </x:c>
      <x:c r="F30" s="16" t="n">
        <x:v>100</x:v>
      </x:c>
      <x:c r="G30" s="14" t="str">
        <x:v>考試及評核局今日公布中學文憑試最新成績分析，顯示考生於數學科及延伸數學科的表現有顯著改善，平均及格率創下五年新高。考評局發言人指，這反映學校近年推行的教學改革及網上學習資源已見成效。教育局歡迎成績進步，並承諾將繼續支援學校優化數理教育。數學教育學會指出，雖然成績有進步，但頂尖考生比例未有明顯增加，建議當局加強拔尖培訓。大學理學院院長表示，將考慮調整收生計分方法，以吸引更多數理資優生報讀。考生對成績感到滿意，認為努力得到回報。考評局強調，將持續檢討評核機制，確保考試公平及具信效度，為學生提供準確的能力評估。</x:v>
      </x:c>
    </x:row>
    <x:row r="31" ht="79.19999694824219" hidden="0" customHeight="1">
      <x:c r="A31" s="15" t="str">
        <x:v>030</x:v>
      </x:c>
      <x:c r="B31" s="12" t="str">
        <x:v>ZH-EXCELLENT-030</x:v>
      </x:c>
      <x:c r="C31" s="15" t="str">
        <x:v>030</x:v>
      </x:c>
      <x:c r="D31" s="12" t="str">
        <x:v>Excellent</x:v>
      </x:c>
      <x:c r="E31" s="16" t="n">
        <x:v>85</x:v>
      </x:c>
      <x:c r="F31" s="16" t="n">
        <x:v>100</x:v>
      </x:c>
      <x:c r="G31" s="14" t="str">
        <x:v>政府今日於觀塘區啟用全新職業訓練中心，專門提供人工智能、綠色建築及護理服務等新興行業的培訓課程，預計每年可培訓逾五千名學員。勞工及福利局局長主持開幕禮時表示，中心將與業界緊密合作，確保課程內容貼合市場需求，協助市民掌握新技能，提升就業競爭力。建造業議會及安老服務協會歡迎中心落成，指這將有效紓緩業界人手短缺問題。培訓機構代表表示，將提供多種資助名額，鼓勵在職人士及青年報讀。立法會人力事務委員會委員促請政府加強就業配對服務，確保學員畢業後能順利投身相關行業。政府承諾將持續監察勞工市場趨勢，適時增設新课程，推動經濟多元發展。</x:v>
      </x:c>
    </x:row>
    <x:row r="32" ht="92.4000015258789" hidden="0" customHeight="1">
      <x:c r="A32" s="15" t="str">
        <x:v>031</x:v>
      </x:c>
      <x:c r="B32" s="12" t="str">
        <x:v>ZH-GOOD-001</x:v>
      </x:c>
      <x:c r="C32" s="15" t="str">
        <x:v>001</x:v>
      </x:c>
      <x:c r="D32" s="12" t="str">
        <x:v>Good</x:v>
      </x:c>
      <x:c r="E32" s="16" t="n">
        <x:v>70</x:v>
      </x:c>
      <x:c r="F32" s="16" t="n">
        <x:v>84</x:v>
      </x:c>
      <x:c r="G32" s="14" t="str">
        <x:v>香港基金提及第二階段復修計劃，計劃餘下約720萬元留給家居公司和小商戶，家居公司和小商戶可自行申請，截止日期為八月底。  水災善款截至7月中收到2,860萬元，香港基金已撥出2,140萬元作援助，受影響家庭每戶可接收一萬元港幣援助。另外，一些社區地方也需要進行維修，清潔費用和床具費用將會從另一筆基金中取出，並會一起記錄在另一筆基金支出中。  基金提及有會計人員看過帳目，未見不當支出。而涉及私隱問題，其中受助者姓名將不會公開。本次是第一份基金收支報告，下一次收支報大約會在9月底公布。而基金網站收錄了各項收支數據，居民可以獨自查核。</x:v>
      </x:c>
    </x:row>
    <x:row r="33" ht="39.599998474121094" hidden="0" customHeight="1">
      <x:c r="A33" s="15" t="str">
        <x:v>032</x:v>
      </x:c>
      <x:c r="B33" s="12" t="str">
        <x:v>ZH-GOOD-002</x:v>
      </x:c>
      <x:c r="C33" s="15" t="str">
        <x:v>002</x:v>
      </x:c>
      <x:c r="D33" s="12" t="str">
        <x:v>Good</x:v>
      </x:c>
      <x:c r="E33" s="16" t="n">
        <x:v>70</x:v>
      </x:c>
      <x:c r="F33" s="16" t="n">
        <x:v>84</x:v>
      </x:c>
      <x:c r="G33" s="14" t="str">
        <x:v>匠途協會將在秋季展開青年學徒計劃，預計接收60名18至30歲人士。計劃中學徒可以學習木工，金工，霓虹招牌和舞台道具等技能。另外，協會的十數間合作公司會提供安全和畫圖課程，學員每月有15000元收入。申請日期在8月初，並無工作經驗要求，企業會通過面試來錄取學員。在錄取後一年，當課程作品合格便會有證書派送。</x:v>
      </x:c>
    </x:row>
    <x:row r="34" ht="52.79999923706055" hidden="0" customHeight="1">
      <x:c r="A34" s="15" t="str">
        <x:v>033</x:v>
      </x:c>
      <x:c r="B34" s="12" t="str">
        <x:v>ZH-GOOD-003</x:v>
      </x:c>
      <x:c r="C34" s="15" t="str">
        <x:v>003</x:v>
      </x:c>
      <x:c r="D34" s="12" t="str">
        <x:v>Good</x:v>
      </x:c>
      <x:c r="E34" s="16" t="n">
        <x:v>70</x:v>
      </x:c>
      <x:c r="F34" s="16" t="n">
        <x:v>84</x:v>
      </x:c>
      <x:c r="G34" s="14" t="str">
        <x:v>聲橋公司計劃在8月3日至11月28日推行護耳講座。計劃會派遣隔音車率先前往晴橋邨，以及九龍東的11個屋苑，每日為60歲以上居民免費進行驗耳，其中包含先問病歷、望耳，再播放聲音測試。隨後職員便會講述初步結果，如有特殊症狀將轉介至相關醫生。活動將在7月20日起通過電話或網站報名，整個計劃預計接納1080人。明音基金將贊助68萬元。</x:v>
      </x:c>
    </x:row>
    <x:row r="35" ht="66" hidden="0" customHeight="1">
      <x:c r="A35" s="15" t="str">
        <x:v>034</x:v>
      </x:c>
      <x:c r="B35" s="12" t="str">
        <x:v>ZH-GOOD-004</x:v>
      </x:c>
      <x:c r="C35" s="15" t="str">
        <x:v>004</x:v>
      </x:c>
      <x:c r="D35" s="12" t="str">
        <x:v>Good</x:v>
      </x:c>
      <x:c r="E35" s="16" t="n">
        <x:v>70</x:v>
      </x:c>
      <x:c r="F35" s="16" t="n">
        <x:v>84</x:v>
      </x:c>
      <x:c r="G35" s="14" t="str">
        <x:v>啟航書院將於10月舉辦為期半年的STEAM課程，內容包括機械人、編程和數據處理。學習成果作品將於明年在社區會堂展示。課程由明途基金撥款資助，學生不需付費即可參與，同時提供電腦和交通津貼。課程合共有120個學位，導師由教師、工程師和大學專生組成。位於深水埗區的中一至中三的學生應由學校或社工推薦，家庭方面亦要遞交相關資料作審批。校方表明申請批核不會只參考學業成績，亦會參考學生的申請動機。申請表格可經學校網站提交。</x:v>
      </x:c>
    </x:row>
    <x:row r="36" ht="52.79999923706055" hidden="0" customHeight="1">
      <x:c r="A36" s="15" t="str">
        <x:v>035</x:v>
      </x:c>
      <x:c r="B36" s="12" t="str">
        <x:v>ZH-GOOD-005</x:v>
      </x:c>
      <x:c r="C36" s="15" t="str">
        <x:v>005</x:v>
      </x:c>
      <x:c r="D36" s="12" t="str">
        <x:v>Good</x:v>
      </x:c>
      <x:c r="E36" s="16" t="n">
        <x:v>70</x:v>
      </x:c>
      <x:c r="F36" s="16" t="n">
        <x:v>84</x:v>
      </x:c>
      <x:c r="G36" s="14" t="str">
        <x:v>環織資源將於8月在商場和屋苑放置舊衣回收箱，合共約40個。市民可以捐贈乾淨衣物、床單、毛巾和布袋。但不應將鞋和濕衣放置在回收箱。回收的物品會先根據其品質進行分類，並於每星期送往新田。品質較好的會交予社福機構，其他會接布料分類再做。回收箱上設有二維碼可供查詢收運批次。公司期望一年回收約300公噸，其後會按季度公布數字。</x:v>
      </x:c>
    </x:row>
    <x:row r="37" ht="52.79999923706055" hidden="0" customHeight="1">
      <x:c r="A37" s="15" t="str">
        <x:v>036</x:v>
      </x:c>
      <x:c r="B37" s="12" t="str">
        <x:v>ZH-GOOD-006</x:v>
      </x:c>
      <x:c r="C37" s="15" t="str">
        <x:v>006</x:v>
      </x:c>
      <x:c r="D37" s="12" t="str">
        <x:v>Good</x:v>
      </x:c>
      <x:c r="E37" s="16" t="n">
        <x:v>70</x:v>
      </x:c>
      <x:c r="F37" s="16" t="n">
        <x:v>84</x:v>
      </x:c>
      <x:c r="G37" s="14" t="str">
        <x:v>東港大學最近公布了為期一年的城市熱島調查，其中在六區放置了120個感應器。調查結果顯示，下午時段商業地區較海旁高約2.8度，其中部分街口缺乏遮蔭。 東港大學表示，將在巴士站和公眾設施附近種植樹蔭和設立飲水機。工程在秋季會向當地居民進行諮詢擇地。調查數據以上載至大學網站，市民可自行下載並向大學提供意見規劃。</x:v>
      </x:c>
    </x:row>
    <x:row r="38" ht="79.19999694824219" hidden="0" customHeight="1">
      <x:c r="A38" s="15" t="str">
        <x:v>037</x:v>
      </x:c>
      <x:c r="B38" s="12" t="str">
        <x:v>ZH-GOOD-007</x:v>
      </x:c>
      <x:c r="C38" s="15" t="str">
        <x:v>007</x:v>
      </x:c>
      <x:c r="D38" s="12" t="str">
        <x:v>Good</x:v>
      </x:c>
      <x:c r="E38" s="16" t="n">
        <x:v>70</x:v>
      </x:c>
      <x:c r="F38" s="16" t="n">
        <x:v>84</x:v>
      </x:c>
      <x:c r="G38" s="14" t="str">
        <x:v>鮮港公司會在部分分店試用可重用餐盒。試用計劃從秋天開始。因系統延遲，顧客的訂單會在下單後稍等一會方可顯示在店舖的電腦系統里。顧客買熟食時可以先付一筆按金，再到店舖取餐盒，店員會使用這個餐盒進行取餐。可重用餐盒可交還給店舖已退回按金，餐盒交回店舖前需倒走食物，其後店舖會交給合作機構做做後續處理。當交回餐盒後，其後按金會經由電子方式退回。網上付款系統結帳時，會顯示參加該活動的分店名單以及活動期限。另外試用計劃受優惠條款約束，該條款指示按金退回同減價含會同時進行，付款時收據會顯示一加（按金）一減（優惠）。公司會就着減少即棄盒作為目標，先試行計劃一段時間。當試行計劃完結後再視情況再決定是否延續計劃。</x:v>
      </x:c>
    </x:row>
    <x:row r="39" ht="66" hidden="0" customHeight="1">
      <x:c r="A39" s="15" t="str">
        <x:v>038</x:v>
      </x:c>
      <x:c r="B39" s="12" t="str">
        <x:v>ZH-GOOD-008</x:v>
      </x:c>
      <x:c r="C39" s="15" t="str">
        <x:v>008</x:v>
      </x:c>
      <x:c r="D39" s="12" t="str">
        <x:v>Good</x:v>
      </x:c>
      <x:c r="E39" s="16" t="n">
        <x:v>70</x:v>
      </x:c>
      <x:c r="F39" s="16" t="n">
        <x:v>84</x:v>
      </x:c>
      <x:c r="G39" s="14" t="str">
        <x:v>新界閱讀服務處將於秋天試行流動圖書車，第一站位於元朗，其後擴展至其他新界地區，偏遠居民可在指定日子借書。站點時間將於8月尾公佈，每站在一星期內會到達數次，實際停留時間不定。車上提供中英文書，包括兒童和大字版，車內亦有平板電腦可供借閱電子書。圖書館會員可以借還圖書。市民亦可帶同資料到場辦理會員。輪椅上落方面有相關無障礙設備。在惡劣天氣下行程會有所變動，請市民留意官方網站。確實路線將於未來視乎人流再作決定。</x:v>
      </x:c>
    </x:row>
    <x:row r="40" ht="79.19999694824219" hidden="0" customHeight="1">
      <x:c r="A40" s="15" t="str">
        <x:v>039</x:v>
      </x:c>
      <x:c r="B40" s="12" t="str">
        <x:v>ZH-GOOD-009</x:v>
      </x:c>
      <x:c r="C40" s="15" t="str">
        <x:v>009</x:v>
      </x:c>
      <x:c r="D40" s="12" t="str">
        <x:v>Good</x:v>
      </x:c>
      <x:c r="E40" s="16" t="n">
        <x:v>70</x:v>
      </x:c>
      <x:c r="F40" s="16" t="n">
        <x:v>84</x:v>
      </x:c>
      <x:c r="G40" s="14" t="str">
        <x:v>卓峰工程有限公司準備在其下的屯門廠房裝太陽板，預計秋天開始裝修，最快明年建成。裝修期間租戶不用停業。其中星期日會有建築吊機在場，卓峰公司會提早通知星期日的情況，租戶或可暫避。項目預計會花費數千萬港幣，園方說計劃建成後海量的太陽能板可供公共地方大半用電，以減少碳排放。  工程公司在尚未正式開工前，就先估算好發電量，其後送出電網，再啟動工程。  卓峰公司提及天台消防和負需要有人監察。完工驗收程序在裝修完成供電之後，其標準是以機器具備開機運作能力為條件。</x:v>
      </x:c>
    </x:row>
    <x:row r="41" ht="66" hidden="0" customHeight="1">
      <x:c r="A41" s="15" t="str">
        <x:v>040</x:v>
      </x:c>
      <x:c r="B41" s="12" t="str">
        <x:v>ZH-GOOD-010</x:v>
      </x:c>
      <x:c r="C41" s="15" t="str">
        <x:v>010</x:v>
      </x:c>
      <x:c r="D41" s="12" t="str">
        <x:v>Good</x:v>
      </x:c>
      <x:c r="E41" s="16" t="n">
        <x:v>70</x:v>
      </x:c>
      <x:c r="F41" s="16" t="n">
        <x:v>84</x:v>
      </x:c>
      <x:c r="G41" s="14" t="str">
        <x:v>屯門卓峰宣布，將在今年秋季於數座廠房頂部裝設太陽能板，預計明年竣工通電。 屯門卓峰同時宣布星期日將有吊機工程，受波及商戶可照常營業，只需注意安全。 整個項目花費數千萬，預計其發電量可供附近的公眾場合大部分用電以此減少碳排放。工程商將送出電網作臨時供電，待完工後收回電網。工程進行時會有安全員監察消防及負重安全。 屯門卓峰表示，當太陽能板成功供電後，將會有專業人士進行檢查及驗收。</x:v>
      </x:c>
    </x:row>
    <x:row r="42" ht="66" hidden="0" customHeight="1">
      <x:c r="A42" s="15" t="str">
        <x:v>041</x:v>
      </x:c>
      <x:c r="B42" s="12" t="str">
        <x:v>ZH-GOOD-011</x:v>
      </x:c>
      <x:c r="C42" s="15" t="str">
        <x:v>011</x:v>
      </x:c>
      <x:c r="D42" s="12" t="str">
        <x:v>Good</x:v>
      </x:c>
      <x:c r="E42" s="16" t="n">
        <x:v>70</x:v>
      </x:c>
      <x:c r="F42" s="16" t="n">
        <x:v>84</x:v>
      </x:c>
      <x:c r="G42" s="14" t="str">
        <x:v>綠苗社將於9月在沙田三個屋邨推行社區園圃計劃，預計開放約150個種植床位。每個床位面積約一平方米，居民可種植蔬菜和香草。計劃為期八個月，參加者每月需出席至少兩次護理日。社方會提供泥土、種苗和基本工具，參加者只需自備手套和水壺。申請日期為8月15日至9月5日，優先接受從未參與園藝活動的家庭。綠苗社提及，園圃設有雨水收集系統以減少用水，其後會按季度公佈用水量數據。另外，收成期居民可將多餘蔬菜捐贈予區內食物銀行。社方表示計劃首年以試行為主，視乎反應再決定是否擴展至其他屋邨。</x:v>
      </x:c>
    </x:row>
    <x:row r="43" ht="66" hidden="0" customHeight="1">
      <x:c r="A43" s="15" t="str">
        <x:v>042</x:v>
      </x:c>
      <x:c r="B43" s="12" t="str">
        <x:v>ZH-GOOD-012</x:v>
      </x:c>
      <x:c r="C43" s="15" t="str">
        <x:v>012</x:v>
      </x:c>
      <x:c r="D43" s="12" t="str">
        <x:v>Good</x:v>
      </x:c>
      <x:c r="E43" s="16" t="n">
        <x:v>70</x:v>
      </x:c>
      <x:c r="F43" s="16" t="n">
        <x:v>84</x:v>
      </x:c>
      <x:c r="G43" s="14" t="str">
        <x:v>躍動體育會將於10月展開為期半年的青少年籃球訓練計劃，對象為12至17歲區內學生。計劃設初級和中級兩組，每組接收40人，每週訓練三次，每次兩小時。訓練場地設在將軍澳體育館和坑口社區中心。教練團隊由前甲組球員和持牌教練組成，課程涵蓋基本運球、戰術配合和體能鍛鍊。參加費為每月200元，綜援家庭可獲全額減免。報名日期在9月初，需經學校體育老師或社工推薦。體育會表示，完成課程的學員將獲頒證書，表現優異者可獲推薦參加地區聯賽。因場地編排關係，部分課堂或需調至星期六進行，屆時會提早一週通知家長。</x:v>
      </x:c>
    </x:row>
    <x:row r="44" ht="66" hidden="0" customHeight="1">
      <x:c r="A44" s="15" t="str">
        <x:v>043</x:v>
      </x:c>
      <x:c r="B44" s="12" t="str">
        <x:v>ZH-GOOD-013</x:v>
      </x:c>
      <x:c r="C44" s="15" t="str">
        <x:v>013</x:v>
      </x:c>
      <x:c r="D44" s="12" t="str">
        <x:v>Good</x:v>
      </x:c>
      <x:c r="E44" s="16" t="n">
        <x:v>70</x:v>
      </x:c>
      <x:c r="F44" s="16" t="n">
        <x:v>84</x:v>
      </x:c>
      <x:c r="G44" s="14" t="str">
        <x:v>明眸慈善基金將於8月18日至10月31日在觀塘區推行免費長者視力篩查。服務對象為65歲或以上居民，預計惠及約900人。篩查流程包括視力表測試、眼壓測量和初步眼底檢查，每人約需20分鐘。如發現白內障或青光眼等症狀，職員將即場轉介至公立醫院眼科跟進。活動地點設於五間長者中心，每間中心服務兩星期。報名可致電熱線或親臨中心登記，名額先到先得。基金獲一間光學公司贊助價值45萬元的儀器。基金負責人表示，篩查數據將以匿名形式整理，其後會發表報告供衛生署參考。長者如需陪同，可帶同一名家屬入場。</x:v>
      </x:c>
    </x:row>
    <x:row r="45" ht="79.19999694824219" hidden="0" customHeight="1">
      <x:c r="A45" s="15" t="str">
        <x:v>044</x:v>
      </x:c>
      <x:c r="B45" s="12" t="str">
        <x:v>ZH-GOOD-014</x:v>
      </x:c>
      <x:c r="C45" s="15" t="str">
        <x:v>014</x:v>
      </x:c>
      <x:c r="D45" s="12" t="str">
        <x:v>Good</x:v>
      </x:c>
      <x:c r="E45" s="16" t="n">
        <x:v>70</x:v>
      </x:c>
      <x:c r="F45" s="16" t="n">
        <x:v>84</x:v>
      </x:c>
      <x:c r="G45" s="14" t="str">
        <x:v>北區區立圖書館將於11月起進行翻新工程，預計明年4月重新開放。工程期間圖書館會暫停服務，居民可改用粉嶺和上水的流動圖書站。翻新內容包括更換空調系統、增設自修室座位至80個，以及在兒童區加裝隔音設施。工程費用約1,200萬元，由區議會撥款和康文署共同承擔。館方表示，翻新後會引入自助借還機，減少排隊時間。另外，二樓將闢作多媒體空間，配備電腦和掃描器供市民使用。施工期間會有噪音，館方已通知鄰近學校和商戶。圖書館網站會每月更新工程進度，居民亦可致電查詢。館方提及翻新後開放時間將延長至晚上十時，但星期日維持原有時間。</x:v>
      </x:c>
    </x:row>
    <x:row r="46" ht="79.19999694824219" hidden="0" customHeight="1">
      <x:c r="A46" s="15" t="str">
        <x:v>045</x:v>
      </x:c>
      <x:c r="B46" s="12" t="str">
        <x:v>ZH-GOOD-015</x:v>
      </x:c>
      <x:c r="C46" s="15" t="str">
        <x:v>015</x:v>
      </x:c>
      <x:c r="D46" s="12" t="str">
        <x:v>Good</x:v>
      </x:c>
      <x:c r="E46" s="16" t="n">
        <x:v>70</x:v>
      </x:c>
      <x:c r="F46" s="16" t="n">
        <x:v>84</x:v>
      </x:c>
      <x:c r="G46" s="14" t="str">
        <x:v>暖膳協會將於9月起在深水埗和葵青區擴展食物援助服務。協會目前每週服務約400個家庭，擴展後預計增至650個。受惠家庭可每週領取一次食物包，內容包括米、油、罐頭和新鮮蔬菜。蔬菜由新界三個有機農場以優惠價供應，其餘物資來自超市捐贈。申請資格為家庭月入低於中位數六成，需提交入息證明和住址證明。協會表示，審批一般在五個工作天內完成，緊急個案可即日處理。食物包在指定社區中心派發，時間為每週三和六下午。協會亦招募義工協助分類和包裝，每月需約30名義工輪值。因冷藏空間有限，生鮮食品數量或會因應季節調整，協會會提前在網站公佈。</x:v>
      </x:c>
    </x:row>
    <x:row r="47" ht="66" hidden="0" customHeight="1">
      <x:c r="A47" s="15" t="str">
        <x:v>046</x:v>
      </x:c>
      <x:c r="B47" s="12" t="str">
        <x:v>ZH-GOOD-016</x:v>
      </x:c>
      <x:c r="C47" s="15" t="str">
        <x:v>016</x:v>
      </x:c>
      <x:c r="D47" s="12" t="str">
        <x:v>Good</x:v>
      </x:c>
      <x:c r="E47" s="16" t="n">
        <x:v>70</x:v>
      </x:c>
      <x:c r="F47" s="16" t="n">
        <x:v>84</x:v>
      </x:c>
      <x:c r="G47" s="14" t="str">
        <x:v>彩城藝術社將於10月在黃大仙區三條天橋底進行壁畫創作，主題為「社區記憶」。計劃邀請五位本地藝術家主筆，並招募20名社區居民擔任助手。壁畫總面積約180平方米，創作期為三星期。居民助手需年滿16歲，無需美術經驗，社方會提供兩日基礎培訓。完成後壁畫將塗上防紫外線保護層，預計可維持五至七年。項目獲區議會藝術發展基金撥款28萬元。彩城藝術社表示，創作期間天橋底會局部圍封，行人需使用臨時通道。社方會在天橋兩端張貼告示，提前一週通知。另外，社方計劃在完工後舉辦導賞活動，讓藝術家講述創作理念，日期待定。</x:v>
      </x:c>
    </x:row>
    <x:row r="48" ht="79.19999694824219" hidden="0" customHeight="1">
      <x:c r="A48" s="15" t="str">
        <x:v>047</x:v>
      </x:c>
      <x:c r="B48" s="12" t="str">
        <x:v>ZH-GOOD-017</x:v>
      </x:c>
      <x:c r="C48" s="15" t="str">
        <x:v>017</x:v>
      </x:c>
      <x:c r="D48" s="12" t="str">
        <x:v>Good</x:v>
      </x:c>
      <x:c r="E48" s="16" t="n">
        <x:v>70</x:v>
      </x:c>
      <x:c r="F48" s="16" t="n">
        <x:v>84</x:v>
      </x:c>
      <x:c r="G48" s="14" t="str">
        <x:v>土木工程署將於秋季展開大埔至沙田單車徑改善工程，全長約12公里。工程包括重鋪路面、加寬部分彎位，以及在五個休息點增設遮雨亭和飲水機。施工期預計四個月，期間單車徑會分段封閉，署方會設置臨時改道指示。工程費用約3,800萬元。署方表示，改善後路面會採用防滑物料，減少雨天意外。另外，沿途會增設夜間反光標記和太陽能路燈。施工期間星期日會有大型機械進場，踩單車人士需留意臨時封路安排。署方已在大埔和沙田的社區中心張貼工程時間表，居民亦可於署方網站查閱詳細分段圖。工程完成後，署方會進行一個月試行期收集用家意見，再作微調。</x:v>
      </x:c>
    </x:row>
    <x:row r="49" ht="66" hidden="0" customHeight="1">
      <x:c r="A49" s="15" t="str">
        <x:v>048</x:v>
      </x:c>
      <x:c r="B49" s="12" t="str">
        <x:v>ZH-GOOD-018</x:v>
      </x:c>
      <x:c r="C49" s="15" t="str">
        <x:v>018</x:v>
      </x:c>
      <x:c r="D49" s="12" t="str">
        <x:v>Good</x:v>
      </x:c>
      <x:c r="E49" s="16" t="n">
        <x:v>70</x:v>
      </x:c>
      <x:c r="F49" s="16" t="n">
        <x:v>84</x:v>
      </x:c>
      <x:c r="G49" s="14" t="str">
        <x:v>心晴社將於9月至12月在元朗區舉辦八場心理健康工作坊，主題涵蓋壓力管理、情緒辨識和正念練習。每場工作坊限額35人，對象為18歲以上居民，優先接受照顧者和輪班工作者。工作坊由註冊臨床心理學家主持，每場兩小時，設於元朗社區會堂。參加者無需付費，但需預先報名。心晴社表示，工作坊內容以互動練習為主，並非治療課程，如有需要會轉介至社署資助的輔導服務。報名於8月中開始，可經網站或電話登記。社方提及，參加者資料會嚴格保密，工作坊內不會進行錄影。因場地所限，每場工作坊不設兒童托管服務，參加者需自行安排。</x:v>
      </x:c>
    </x:row>
    <x:row r="50" ht="79.19999694824219" hidden="0" customHeight="1">
      <x:c r="A50" s="15" t="str">
        <x:v>049</x:v>
      </x:c>
      <x:c r="B50" s="12" t="str">
        <x:v>ZH-GOOD-019</x:v>
      </x:c>
      <x:c r="C50" s="15" t="str">
        <x:v>019</x:v>
      </x:c>
      <x:c r="D50" s="12" t="str">
        <x:v>Good</x:v>
      </x:c>
      <x:c r="E50" s="16" t="n">
        <x:v>70</x:v>
      </x:c>
      <x:c r="F50" s="16" t="n">
        <x:v>84</x:v>
      </x:c>
      <x:c r="G50" s="14" t="str">
        <x:v>綠環科技將於8月起在屯門和荃灣推行電子廢物上門回收服務。居民可預約回收舊手機、電腦、打印機和小型家電，每次預約上限為五件。回收車輛每週二和五出動，預約需提前三個工作天透過網站或熱線進行。回收的電子產品會先進行數據清除，其後按狀況分類：仍可使用的會翻新後捐贈予學校和社福機構，其餘則拆解提取金屬物料。綠環科技表示，數據清除過程符合私隱條例標準，居民可要求即場見證。計劃首年目標為回收約50公噸電子廢物，其後會按半年公佈數據。公司獲環保基金資助120萬元。因處理能力所限，大型家電如雪櫃和洗衣機暫不接受，公司表示會視乎運作情況再作考慮。</x:v>
      </x:c>
    </x:row>
    <x:row r="51" ht="66" hidden="0" customHeight="1">
      <x:c r="A51" s="15" t="str">
        <x:v>050</x:v>
      </x:c>
      <x:c r="B51" s="12" t="str">
        <x:v>ZH-GOOD-020</x:v>
      </x:c>
      <x:c r="C51" s="15" t="str">
        <x:v>020</x:v>
      </x:c>
      <x:c r="D51" s="12" t="str">
        <x:v>Good</x:v>
      </x:c>
      <x:c r="E51" s="16" t="n">
        <x:v>70</x:v>
      </x:c>
      <x:c r="F51" s="16" t="n">
        <x:v>84</x:v>
      </x:c>
      <x:c r="G51" s="14" t="str">
        <x:v>和聲社將於9月成立屯門區社區合唱團，現正招募團員，名額約50人。合唱團歡迎18歲以上居民參加，無需音樂背景，但需通過簡單音準測試。排練定於每週四晚上七時半至九時半，地點在屯門大會堂排練室。指揮由一位資深音樂教師擔任，伴奏由志願鋼琴手負責。首年曲目以粵語和英語民歌為主，年底將於社區會堂進行匯演。團費為每季150元，用於樂譜印刷和場地租用。報名截止日期為8月25日，需填寫表格並註明聲部偏好。和聲社表示，排練期間團員需自行安排交通，大會堂設有收費停車場。如因排練室維修需臨時改期，社方會提前三日以短訊通知。</x:v>
      </x:c>
    </x:row>
    <x:row r="52" ht="66" hidden="0" customHeight="1">
      <x:c r="A52" s="15" t="str">
        <x:v>051</x:v>
      </x:c>
      <x:c r="B52" s="12" t="str">
        <x:v>ZH-GOOD-021</x:v>
      </x:c>
      <x:c r="C52" s="15" t="str">
        <x:v>021</x:v>
      </x:c>
      <x:c r="D52" s="12" t="str">
        <x:v>Good</x:v>
      </x:c>
      <x:c r="E52" s="16" t="n">
        <x:v>70</x:v>
      </x:c>
      <x:c r="F52" s="16" t="n">
        <x:v>84</x:v>
      </x:c>
      <x:c r="G52" s="14" t="str">
        <x:v>明燈教育中心將於新學年在觀塘區四間小學推行課後功課輔導計劃，服務對象為小一至小四學生。計劃每週一至五下午四時至六時進行，每間學校設兩個小組，每組最多15人。導師由大學生和退休教師組成，比例約為三比一。內容以中文、英文和數學功課輔導為主，亦設有閱讀時間。計劃由關愛基金撥款資助，學生無需繳費，但需由班主任推薦並經家長同意。明燈教育中心表示，導師會每月向家長提交簡短進度報告。因學校考試週期間課室需作試場，輔導服務會暫停一星期。中心提及，計劃首年以學業支援為主，其後會視乎需要加入社交技巧訓練環節。</x:v>
      </x:c>
    </x:row>
    <x:row r="53" ht="79.19999694824219" hidden="0" customHeight="1">
      <x:c r="A53" s="15" t="str">
        <x:v>052</x:v>
      </x:c>
      <x:c r="B53" s="12" t="str">
        <x:v>ZH-GOOD-022</x:v>
      </x:c>
      <x:c r="C53" s="15" t="str">
        <x:v>022</x:v>
      </x:c>
      <x:c r="D53" s="12" t="str">
        <x:v>Good</x:v>
      </x:c>
      <x:c r="E53" s="16" t="n">
        <x:v>70</x:v>
      </x:c>
      <x:c r="F53" s="16" t="n">
        <x:v>84</x:v>
      </x:c>
      <x:c r="G53" s="14" t="str">
        <x:v>康文署將於10月展開西貢海濱公園改善工程，預計明年2月完工。工程包括重鋪海濱長廊地磚、更換老化欄杆，以及在觀景台增設無障礙斜道。另外，公園內會加設六組健身器材和兩組兒童遊樂設施。工程期間公園會局部封閉，但海濱長廊主通道會維持開放。工程費用約2,100萬元，由區議會和康文署共同撥款。署方表示，新地磚會採用防滑設計，欄杆高度亦會提升至符合最新安全標準。施工期間星期日會有混凝土澆灌工程，屆時噪音較大，署方會提前張貼告示。居民可於康文署網站查閱工程時間表和封閉範圍圖。署方提及，完工後會進行為期兩星期的公眾試用期，收集意見後再作調整。</x:v>
      </x:c>
    </x:row>
    <x:row r="54" ht="79.19999694824219" hidden="0" customHeight="1">
      <x:c r="A54" s="15" t="str">
        <x:v>053</x:v>
      </x:c>
      <x:c r="B54" s="12" t="str">
        <x:v>ZH-GOOD-023</x:v>
      </x:c>
      <x:c r="C54" s="15" t="str">
        <x:v>023</x:v>
      </x:c>
      <x:c r="D54" s="12" t="str">
        <x:v>Good</x:v>
      </x:c>
      <x:c r="E54" s="16" t="n">
        <x:v>70</x:v>
      </x:c>
      <x:c r="F54" s="16" t="n">
        <x:v>84</x:v>
      </x:c>
      <x:c r="G54" s="14" t="str">
        <x:v>工商發展局將於9月推出小商戶數碼轉型資助計劃，預算為800萬元。合資格商戶可申請最高三萬元資助，用於建立網站、開設網上支付系統或購買收銀軟件。申請資格為年營業額低於500萬元且員工不多於十人的零售和餐飲商戶。資助以實報實銷形式發放，商戶需先自行墊付費用，其後提交單據申請發還。申請期為9月1日至11月30日，審批時間約四至六星期。工商發展局表示，計劃首年預計惠及約300間商戶。局方會舉辦三場簡介會，分別在旺角、荃灣和沙田舉行，講解申請流程和合資格開支範圍。局方提及，同一商戶不可同時申請其他政府數碼資助，但可疊加使用區議會的小型業務補貼。</x:v>
      </x:c>
    </x:row>
    <x:row r="55" ht="79.19999694824219" hidden="0" customHeight="1">
      <x:c r="A55" s="15" t="str">
        <x:v>054</x:v>
      </x:c>
      <x:c r="B55" s="12" t="str">
        <x:v>ZH-GOOD-024</x:v>
      </x:c>
      <x:c r="C55" s="15" t="str">
        <x:v>024</x:v>
      </x:c>
      <x:c r="D55" s="12" t="str">
        <x:v>Good</x:v>
      </x:c>
      <x:c r="E55" s="16" t="n">
        <x:v>70</x:v>
      </x:c>
      <x:c r="F55" s="16" t="n">
        <x:v>84</x:v>
      </x:c>
      <x:c r="G55" s="14" t="str">
        <x:v>環保署將於8月起在大埔和林村河進行全年水質監測計劃。署方會在河流上下游共設八個採樣點，每月採集水樣兩次，檢測項目包括溶氧量、大腸桿菌和重金屬含量。監測數據會每季上載至署方網站，市民可自行下載。環保署表示，計劃旨在建立基線數據，為日後的河道改善工程提供參考。如檢測結果超出安全標準，署方會即時通報漁護署和區議會。計劃獲大學環境科學系提供技術支援，採樣工作由外判承辦商執行。署方提及，暴雨後水質或會短暫波動，屬正常現象，市民無需過度擔憂。另外，署方歡迎居民舉報可疑排污行為，可致電舉報熱線或透過網站提交照片。</x:v>
      </x:c>
    </x:row>
    <x:row r="56" ht="66" hidden="0" customHeight="1">
      <x:c r="A56" s="15" t="str">
        <x:v>055</x:v>
      </x:c>
      <x:c r="B56" s="12" t="str">
        <x:v>ZH-GOOD-025</x:v>
      </x:c>
      <x:c r="C56" s="15" t="str">
        <x:v>025</x:v>
      </x:c>
      <x:c r="D56" s="12" t="str">
        <x:v>Good</x:v>
      </x:c>
      <x:c r="E56" s="16" t="n">
        <x:v>70</x:v>
      </x:c>
      <x:c r="F56" s="16" t="n">
        <x:v>84</x:v>
      </x:c>
      <x:c r="G56" s="14" t="str">
        <x:v>志聯服務處將於10月舉辦義工領袖培訓課程，為期六個星期六，每次三小時。課程內容包括團隊帶領技巧、活動策劃、危機處理和溝通方法。名額為40人，對象為已累積至少50小時義工服務經驗的在冊義工。導師由資深社工和企業培訓師擔任。完成課程並通過小組專案考核的學員，可獲頒領袖證書，其後可獲優先編排帶領社區活動。課程免費，由社署義工發展基金資助。報名截止日為9月20日，需由所屬義工團體主管推薦。志聯服務處表示，課程不設補堂安排，缺席超過兩堂者將不獲頒發證書。因場地關係，課程地點設於九龍灣培訓中心，參加者需自行前往。</x:v>
      </x:c>
    </x:row>
    <x:row r="57" ht="79.19999694824219" hidden="0" customHeight="1">
      <x:c r="A57" s="15" t="str">
        <x:v>056</x:v>
      </x:c>
      <x:c r="B57" s="12" t="str">
        <x:v>ZH-GOOD-026</x:v>
      </x:c>
      <x:c r="C57" s="15" t="str">
        <x:v>026</x:v>
      </x:c>
      <x:c r="D57" s="12" t="str">
        <x:v>Good</x:v>
      </x:c>
      <x:c r="E57" s="16" t="n">
        <x:v>70</x:v>
      </x:c>
      <x:c r="F57" s="16" t="n">
        <x:v>84</x:v>
      </x:c>
      <x:c r="G57" s="14" t="str">
        <x:v>區議會將於11月連續三個星期六在將軍澳海濱舉辦社區夜市，時間為下午五時至晚上十時。夜市設約60個攤位，涵蓋手工藝品、本地農產品和街頭小食。攤位申請於9月中開始，優先接受區內居民和社福機構。每個攤位收費200元，收益撥作社區活動基金。大會會提供桌椅和電源，攤主需自備裝飾和收銀設備。活動期間海濱長廊會實施人流管制，單向通行。區議會表示，夜市設有廢物分類回收站，攤主需使用可降解餐具。因鄰近民居，大會要求攤位於晚上十時前完成收拾，音響設備需控制音量。如遇八號或以上颱風信號，活動將順延一週，確實安排會於當日中午在網站公佈。</x:v>
      </x:c>
    </x:row>
    <x:row r="58" ht="79.19999694824219" hidden="0" customHeight="1">
      <x:c r="A58" s="15" t="str">
        <x:v>057</x:v>
      </x:c>
      <x:c r="B58" s="12" t="str">
        <x:v>ZH-GOOD-027</x:v>
      </x:c>
      <x:c r="C58" s="15" t="str">
        <x:v>027</x:v>
      </x:c>
      <x:c r="D58" s="12" t="str">
        <x:v>Good</x:v>
      </x:c>
      <x:c r="E58" s="16" t="n">
        <x:v>70</x:v>
      </x:c>
      <x:c r="F58" s="16" t="n">
        <x:v>84</x:v>
      </x:c>
      <x:c r="G58" s="14" t="str">
        <x:v>數碼共融協會將於9月在黃大仙和深水埗區開辦長者智能手機課程，每期四堂，每堂兩小時。課程內容涵蓋基本操作、即時通訊、網上繳費和防騙知識。每班限額20人，對象為60歲或以上居民，無需任何電腦基礎。導師由大學生義工和退休資訊科技從業員擔任，師生比例約為一比五。課程免費，由賽馬會慈善基金贊助。協會會提供平板電腦供課堂使用，但鼓勵參加者攜帶自己的手機以便回家練習。報名於8月初開始，可致電或親臨長者中心登記。協會表示，課程以粵語授課，教材字體較大方便閱讀。因義工導師時間所限，課程不設個別補課，缺席者可在下一期重新報名。</x:v>
      </x:c>
    </x:row>
    <x:row r="59" ht="79.19999694824219" hidden="0" customHeight="1">
      <x:c r="A59" s="15" t="str">
        <x:v>058</x:v>
      </x:c>
      <x:c r="B59" s="12" t="str">
        <x:v>ZH-GOOD-028</x:v>
      </x:c>
      <x:c r="C59" s="15" t="str">
        <x:v>028</x:v>
      </x:c>
      <x:c r="D59" s="12" t="str">
        <x:v>Good</x:v>
      </x:c>
      <x:c r="E59" s="16" t="n">
        <x:v>70</x:v>
      </x:c>
      <x:c r="F59" s="16" t="n">
        <x:v>84</x:v>
      </x:c>
      <x:c r="G59" s="14" t="str">
        <x:v>愛護動物協會將於秋季在離島區推行流浪貓隻管理計劃，為期一年。計劃內容包括為流浪貓進行絕育手術、接種疫苗和植入晶片，預計處理約200隻貓隻。協會會在五個定點設置誘捕籠，由受訓義工每日巡查。絕育後的貓隻會剪耳作標記，其後放回原處。計劃獲漁護署撥款55萬元及一間寵物食品公司贊助飼料。協會表示，計劃採用「捕捉、絕育、放回」模式，不會進行安樂死，除非貓隻患有嚴重傳染病。居民如發現受傷或患病流浪貓，可致電協會熱線報告。協會提及，計劃期間會每月在社區中心舉辦講座，講解如何與流浪動物共存。因義工人手有限，誘捕籠的巡查時間或會因天氣而調整。</x:v>
      </x:c>
    </x:row>
    <x:row r="60" ht="79.19999694824219" hidden="0" customHeight="1">
      <x:c r="A60" s="15" t="str">
        <x:v>059</x:v>
      </x:c>
      <x:c r="B60" s="12" t="str">
        <x:v>ZH-GOOD-029</x:v>
      </x:c>
      <x:c r="C60" s="15" t="str">
        <x:v>029</x:v>
      </x:c>
      <x:c r="D60" s="12" t="str">
        <x:v>Good</x:v>
      </x:c>
      <x:c r="E60" s="16" t="n">
        <x:v>70</x:v>
      </x:c>
      <x:c r="F60" s="16" t="n">
        <x:v>84</x:v>
      </x:c>
      <x:c r="G60" s="14" t="str">
        <x:v>綠能合作社將於10月在葵青區三座大廈天台安裝太陽能板，推行社區太陽能共享計劃。三座大廈天台總面積約1,500平方米，預計年發電量可供應約80戶家庭的基本用電。參與住戶每月可獲電費扣減，扣減金額視乎當月發電量而定。安裝工程為期六星期，期間住戶無需停電。工程費用約480萬元，由環境及自然保育基金資助七成，餘下由合作社成員集資。綠能合作社表示，太陽能板保養期為十年，期間由承辦商負責維修。大廈業主立案法團需通過決議方可參與，合作社已安排簡介會向業主講解細節。另外，合作社提及發電數據會每月上載至網站，住戶可查閱自己單位的扣減紀錄。</x:v>
      </x:c>
    </x:row>
    <x:row r="61" ht="79.19999694824219" hidden="0" customHeight="1">
      <x:c r="A61" s="15" t="str">
        <x:v>060</x:v>
      </x:c>
      <x:c r="B61" s="12" t="str">
        <x:v>ZH-GOOD-030</x:v>
      </x:c>
      <x:c r="C61" s="15" t="str">
        <x:v>030</x:v>
      </x:c>
      <x:c r="D61" s="12" t="str">
        <x:v>Good</x:v>
      </x:c>
      <x:c r="E61" s="16" t="n">
        <x:v>70</x:v>
      </x:c>
      <x:c r="F61" s="16" t="n">
        <x:v>84</x:v>
      </x:c>
      <x:c r="G61" s="14" t="str">
        <x:v>古物古蹟辦事處將於明年1月展開西營盤一級歷史建築的外牆維修工程，預計需時五個月。維修內容包括修補剝落灰塑、更換腐蝕木窗框，以及重鋪屋頂瓦片。工程期間建築內部會暫停開放參觀，但外圍行人通道維持通行。工程費用約950萬元，由發展局文物保育基金撥款。辦事處表示，所有維修物料會盡量採用與原建築相近的傳統工藝和材料，以保留歷史風貌。施工期間會有棚架搭建，辦事處會提前兩週通知鄰近商戶和居民。另外，辦事處計劃在完工後舉辦開放日，讓市民入內參觀修復成果，日期待定。因建築屬法定古蹟，任何改動需經古物諮詢委員會審批，辦事處提及審批程序或會影響實際開工日期。</x:v>
      </x:c>
    </x:row>
    <x:row r="62" ht="66" hidden="0" customHeight="1">
      <x:c r="A62" s="15" t="str">
        <x:v>061</x:v>
      </x:c>
      <x:c r="B62" s="12" t="str">
        <x:v>ZH-NORMAL-001</x:v>
      </x:c>
      <x:c r="C62" s="15" t="str">
        <x:v>001</x:v>
      </x:c>
      <x:c r="D62" s="12" t="str">
        <x:v>Normal</x:v>
      </x:c>
      <x:c r="E62" s="16" t="n">
        <x:v>50</x:v>
      </x:c>
      <x:c r="F62" s="16" t="n">
        <x:v>69</x:v>
      </x:c>
      <x:c r="G62" s="14" t="str">
        <x:v>港灣包裝先公布9月底會辦招聘活動，未來一年打算增聘數十人，同時荃灣柴灣角廠房也要擴建。公司會投資6,800萬元，增加兩條紙餐盒生產線，原因是外賣包裝需求上升，完成後產量預計多四成。
工程10月開始，明年3月試產，5月正式運作。施工會分開進行，所以送貨維持原來安排。新線採用水性塗層和循環用水，排放希望可以減少。附近商戶日後可查詢噪音和交通問題，不過擴建面積及查詢方法沒有一同公布，安排仍要再等資料。</x:v>
      </x:c>
    </x:row>
    <x:row r="63" ht="66" hidden="0" customHeight="1">
      <x:c r="A63" s="15" t="str">
        <x:v>062</x:v>
      </x:c>
      <x:c r="B63" s="12" t="str">
        <x:v>ZH-NORMAL-002</x:v>
      </x:c>
      <x:c r="C63" s="15" t="str">
        <x:v>002</x:v>
      </x:c>
      <x:c r="D63" s="12" t="str">
        <x:v>Normal</x:v>
      </x:c>
      <x:c r="E63" s="16" t="n">
        <x:v>50</x:v>
      </x:c>
      <x:c r="F63" s="16" t="n">
        <x:v>69</x:v>
      </x:c>
      <x:c r="G63" s="14" t="str">
        <x:v>啟航書院會在8月先收申請，對象是深水埗中一至中三學生，申請人要由學校或社工推薦，也要提交家庭資料。明途基金撥款支持計劃，提供120個名額，學生不用交學費，電腦和交通方面亦有部分幫助。
課程10月起逢星期六上課，大約半年，內容有機械人、編程及數據，最後要做一個社區科技作品，明年再展示。導師由教師、工程師和大專生擔任，每組有幾名學生。校方說甄選不是只看成績，學習動機也重要，表格可在網上取得或經學校遞交。</x:v>
      </x:c>
    </x:row>
    <x:row r="64" ht="66" hidden="0" customHeight="1">
      <x:c r="A64" s="15" t="str">
        <x:v>063</x:v>
      </x:c>
      <x:c r="B64" s="12" t="str">
        <x:v>ZH-NORMAL-003</x:v>
      </x:c>
      <x:c r="C64" s="15" t="str">
        <x:v>003</x:v>
      </x:c>
      <x:c r="D64" s="12" t="str">
        <x:v>Normal</x:v>
      </x:c>
      <x:c r="E64" s="16" t="n">
        <x:v>50</x:v>
      </x:c>
      <x:c r="F64" s="16" t="n">
        <x:v>69</x:v>
      </x:c>
      <x:c r="G64" s="14" t="str">
        <x:v>語港智能會在9月底先做網上示範，10月起讓企業登記「粵聲通」，月費由1,280元起，另有短期試用。這個人工智能平台給零售、餐飲和服務中小企使用，廣東話、英文電話及文字查詢都可以處理，商戶要先把產品資料放入系統。
退款和投訴會轉真人，信心不足的回答亦由系統分流。公司找過一些店舖試用一年，處理時間減少約三成，分派正確率有九成多。資料可放在香港雲端，企業決定保存多久。後台會顯示輪候及熱門問題，幾種功能集中在同一個畫面，使用上大致可以理解。</x:v>
      </x:c>
    </x:row>
    <x:row r="65" ht="66" hidden="0" customHeight="1">
      <x:c r="A65" s="15" t="str">
        <x:v>064</x:v>
      </x:c>
      <x:c r="B65" s="12" t="str">
        <x:v>ZH-NORMAL-004</x:v>
      </x:c>
      <x:c r="C65" s="15" t="str">
        <x:v>004</x:v>
      </x:c>
      <x:c r="D65" s="12" t="str">
        <x:v>Normal</x:v>
      </x:c>
      <x:c r="E65" s="16" t="n">
        <x:v>50</x:v>
      </x:c>
      <x:c r="F65" s="16" t="n">
        <x:v>69</x:v>
      </x:c>
      <x:c r="G65" s="14" t="str">
        <x:v>海景海濱11月中會舉行兩日文化墟，每日由上午11時至晚上8時，免費入場。文化協會估計約有一萬人到場。場內設數十個手作、食品及青年產品攤位，亦有粵劇和學生樂隊表演。
部分工作坊要到10月底網上預約。飲品杯先付20元，交還後退款。活動當日海濱路由早上起分段封閉，海景站約每20分鐘有接駁車。大雨時部分節目移到社區會堂，八號風球則取消。場地有無障礙通道，但入口位置到場才較清楚，節目改動也由主辦方再更新。</x:v>
      </x:c>
    </x:row>
    <x:row r="66" ht="66" hidden="0" customHeight="1">
      <x:c r="A66" s="15" t="str">
        <x:v>065</x:v>
      </x:c>
      <x:c r="B66" s="12" t="str">
        <x:v>ZH-NORMAL-005</x:v>
      </x:c>
      <x:c r="C66" s="15" t="str">
        <x:v>005</x:v>
      </x:c>
      <x:c r="D66" s="12" t="str">
        <x:v>Normal</x:v>
      </x:c>
      <x:c r="E66" s="16" t="n">
        <x:v>50</x:v>
      </x:c>
      <x:c r="F66" s="16" t="n">
        <x:v>69</x:v>
      </x:c>
      <x:c r="G66" s="14" t="str">
        <x:v>綠峰表示，88M青嶺邨至泊岸站小巴會延長試行，原本秋天停止的安排暫時不實行。早上班次較多人乘搭，但營辦商仍想觀察其他時段，路線會否長期保留還未決定。
秋天起，小巴會增停市政大樓和一個醫療地點，繁忙時間班次會密一些，加站後全程也會較長。周末服務維持原來安排，繁忙時間的實際班次要查看新時間表。公司年底再提交乘客資料，站牌稍後更新。對平日趕車的乘客來說，仍要重新預留時間。</x:v>
      </x:c>
    </x:row>
    <x:row r="67" ht="52.79999923706055" hidden="0" customHeight="1">
      <x:c r="A67" s="15" t="str">
        <x:v>066</x:v>
      </x:c>
      <x:c r="B67" s="12" t="str">
        <x:v>ZH-NORMAL-006</x:v>
      </x:c>
      <x:c r="C67" s="15" t="str">
        <x:v>006</x:v>
      </x:c>
      <x:c r="D67" s="12" t="str">
        <x:v>Normal</x:v>
      </x:c>
      <x:c r="E67" s="16" t="n">
        <x:v>50</x:v>
      </x:c>
      <x:c r="F67" s="16" t="n">
        <x:v>69</x:v>
      </x:c>
      <x:c r="G67" s="14" t="str">
        <x:v>鮮港將在部分分店試用可重用餐盒，計劃於秋天開始，參與分店名單稍後才在網上公布。顧客買熟食時可先付按金取盒，之後交回參與分店，款項以電子方式退還。期限和可否跨店交還，要在結帳資料再看清楚。
使用餐盒另有小額優惠，按金和減價會一加一減地計算。交回前要倒走食物，其後由合作機構處理，顧客在家不用做太多。公司想藉試驗減少即棄餐盒，完結後再決定是否擴大。沙律及麵食有沒有餐盒，仍要按各分店供應。</x:v>
      </x:c>
    </x:row>
    <x:row r="68" ht="52.79999923706055" hidden="0" customHeight="1">
      <x:c r="A68" s="15" t="str">
        <x:v>067</x:v>
      </x:c>
      <x:c r="B68" s="12" t="str">
        <x:v>ZH-NORMAL-007</x:v>
      </x:c>
      <x:c r="C68" s="15" t="str">
        <x:v>007</x:v>
      </x:c>
      <x:c r="D68" s="12" t="str">
        <x:v>Normal</x:v>
      </x:c>
      <x:c r="E68" s="16" t="n">
        <x:v>50</x:v>
      </x:c>
      <x:c r="F68" s="16" t="n">
        <x:v>69</x:v>
      </x:c>
      <x:c r="G68" s="14" t="str">
        <x:v>卓峰工業園預計明年1月先有兩幢廠房使用太陽能，整項工程由11月分階段展開，到5月才完成。園內八幢廠房天台會安裝3,200塊太陽能板，投資2,300萬元，估計可供公共照明和升降機約六成用電，但實際仍要等運作後才知道。
設備吊運多在星期日進行，租戶可照常營業，收到通知後要避開相關位置。天台已做負重及消防評估，電力先供公共地方，餘下才輸入電網。園方會公布發電數字，完工後找工程師驗收，減排估算約為七百多公噸。</x:v>
      </x:c>
    </x:row>
    <x:row r="69" ht="66" hidden="0" customHeight="1">
      <x:c r="A69" s="15" t="str">
        <x:v>068</x:v>
      </x:c>
      <x:c r="B69" s="12" t="str">
        <x:v>ZH-NORMAL-008</x:v>
      </x:c>
      <x:c r="C69" s="15" t="str">
        <x:v>008</x:v>
      </x:c>
      <x:c r="D69" s="12" t="str">
        <x:v>Normal</x:v>
      </x:c>
      <x:c r="E69" s="16" t="n">
        <x:v>50</x:v>
      </x:c>
      <x:c r="F69" s="16" t="n">
        <x:v>69</x:v>
      </x:c>
      <x:c r="G69" s="14" t="str">
        <x:v>新界閱讀服務處將於秋天試行流動圖書車，先到元朗和其他新界地區，讓偏遠居民在指定日子借書。站點時間要到8月尾才張貼，每處一星期到訪數次，停留多久則不完全一樣。
車上有中英文書，包括兒童讀物和大字版書籍。會員可借還書，未入會居民要帶資料到場辦理，再由職員查看。車內亦有平板電腦，職員會協助使用電子書，輪椅上落也有設備。打風或大雨時班次可能改動，消息會放上網站。服務試行一段時間後再看哪些站較多人，路線未必維持原樣。</x:v>
      </x:c>
    </x:row>
    <x:row r="70" ht="79.19999694824219" hidden="0" customHeight="1">
      <x:c r="A70" s="15" t="str">
        <x:v>069</x:v>
      </x:c>
      <x:c r="B70" s="12" t="str">
        <x:v>ZH-NORMAL-009</x:v>
      </x:c>
      <x:c r="C70" s="15" t="str">
        <x:v>009</x:v>
      </x:c>
      <x:c r="D70" s="12" t="str">
        <x:v>Normal</x:v>
      </x:c>
      <x:c r="E70" s="16" t="n">
        <x:v>50</x:v>
      </x:c>
      <x:c r="F70" s="16" t="n">
        <x:v>69</x:v>
      </x:c>
      <x:c r="G70" s="14" t="str">
        <x:v>清感科技將於秋天推出AirSense Mini，並會先在九龍灣示範。產品供住宅及小店查看室內空氣，機身燈色會隨狀況轉變，也量度粉塵、氣體、溫度和濕度。連接網絡後，用戶要在手機內再找不同讀數和通風提示。
用戶可查看一段時間的紀錄，亦可刪除雲端資料。產品售價數百元，家庭基本功能不另收月費，商戶同時查看多部裝置則要付服務費。公司曾在一些餐廳試用，之後調整提示。產品只提供環境資料，保養和校準分開處理，預訂與正式發售也相隔一段時間。</x:v>
      </x:c>
    </x:row>
    <x:row r="71" ht="66" hidden="0" customHeight="1">
      <x:c r="A71" s="15" t="str">
        <x:v>070</x:v>
      </x:c>
      <x:c r="B71" s="12" t="str">
        <x:v>ZH-NORMAL-010</x:v>
      </x:c>
      <x:c r="C71" s="15" t="str">
        <x:v>010</x:v>
      </x:c>
      <x:c r="D71" s="12" t="str">
        <x:v>Normal</x:v>
      </x:c>
      <x:c r="E71" s="16" t="n">
        <x:v>50</x:v>
      </x:c>
      <x:c r="F71" s="16" t="n">
        <x:v>69</x:v>
      </x:c>
      <x:c r="G71" s="14" t="str">
        <x:v>經緯物流先提到新增職位，葵青配送中心第二期則於10月初啟用，目前大部分人手已經聘請。工程投資1.6億元，增加12萬平方呎，令中心總面積達42萬平方呎。
新倉主要存放電商和零售貨物，板位增加約三成，分揀機每小時處理數千件包裹，條碼有問題才交人手查看。現有客戶的貨物由9月至11月分批搬遷，公司稱服務毋須停止。另一個溫控區明年才開放，不計入這次常溫容量。基本倉租暫時不變，個別價格仍各自商議，首季後才再看整體表現。</x:v>
      </x:c>
    </x:row>
    <x:row r="72" ht="66" hidden="0" customHeight="1">
      <x:c r="A72" s="15" t="str">
        <x:v>071</x:v>
      </x:c>
      <x:c r="B72" s="12" t="str">
        <x:v>ZH-NORMAL-011</x:v>
      </x:c>
      <x:c r="C72" s="15" t="str">
        <x:v>011</x:v>
      </x:c>
      <x:c r="D72" s="12" t="str">
        <x:v>Normal</x:v>
      </x:c>
      <x:c r="E72" s="16" t="n">
        <x:v>50</x:v>
      </x:c>
      <x:c r="F72" s="16" t="n">
        <x:v>69</x:v>
      </x:c>
      <x:c r="G72" s="14" t="str">
        <x:v>聲橋把護耳講座也放入計劃，居民要再上網查看日期及巡迴資料。計劃由8月3日至11月28日進行，隔音車先到晴橋邨，之後走訪九龍東其他屋苑，合共12個。60歲以上居民可免費參加，每日30個名額，7月20日起經電話或網站報名，現場有餘額也會接收。
檢查約25分鐘，先問病歷及用藥，再觀察耳道和播放聲音測試。職員完成後解釋初步結果，但不等同醫生診斷。有問題的人會安排轉介，結果說完後再由另一邊跟進。計劃預計服務1,080人，由明音基金撥款68萬元。</x:v>
      </x:c>
    </x:row>
    <x:row r="73" ht="66" hidden="0" customHeight="1">
      <x:c r="A73" s="15" t="str">
        <x:v>072</x:v>
      </x:c>
      <x:c r="B73" s="12" t="str">
        <x:v>ZH-NORMAL-012</x:v>
      </x:c>
      <x:c r="C73" s="15" t="str">
        <x:v>012</x:v>
      </x:c>
      <x:c r="D73" s="12" t="str">
        <x:v>Normal</x:v>
      </x:c>
      <x:c r="E73" s="16" t="n">
        <x:v>50</x:v>
      </x:c>
      <x:c r="F73" s="16" t="n">
        <x:v>69</x:v>
      </x:c>
      <x:c r="G73" s="14" t="str">
        <x:v>行動不便住戶可先聯絡管理處，預約樓梯機或職員陪同上落，再等候安排。翠庭苑三座共六部升降機，工程由8月10日做到12月18日，每次停用一部，同座另一部仍然運作。首部是一座東面升降機，每部大約停三星期。
工程費1,260萬元，由維修儲備支付，會更換摩打、控制板、門感應器和部分照明。施工由平日至星期六早上進行到傍晚，鑽鑿則縮短時段，居民要留意不同時間。進度會張貼在大堂及手機程式，零件如有延誤，管理處再另行通知。</x:v>
      </x:c>
    </x:row>
    <x:row r="74" ht="66" hidden="0" customHeight="1">
      <x:c r="A74" s="15" t="str">
        <x:v>073</x:v>
      </x:c>
      <x:c r="B74" s="12" t="str">
        <x:v>ZH-NORMAL-013</x:v>
      </x:c>
      <x:c r="C74" s="15" t="str">
        <x:v>013</x:v>
      </x:c>
      <x:c r="D74" s="12" t="str">
        <x:v>Normal</x:v>
      </x:c>
      <x:c r="E74" s="16" t="n">
        <x:v>50</x:v>
      </x:c>
      <x:c r="F74" s="16" t="n">
        <x:v>69</x:v>
      </x:c>
      <x:c r="G74" s="14" t="str">
        <x:v>開幕首月會抽出客房收入5%保育展品，而客房由8月1日起先接受預訂。織港館要到9月15日才在西九龍開幕，它由一座1958年紡織貨倉改建，工程做了三年，紅磚外牆和舊屋頂保留下來。
館內有48間客房、餐廳及免費展廊。展廊放置工人和居民借出的工具、布辦及訪問資料，酒店亦說每月會有廣東話導賞。旅遊巴要預約才可進入接送區，項目新增約20個職位。客房、展覽及交通幾項安排一起公布，資料算是集中但次序有些分散。</x:v>
      </x:c>
    </x:row>
    <x:row r="75" ht="66" hidden="0" customHeight="1">
      <x:c r="A75" s="15" t="str">
        <x:v>074</x:v>
      </x:c>
      <x:c r="B75" s="12" t="str">
        <x:v>ZH-NORMAL-014</x:v>
      </x:c>
      <x:c r="C75" s="15" t="str">
        <x:v>014</x:v>
      </x:c>
      <x:c r="D75" s="12" t="str">
        <x:v>Normal</x:v>
      </x:c>
      <x:c r="E75" s="16" t="n">
        <x:v>50</x:v>
      </x:c>
      <x:c r="F75" s="16" t="n">
        <x:v>69</x:v>
      </x:c>
      <x:c r="G75" s="14" t="str">
        <x:v>浪升足球盃冠軍可獲3萬元器材資助，而參賽隊伍毋須付費。賽事於10月3及4日在將軍澳啟航運動場舉行，對象是U15學校和社區隊，共16隊，每隊最多15名球員。
首日踢分組賽，次日由八強一路進行至決賽。隊伍會按地區和男女比例甄選，報名期由7月20日至8月14日，球員須於2011年1月1日或之後出生。觀眾免費入場，現場有飲水和急救設施。若天氣不適合，賽事改至10月10及11日，當日早上再經網站或短訊通知。</x:v>
      </x:c>
    </x:row>
    <x:row r="76" ht="79.19999694824219" hidden="0" customHeight="1">
      <x:c r="A76" s="15" t="str">
        <x:v>075</x:v>
      </x:c>
      <x:c r="B76" s="12" t="str">
        <x:v>ZH-NORMAL-015</x:v>
      </x:c>
      <x:c r="C76" s="15" t="str">
        <x:v>015</x:v>
      </x:c>
      <x:c r="D76" s="12" t="str">
        <x:v>Normal</x:v>
      </x:c>
      <x:c r="E76" s="16" t="n">
        <x:v>50</x:v>
      </x:c>
      <x:c r="F76" s="16" t="n">
        <x:v>69</x:v>
      </x:c>
      <x:c r="G76" s="14" t="str">
        <x:v>兩場工作坊由8月1日起接受報名，每場40人，不過活動要到平台推出當日下午才舉行。北角城市記憶館將於8月20日上載首批8,400項舊資料，年代由1945年至2000年，包括相片、地圖、單據及口述訪問，平台免費並設中英文介面。
資料由420名居民和商戶借出或捐贈，整理工作用了18個月，獲基金320萬元資助。涉及版權或私隱的項目只展示節錄，取得授權的才可下載高解像版本。研究員核對後，市民仍可提交證據更正。平台明年還會加入工業和渡海交通內容。</x:v>
      </x:c>
    </x:row>
    <x:row r="77" ht="66" hidden="0" customHeight="1">
      <x:c r="A77" s="15" t="str">
        <x:v>076</x:v>
      </x:c>
      <x:c r="B77" s="12" t="str">
        <x:v>ZH-NORMAL-016</x:v>
      </x:c>
      <x:c r="C77" s="15" t="str">
        <x:v>016</x:v>
      </x:c>
      <x:c r="D77" s="12" t="str">
        <x:v>Normal</x:v>
      </x:c>
      <x:c r="E77" s="16" t="n">
        <x:v>50</x:v>
      </x:c>
      <x:c r="F77" s="16" t="n">
        <x:v>69</x:v>
      </x:c>
      <x:c r="G77" s="14" t="str">
        <x:v>金穗在首三個月會每星期抽查標籤，發現錯漏的產品先停售。新標示9月1日起在18間店使用，涉及約120款麵包、蛋糕和小食。貨架以圖示列出奶、蛋、花生等成分，完整材料則要用手機掃碼查看。
由於工場共用不少焗爐，即使產品沒有加入某種材料，製作時仍可能接觸。嚴重過敏顧客最好自行向店員查詢。公司表示，之前已盤點九個月，員工也接受培訓。配方改動時會先更新網頁，實體標籤到下一批才更換，前後可能有一段時間不完全相同。</x:v>
      </x:c>
    </x:row>
    <x:row r="78" ht="66" hidden="0" customHeight="1">
      <x:c r="A78" s="15" t="str">
        <x:v>077</x:v>
      </x:c>
      <x:c r="B78" s="12" t="str">
        <x:v>ZH-NORMAL-017</x:v>
      </x:c>
      <x:c r="C78" s="15" t="str">
        <x:v>017</x:v>
      </x:c>
      <x:c r="D78" s="12" t="str">
        <x:v>Normal</x:v>
      </x:c>
      <x:c r="E78" s="16" t="n">
        <x:v>50</x:v>
      </x:c>
      <x:c r="F78" s="16" t="n">
        <x:v>69</x:v>
      </x:c>
      <x:c r="G78" s="14" t="str">
        <x:v>講義會在課後一星期放上網。這個工作坊由同心信貸及東岸商戶聯盟合辦，8月26日下午在觀塘創業匯舉行，提供80個免費名額，以廣東話講解小企業現金流。
一名會計師及合作社主管會介紹13星期預測、收款、借貸成本和付款騙案。練習使用虛構店舖，參加者不用交出自己的銀行結單。僱員20人以下企業優先，每間最多兩人，7月22日至8月19日網上登記，結果之後用電郵通知。場地提供字幕，輪椅也可以進入。</x:v>
      </x:c>
    </x:row>
    <x:row r="79" ht="66" hidden="0" customHeight="1">
      <x:c r="A79" s="15" t="str">
        <x:v>078</x:v>
      </x:c>
      <x:c r="B79" s="12" t="str">
        <x:v>ZH-NORMAL-018</x:v>
      </x:c>
      <x:c r="C79" s="15" t="str">
        <x:v>018</x:v>
      </x:c>
      <x:c r="D79" s="12" t="str">
        <x:v>Normal</x:v>
      </x:c>
      <x:c r="E79" s="16" t="n">
        <x:v>50</x:v>
      </x:c>
      <x:c r="F79" s="16" t="n">
        <x:v>69</x:v>
      </x:c>
      <x:c r="G79" s="14" t="str">
        <x:v>封橋時，行人要改到河畔道燈號過路處，多走約280米，輪椅及嬰兒車也應可使用。河閘行人天橋由8月17日維修至11月6日，連接港盛商場，840萬元工程主要處理防水層、接縫、鋼架及LED燈。
日間保留1.5米通道，逢星期一至四晚上11時至翌晨5時全段封閉運送材料。另外，9月12至13日及10月17至18日也全日封橋，日期較多要分開留意。現場有方向牌，繁忙時間有人協助，隔音屏用來減少噪音。如天氣或檢測影響，日期可能再改，網站、現場及商場會分別作出通知。</x:v>
      </x:c>
    </x:row>
    <x:row r="80" ht="66" hidden="0" customHeight="1">
      <x:c r="A80" s="15" t="str">
        <x:v>079</x:v>
      </x:c>
      <x:c r="B80" s="12" t="str">
        <x:v>ZH-NORMAL-019</x:v>
      </x:c>
      <x:c r="C80" s="15" t="str">
        <x:v>019</x:v>
      </x:c>
      <x:c r="D80" s="12" t="str">
        <x:v>Normal</x:v>
      </x:c>
      <x:c r="E80" s="16" t="n">
        <x:v>50</x:v>
      </x:c>
      <x:c r="F80" s="16" t="n">
        <x:v>69</x:v>
      </x:c>
      <x:c r="G80" s="14" t="str">
        <x:v>試行首兩星期逢星期一和三，和景街市會有人協助長者連接免費Wi-Fi。服務名為「市集通」，由9月7日試行至明年2月底，濕貨區、熟食中心及座位附近都有接達點。
每次上網60分鐘，到時後可以重新連接，每部裝置速度最多20Mbps。使用者不用填姓名或電話，只須同意條款，但裝置識別碼及連線時間會保存約30日，瀏覽內容則表示不會保留。付款時，街市又建議市民使用自己的可信網絡。計劃獲190萬元資助，完成後再按使用人數和速度決定是否繼續。</x:v>
      </x:c>
    </x:row>
    <x:row r="81" ht="66" hidden="0" customHeight="1">
      <x:c r="A81" s="15" t="str">
        <x:v>080</x:v>
      </x:c>
      <x:c r="B81" s="12" t="str">
        <x:v>ZH-NORMAL-020</x:v>
      </x:c>
      <x:c r="C81" s="15" t="str">
        <x:v>020</x:v>
      </x:c>
      <x:c r="D81" s="12" t="str">
        <x:v>Normal</x:v>
      </x:c>
      <x:c r="E81" s="16" t="n">
        <x:v>50</x:v>
      </x:c>
      <x:c r="F81" s="16" t="n">
        <x:v>69</x:v>
      </x:c>
      <x:c r="G81" s="14" t="str">
        <x:v>開幕首七日充電費八折，但佔位費仍照常收取。VoltBay將於10月12日在東臨工業區開放，場站全日服務，共有24個充電位，快充和交流位置都有，兩種充電分開計價。
直流充電每度3.2元，交流每度2.4元，完成後超過15分鐘便開始收佔位費。車主可用手機預約時段，也可到場拍卡，不一定先成為會員。太陽能供應一部分電力，電池在繁忙時段協助調節。職員由上午7時至晚上11時在場，其餘時段以對講機找支援人員。</x:v>
      </x:c>
    </x:row>
    <x:row r="82" ht="52.79999923706055" hidden="0" customHeight="1">
      <x:c r="A82" s="15" t="str">
        <x:v>081</x:v>
      </x:c>
      <x:c r="B82" s="12" t="str">
        <x:v>ZH-NORMAL-021</x:v>
      </x:c>
      <x:c r="C82" s="15" t="str">
        <x:v>021</x:v>
      </x:c>
      <x:c r="D82" s="12" t="str">
        <x:v>Normal</x:v>
      </x:c>
      <x:c r="E82" s="16" t="n">
        <x:v>50</x:v>
      </x:c>
      <x:c r="F82" s="16" t="n">
        <x:v>69</x:v>
      </x:c>
      <x:c r="G82" s="14" t="str">
        <x:v>東港大學最近公布城市熱島調查，在六區放置120個感應器，前後大約研究一年。結果說下午比較熱，商業地段平均比海旁高約2.8度，最嚴重的是一些沒有遮蔭的街口，但沒有逐一列出位置。
大學建議在巴士站和長者設施附近增加樹蔭及飲水點，居民會在秋天前後開會選擇地點，實際改善工程要再安排。數據已放上網，市民可自行下載。研究希望幫助規劃，也想令社區找出較熱地方，作用有幾方面但仍待落實。</x:v>
      </x:c>
    </x:row>
    <x:row r="83" ht="66" hidden="0" customHeight="1">
      <x:c r="A83" s="15" t="str">
        <x:v>082</x:v>
      </x:c>
      <x:c r="B83" s="12" t="str">
        <x:v>ZH-NORMAL-022</x:v>
      </x:c>
      <x:c r="C83" s="15" t="str">
        <x:v>022</x:v>
      </x:c>
      <x:c r="D83" s="12" t="str">
        <x:v>Normal</x:v>
      </x:c>
      <x:c r="E83" s="16" t="n">
        <x:v>50</x:v>
      </x:c>
      <x:c r="F83" s="16" t="n">
        <x:v>69</x:v>
      </x:c>
      <x:c r="G83" s="14" t="str">
        <x:v>安步社區服務社下月起在公共屋邨舉辦防火工作坊，一直做到年底，共有60場，涉及20個屋邨。課堂免費，內容包括逃生、火警鐘、滅火氈、充電安全，以及家中長者如何撤離。
消防人員和社工會做示範，參加者可取得幾種語言的家居檢查表。報名在7月下旬開始，各屋邨日期要自行再查。部分長者可安排上門查看，但這不是政府檢查，名額也未按地區分開。活動預計幫助3,000個家庭，成效明年再作跟進。</x:v>
      </x:c>
    </x:row>
    <x:row r="84" ht="66" hidden="0" customHeight="1">
      <x:c r="A84" s="15" t="str">
        <x:v>083</x:v>
      </x:c>
      <x:c r="B84" s="12" t="str">
        <x:v>ZH-NORMAL-023</x:v>
      </x:c>
      <x:c r="C84" s="15" t="str">
        <x:v>023</x:v>
      </x:c>
      <x:c r="D84" s="12" t="str">
        <x:v>Normal</x:v>
      </x:c>
      <x:c r="E84" s="16" t="n">
        <x:v>50</x:v>
      </x:c>
      <x:c r="F84" s="16" t="n">
        <x:v>69</x:v>
      </x:c>
      <x:c r="G84" s="14" t="str">
        <x:v>環織資源8月會在商場及屋苑放置40個舊衣回收箱，分布在多個地點。市民可投入乾淨衣物、床單、毛巾和布袋，鞋履及濕衣不要放入。
物品每星期送到新田，狀況較好的交給社福機構，破損的按布料分類再造。箱上的二維碼可查看收運批次，但不是逐件物品追蹤。公司希望一年回收300公噸，其後按季公布數字，居民不用付費。至於無法回收的布料，仍要交由公司再處理。</x:v>
      </x:c>
    </x:row>
    <x:row r="85" ht="66" hidden="0" customHeight="1">
      <x:c r="A85" s="15" t="str">
        <x:v>084</x:v>
      </x:c>
      <x:c r="B85" s="12" t="str">
        <x:v>ZH-NORMAL-024</x:v>
      </x:c>
      <x:c r="C85" s="15" t="str">
        <x:v>024</x:v>
      </x:c>
      <x:c r="D85" s="12" t="str">
        <x:v>Normal</x:v>
      </x:c>
      <x:c r="E85" s="16" t="n">
        <x:v>50</x:v>
      </x:c>
      <x:c r="F85" s="16" t="n">
        <x:v>69</x:v>
      </x:c>
      <x:c r="G85" s="14" t="str">
        <x:v>匠途協會將於秋天開辦青年學徒計劃，招收18至30歲人士，共60個名額。課程可學木工、金工、霓虹招牌及舞台道具，大部分時間在公司實習，另有安全和繪圖課。學員每月可獲一萬五千元，工具由合作企業處理，參與公司有十多間。
申請在8月上半月進行，沒有經驗也可報名，之後要面談和試做。完成一年培訓並通過作品評核可獲證書，企業只安排一次面試，不保證聘用。計劃前段學手藝，後段再轉向就業跟進，安排大概如此。</x:v>
      </x:c>
    </x:row>
    <x:row r="86" ht="66" hidden="0" customHeight="1">
      <x:c r="A86" s="15" t="str">
        <x:v>085</x:v>
      </x:c>
      <x:c r="B86" s="12" t="str">
        <x:v>ZH-NORMAL-025</x:v>
      </x:c>
      <x:c r="C86" s="15" t="str">
        <x:v>025</x:v>
      </x:c>
      <x:c r="D86" s="12" t="str">
        <x:v>Normal</x:v>
      </x:c>
      <x:c r="E86" s="16" t="n">
        <x:v>50</x:v>
      </x:c>
      <x:c r="F86" s="16" t="n">
        <x:v>69</x:v>
      </x:c>
      <x:c r="G86" s="14" t="str">
        <x:v>迅達購8月初擴大即日送貨，新增北嶺、河畔、新橋及海榮，連同原有地區合共十區。顧客在下午2時前付款，可選擇晚上收貨，運費38元，購物滿500元免運費。
並非所有貨品適用，冷藏食品、大型傢俬及跨境貨通常不送，商品須有相關標誌。公司會增加配送站及電動貨車，每日處理數千張訂單，各區分配多少仍未確定。打風、黑雨或封路時服務暫停，顧客可改期或退回運費。地址要到結帳頁才知道是否合資格，即日服務仍要先試地址，程序有點轉折。</x:v>
      </x:c>
    </x:row>
    <x:row r="87" ht="66" hidden="0" customHeight="1">
      <x:c r="A87" s="15" t="str">
        <x:v>086</x:v>
      </x:c>
      <x:c r="B87" s="12" t="str">
        <x:v>ZH-NORMAL-026</x:v>
      </x:c>
      <x:c r="C87" s="15" t="str">
        <x:v>026</x:v>
      </x:c>
      <x:c r="D87" s="12" t="str">
        <x:v>Normal</x:v>
      </x:c>
      <x:c r="E87" s="16" t="n">
        <x:v>50</x:v>
      </x:c>
      <x:c r="F87" s="16" t="n">
        <x:v>69</x:v>
      </x:c>
      <x:c r="G87" s="14" t="str">
        <x:v>銀匙社企9月起在四區試辦長者送餐，先服務約500名65歲以上、收入較低並獨居或兩老同住的居民。午餐逢星期一至五配送，每份10元，不另收送餐費，其他費用沒有再分開說明。
餐膳有普通、軟餐及糖尿病選擇，由多間餐廳負責。申請人不能直接訂餐，要經社福機構、醫療人員或屋邨辦事處轉介。配送員在中午前後上門，無人應門時會聯絡照顧者。計劃試行半年，結束後再看送達是否準時和長者的膳食意見。</x:v>
      </x:c>
    </x:row>
    <x:row r="88" ht="66" hidden="0" customHeight="1">
      <x:c r="A88" s="15" t="str">
        <x:v>087</x:v>
      </x:c>
      <x:c r="B88" s="12" t="str">
        <x:v>ZH-NORMAL-027</x:v>
      </x:c>
      <x:c r="C88" s="15" t="str">
        <x:v>027</x:v>
      </x:c>
      <x:c r="D88" s="12" t="str">
        <x:v>Normal</x:v>
      </x:c>
      <x:c r="E88" s="16" t="n">
        <x:v>50</x:v>
      </x:c>
      <x:c r="F88" s="16" t="n">
        <x:v>69</x:v>
      </x:c>
      <x:c r="G88" s="14" t="str">
        <x:v>星灣海濱8月下旬會舉辦光影活動，逢星期五至日晚上有兩場，每場約18分鐘，免費入場，活動到9月初結束。節目用投影、激光及音樂講港口故事，另有一些學生和藝術家的作品。
觀眾毋須預約，滿場後便停止進場，每場可容納數千人。活動日海濱東段改為單向步行，單車徑關閉，附近也沒有專用泊車位。星期六首場有口述影像，無障礙位置在活動前幾日登記，入口到時再找。打風或暴雨可能取消，出門前要自行查看。</x:v>
      </x:c>
    </x:row>
    <x:row r="89" ht="66" hidden="0" customHeight="1">
      <x:c r="A89" s="15" t="str">
        <x:v>088</x:v>
      </x:c>
      <x:c r="B89" s="12" t="str">
        <x:v>ZH-NORMAL-028</x:v>
      </x:c>
      <x:c r="C89" s="15" t="str">
        <x:v>028</x:v>
      </x:c>
      <x:c r="D89" s="12" t="str">
        <x:v>Normal</x:v>
      </x:c>
      <x:c r="E89" s="16" t="n">
        <x:v>50</x:v>
      </x:c>
      <x:c r="F89" s="16" t="n">
        <x:v>69</x:v>
      </x:c>
      <x:c r="G89" s="14" t="str">
        <x:v>新域製造在宏橋工業園興建機械人生產線，投資1.2億元，預計11月左右投入運作。38台機械人會裝嵌、檢查及包裝家居能源感應器，協作和檢測設備放在同一條生產線。
公司估計，月產量由25萬件增至40萬件，瑕疵率也會降低，但數字仍是估算。現有員工先接受培訓再轉崗，公司表示不會裁員，部分人監察設備，部分轉做品質工作。新線大部分電力來自再生能源，首批貨於年尾付運。運作半年後再看實際產量，能源數據也會一併了解。</x:v>
      </x:c>
    </x:row>
    <x:row r="90" ht="79.19999694824219" hidden="0" customHeight="1">
      <x:c r="A90" s="15" t="str">
        <x:v>089</x:v>
      </x:c>
      <x:c r="B90" s="12" t="str">
        <x:v>ZH-NORMAL-029</x:v>
      </x:c>
      <x:c r="C90" s="15" t="str">
        <x:v>029</x:v>
      </x:c>
      <x:c r="D90" s="12" t="str">
        <x:v>Normal</x:v>
      </x:c>
      <x:c r="E90" s="16" t="n">
        <x:v>50</x:v>
      </x:c>
      <x:c r="F90" s="16" t="n">
        <x:v>69</x:v>
      </x:c>
      <x:c r="G90" s="14" t="str">
        <x:v>守線科技協會8月起營運中小企網絡事故熱線3188 7711，全日有人接聽。僱員少於100人的本港公司，如遇勒索軟件、假電郵或帳戶被盜，可先詢問如何隔離裝置及更改密碼。
首兩小時遙距協助免費，之後如需上門或修復便會收費，企業要等職員報價後再決定。公司亦可用網上表格求助。個案資料保存一段時間，法律有需要時可能交給有關機構。若涉及人身安全，仍應使用緊急服務，這條熱線不是報警用途。首季希望接到不少查詢，是否處理完成則逐宗再看。</x:v>
      </x:c>
    </x:row>
    <x:row r="91" ht="66" hidden="0" customHeight="1">
      <x:c r="A91" s="15" t="str">
        <x:v>090</x:v>
      </x:c>
      <x:c r="B91" s="12" t="str">
        <x:v>ZH-NORMAL-030</x:v>
      </x:c>
      <x:c r="C91" s="15" t="str">
        <x:v>030</x:v>
      </x:c>
      <x:c r="D91" s="12" t="str">
        <x:v>Normal</x:v>
      </x:c>
      <x:c r="E91" s="16" t="n">
        <x:v>50</x:v>
      </x:c>
      <x:c r="F91" s="16" t="n">
        <x:v>69</x:v>
      </x:c>
      <x:c r="G91" s="14" t="str">
        <x:v>善港基金先說明第二階段復修安排，家居及小商戶可申請至8月底，餘下約720萬元會保留作這部分用途。截至7月中，水災善款收到2,860萬元，已撥出2,140萬元。
款項包括向受影響家庭每戶發放一萬元，也用於維修社區地方、購買清潔用品及臨時床具，幾項支出合在一起交代。基金表示，會計人員已查看帳目，未發現不當支出，受助者姓名不會公開。這是第一份收支資料，下一次約在9月底再公布，網站有分類數字，但居民要自行逐項查看。</x:v>
      </x:c>
    </x:row>
    <x:row r="92" ht="39.599998474121094" hidden="0" customHeight="1">
      <x:c r="A92" s="15" t="str">
        <x:v>091</x:v>
      </x:c>
      <x:c r="B92" s="12" t="str">
        <x:v>ZH-BAD-001</x:v>
      </x:c>
      <x:c r="C92" s="15" t="str">
        <x:v>001</x:v>
      </x:c>
      <x:c r="D92" s="12" t="str">
        <x:v>Bad</x:v>
      </x:c>
      <x:c r="E92" s="16" t="n">
        <x:v>30</x:v>
      </x:c>
      <x:c r="F92" s="16" t="n">
        <x:v>49</x:v>
      </x:c>
      <x:c r="G92" s="14" t="str">
        <x:v>荃灣一間包裝廠要加機器做外賣紙盒，港灣稱10月開始工程，但地方有幾大沒有講清。公司用幾千萬元，產量應該增加，現有貨就說照樣送。9月底又先辦招聘，工人可能未開工便等着。新機用水性技術，廢氣和水回收後就當較環保。附近有噪音和車輛只好先忍，明年試機再正式開，月份很多不用記得太準。</x:v>
      </x:c>
    </x:row>
    <x:row r="93" ht="39.599998474121094" hidden="0" customHeight="1">
      <x:c r="A93" s="15" t="str">
        <x:v>092</x:v>
      </x:c>
      <x:c r="B93" s="12" t="str">
        <x:v>ZH-BAD-002</x:v>
      </x:c>
      <x:c r="C93" s="15" t="str">
        <x:v>002</x:v>
      </x:c>
      <x:c r="D93" s="12" t="str">
        <x:v>Bad</x:v>
      </x:c>
      <x:c r="E93" s="16" t="n">
        <x:v>30</x:v>
      </x:c>
      <x:c r="F93" s="16" t="n">
        <x:v>49</x:v>
      </x:c>
      <x:c r="G93" s="14" t="str">
        <x:v>啟航10月辦科技班，主要給附近資源不多的初中生，報名很早就截止。學生要學校或社工推薦，自己交表未必可以。星期六學機械人和程式，最後還要做社區作品，教師、大學生和工程人員都來幫，誰教哪組到時才知。基金付錢所以不用學費，電腦交通是否人人都有再看。學校說不只看成績，肯學大概有機會，但名額不多。</x:v>
      </x:c>
    </x:row>
    <x:row r="94" ht="39.599998474121094" hidden="0" customHeight="1">
      <x:c r="A94" s="15" t="str">
        <x:v>093</x:v>
      </x:c>
      <x:c r="B94" s="12" t="str">
        <x:v>ZH-BAD-003</x:v>
      </x:c>
      <x:c r="C94" s="15" t="str">
        <x:v>003</x:v>
      </x:c>
      <x:c r="D94" s="12" t="str">
        <x:v>Bad</x:v>
      </x:c>
      <x:c r="E94" s="16" t="n">
        <x:v>30</x:v>
      </x:c>
      <x:c r="F94" s="16" t="n">
        <x:v>49</x:v>
      </x:c>
      <x:c r="G94" s="14" t="str">
        <x:v>語港有個粵語AI替商戶接電話，產品資料先放進去，它識答便答，不識就轉真人。餐廳和店舖可用，中英夾雜也說聽得明，退款投訴最好直接推給職員，免得系統搞錯。服務秋天收費，每月一千多元，先試幾日。公司找過一些店測試，稱速度快和分部門很準，數字也是公司自己計。資料放雲端多久由商戶設定，私隱方面商戶都要自己看實。</x:v>
      </x:c>
    </x:row>
    <x:row r="95" ht="39.599998474121094" hidden="0" customHeight="1">
      <x:c r="A95" s="15" t="str">
        <x:v>094</x:v>
      </x:c>
      <x:c r="B95" s="12" t="str">
        <x:v>ZH-BAD-004</x:v>
      </x:c>
      <x:c r="C95" s="15" t="str">
        <x:v>004</x:v>
      </x:c>
      <x:c r="D95" s="12" t="str">
        <x:v>Bad</x:v>
      </x:c>
      <x:c r="E95" s="16" t="n">
        <x:v>30</x:v>
      </x:c>
      <x:c r="F95" s="16" t="n">
        <x:v>49</x:v>
      </x:c>
      <x:c r="G95" s="14" t="str">
        <x:v>海景海邊11月辦兩日墟市，文化協會由早到晚做，不收門票。手作、食物、學生唱歌、粵劇和小朋友活動都有，節目太多，去到見到甚麼就看甚麼。飲品杯先付錢，交回才退，不想付便少喝一杯。活動日道路早上封閉，港鐵站雖有接駁車，塞車照樣可能發生。大雨把部分節目搬入會堂，大風就全部停，主辦方到時才在網上更新。</x:v>
      </x:c>
    </x:row>
    <x:row r="96" ht="39.599998474121094" hidden="0" customHeight="1">
      <x:c r="A96" s="15" t="str">
        <x:v>095</x:v>
      </x:c>
      <x:c r="B96" s="12" t="str">
        <x:v>ZH-BAD-005</x:v>
      </x:c>
      <x:c r="C96" s="15" t="str">
        <x:v>005</x:v>
      </x:c>
      <x:c r="D96" s="12" t="str">
        <x:v>Bad</x:v>
      </x:c>
      <x:c r="E96" s="16" t="n">
        <x:v>30</x:v>
      </x:c>
      <x:c r="F96" s="16" t="n">
        <x:v>49</x:v>
      </x:c>
      <x:c r="G96" s="14" t="str">
        <x:v>88M本來秋天停辦，綠峰又讓它行到年底，主要因早上有人搭。小巴由青嶺邨開去車站，中途加市政樓和醫院，開始日期乘客自己看站牌。加站後車程慢些，繁忙時間班次密些，其他時候便等久一點，周末仍會行。正價和優惠價大概照舊。公司叫乘客掃碼講意見，年底再決定保不保留，其實既然多人坐又試很久，仍然未肯直接長做。</x:v>
      </x:c>
    </x:row>
    <x:row r="97" ht="39.599998474121094" hidden="0" customHeight="1">
      <x:c r="A97" s="15" t="str">
        <x:v>096</x:v>
      </x:c>
      <x:c r="B97" s="12" t="str">
        <x:v>ZH-BAD-006</x:v>
      </x:c>
      <x:c r="C97" s="15" t="str">
        <x:v>006</x:v>
      </x:c>
      <x:c r="D97" s="12" t="str">
        <x:v>Bad</x:v>
      </x:c>
      <x:c r="E97" s="16" t="n">
        <x:v>30</x:v>
      </x:c>
      <x:c r="F97" s="16" t="n">
        <x:v>49</x:v>
      </x:c>
      <x:c r="G97" s="14" t="str">
        <x:v>鮮港幾間店秋天開始借飯盒，買熟食先多付一筆錢，交還盒後才退款。餐盒不用洗得很乾淨，倒掉食物便交，合作公司收去再洗，破爛的另行處理。一個月內還盒比較穩妥，遲了怎樣就問店員。用重用盒會便宜一點，但付款時先加按金又減優惠，趕時間容易以為自己買了盒。店名遲些才上網，未知道哪間可還就最好先別借。</x:v>
      </x:c>
    </x:row>
    <x:row r="98" ht="39.599998474121094" hidden="0" customHeight="1">
      <x:c r="A98" s="15" t="str">
        <x:v>097</x:v>
      </x:c>
      <x:c r="B98" s="12" t="str">
        <x:v>ZH-BAD-007</x:v>
      </x:c>
      <x:c r="C98" s="15" t="str">
        <x:v>007</x:v>
      </x:c>
      <x:c r="D98" s="12" t="str">
        <x:v>Bad</x:v>
      </x:c>
      <x:c r="E98" s="16" t="n">
        <x:v>30</x:v>
      </x:c>
      <x:c r="F98" s="16" t="n">
        <x:v>49</x:v>
      </x:c>
      <x:c r="G98" s="14" t="str">
        <x:v>屯門卓峰準備在幾幢廠房天台裝太陽能板，秋天施工，最快明年有電。租戶不用停業，但星期日有吊機便要自己避開，公司會提早通知。項目花幾千萬元，園方未運作已經估計公共地方可用大半電，又說減少很多碳。多出的電送入電網，收入再做其他工程。天台負重和消防說是看過，正式驗收卻排在供電後，機器先開着再找工程師看。</x:v>
      </x:c>
    </x:row>
    <x:row r="99" ht="39.599998474121094" hidden="0" customHeight="1">
      <x:c r="A99" s="15" t="str">
        <x:v>098</x:v>
      </x:c>
      <x:c r="B99" s="12" t="str">
        <x:v>ZH-BAD-008</x:v>
      </x:c>
      <x:c r="C99" s="15" t="str">
        <x:v>008</x:v>
      </x:c>
      <x:c r="D99" s="12" t="str">
        <x:v>Bad</x:v>
      </x:c>
      <x:c r="E99" s="16" t="n">
        <x:v>30</x:v>
      </x:c>
      <x:c r="F99" s="16" t="n">
        <x:v>49</x:v>
      </x:c>
      <x:c r="G99" s="14" t="str">
        <x:v>打風時圖書車不開，新界閱讀服務處平日派幾輛車到元朗、大埔和北區，9月先試行。每周到幾次，去哪條村要等告示，錯過只好下次。車上中英文書、小童書和長者書放在一起，會員借還，沒有證件就帶文件上車辦。職員要處理登記又教平板，繁忙時自然排隊。輪椅設備說是有，是否每車一樣到場再看，半年後人少的站可能不再去。</x:v>
      </x:c>
    </x:row>
    <x:row r="100" ht="39.599998474121094" hidden="0" customHeight="1">
      <x:c r="A100" s="15" t="str">
        <x:v>099</x:v>
      </x:c>
      <x:c r="B100" s="12" t="str">
        <x:v>ZH-BAD-009</x:v>
      </x:c>
      <x:c r="C100" s="15" t="str">
        <x:v>009</x:v>
      </x:c>
      <x:c r="D100" s="12" t="str">
        <x:v>Bad</x:v>
      </x:c>
      <x:c r="E100" s="16" t="n">
        <x:v>30</x:v>
      </x:c>
      <x:c r="F100" s="16" t="n">
        <x:v>49</x:v>
      </x:c>
      <x:c r="G100" s="14" t="str">
        <x:v>清感有部小機看室內空氣，秋天網上發售，家中和店舖都可以放。燈一變色就叫人開窗，粉塵和二氧化碳等數字普通人未必明，照看顏色便算。手機可保留一段紀錄，沒有網絡可能有些功能看不到。機價幾百元，商戶看多部要再月付，校準和保養又是另一回事。它不是醫療儀器，空氣不好只會亮燈，最後還是用戶自己處理。</x:v>
      </x:c>
    </x:row>
    <x:row r="101" ht="52.79999923706055" hidden="0" customHeight="1">
      <x:c r="A101" s="15" t="str">
        <x:v>100</x:v>
      </x:c>
      <x:c r="B101" s="12" t="str">
        <x:v>ZH-BAD-010</x:v>
      </x:c>
      <x:c r="C101" s="15" t="str">
        <x:v>010</x:v>
      </x:c>
      <x:c r="D101" s="12" t="str">
        <x:v>Bad</x:v>
      </x:c>
      <x:c r="E101" s="16" t="n">
        <x:v>30</x:v>
      </x:c>
      <x:c r="F101" s="16" t="n">
        <x:v>49</x:v>
      </x:c>
      <x:c r="G101" s="14" t="str">
        <x:v>葵青經緯的倉庫秋天擴大，舊客貨物早些開始搬，新區其後才開。公司花很多錢加地方和分貨機，電商貨可以放多些，條碼有錯就交人手處理。倉務和系統人員請了一批，但仍有職位未請齊，生產線照樣先開。明年另有凍倉，溫度按客戶需要再調。公司說基本租金不加，個別客戶仍可能不同價，生意逐個談。幾個月後才看是否準時，現在先當擴建有用。</x:v>
      </x:c>
    </x:row>
    <x:row r="102" ht="52.79999923706055" hidden="0" customHeight="1">
      <x:c r="A102" s="15" t="str">
        <x:v>101</x:v>
      </x:c>
      <x:c r="B102" s="12" t="str">
        <x:v>ZH-BAD-011</x:v>
      </x:c>
      <x:c r="C102" s="15" t="str">
        <x:v>011</x:v>
      </x:c>
      <x:c r="D102" s="12" t="str">
        <x:v>Bad</x:v>
      </x:c>
      <x:c r="E102" s="16" t="n">
        <x:v>30</x:v>
      </x:c>
      <x:c r="F102" s="16" t="n">
        <x:v>49</x:v>
      </x:c>
      <x:c r="G102" s="14" t="str">
        <x:v>聲橋有一輛聽力車，先說11月28日完結，8月3日才由晴橋邨開始，之後大概走九龍東12個屋苑。長者免費參加，預約或即場去似乎都可以，7月20日起電話和網站有資料。每次25分鐘，一日30個名額，車上問病歷、看耳和播放聲音，聽得差便轉去診所，這並不是正式看醫生。基金68萬元又包括講座，講座和檢查如何排沒有清楚說，屋苑名單還是自己上網找。</x:v>
      </x:c>
    </x:row>
    <x:row r="103" ht="52.79999923706055" hidden="0" customHeight="1">
      <x:c r="A103" s="15" t="str">
        <x:v>102</x:v>
      </x:c>
      <x:c r="B103" s="12" t="str">
        <x:v>ZH-BAD-012</x:v>
      </x:c>
      <x:c r="C103" s="15" t="str">
        <x:v>012</x:v>
      </x:c>
      <x:c r="D103" s="12" t="str">
        <x:v>Bad</x:v>
      </x:c>
      <x:c r="E103" s="16" t="n">
        <x:v>30</x:v>
      </x:c>
      <x:c r="F103" s="16" t="n">
        <x:v>49</x:v>
      </x:c>
      <x:c r="G103" s="14" t="str">
        <x:v>翠庭苑要維修升降機，8月10日先停一座東面，到12月才完成三座六部。每部停約三星期，同座另一部仍開着，所以管理處認為不算太麻煩，另一部若壞就只能等。工程費1,260萬元由維修儲備出，摩打、門和燈等都換，工人由早做到晚，鑽牆時段另計。輪椅住戶要先通知，可能安排樓梯機或職員陪同。大堂和手機程式貼相同進度，零件遲到便遲些再通知。</x:v>
      </x:c>
    </x:row>
    <x:row r="104" ht="52.79999923706055" hidden="0" customHeight="1">
      <x:c r="A104" s="15" t="str">
        <x:v>103</x:v>
      </x:c>
      <x:c r="B104" s="12" t="str">
        <x:v>ZH-BAD-013</x:v>
      </x:c>
      <x:c r="C104" s="15" t="str">
        <x:v>013</x:v>
      </x:c>
      <x:c r="D104" s="12" t="str">
        <x:v>Bad</x:v>
      </x:c>
      <x:c r="E104" s="16" t="n">
        <x:v>30</x:v>
      </x:c>
      <x:c r="F104" s="16" t="n">
        <x:v>49</x:v>
      </x:c>
      <x:c r="G104" s="14" t="str">
        <x:v>海織8月1日先收訂房，西九龍的織港館9月15日才開，未開的房已可預訂，酒店認為沒有問題。1958年舊貨倉改了三年，紅磚和路軌留下，內裏既是酒店又擺工人舊物。大約48間房，72件工具、布辦和訪問資料放在免費展廊，並不是全放客房，但消息混在一起。舊木梭又做家具，承重部分則用新料。項目投資1.8億元，會請人和辦導賞，客房收入抽5%保育展品，旅遊巴只說要預約。</x:v>
      </x:c>
    </x:row>
    <x:row r="105" ht="52.79999923706055" hidden="0" customHeight="1">
      <x:c r="A105" s="15" t="str">
        <x:v>104</x:v>
      </x:c>
      <x:c r="B105" s="12" t="str">
        <x:v>ZH-BAD-014</x:v>
      </x:c>
      <x:c r="C105" s="15" t="str">
        <x:v>014</x:v>
      </x:c>
      <x:c r="D105" s="12" t="str">
        <x:v>Bad</x:v>
      </x:c>
      <x:c r="E105" s="16" t="n">
        <x:v>30</x:v>
      </x:c>
      <x:c r="F105" s="16" t="n">
        <x:v>49</x:v>
      </x:c>
      <x:c r="G105" s="14" t="str">
        <x:v>浪升青年足球盃10月3及4日舉行，報名卻在7月至8月，隔很久才到將軍澳比賽。16隊每隊15人，有學校又有社區，入隊條件只說U15和2011年的出生日期。首日分組，第二日淘汰，可能一路踢至決賽。觀眾免費，參賽也是免費，場內有水和急救就算基本齊全。冠軍獲3萬元買器材。天氣不好改到10月10及11日，早上6時自己看網站，收不到短訊也只好再找。</x:v>
      </x:c>
    </x:row>
    <x:row r="106" ht="52.79999923706055" hidden="0" customHeight="1">
      <x:c r="A106" s="15" t="str">
        <x:v>105</x:v>
      </x:c>
      <x:c r="B106" s="12" t="str">
        <x:v>ZH-BAD-015</x:v>
      </x:c>
      <x:c r="C106" s="15" t="str">
        <x:v>015</x:v>
      </x:c>
      <x:c r="D106" s="12" t="str">
        <x:v>Bad</x:v>
      </x:c>
      <x:c r="E106" s="16" t="n">
        <x:v>30</x:v>
      </x:c>
      <x:c r="F106" s="16" t="n">
        <x:v>49</x:v>
      </x:c>
      <x:c r="G106" s="14" t="str">
        <x:v>北角記憶館8月20日把很多舊相放上網，同日下午又辦工作坊，每班40人，想參加要8月1日先報名。平台免費，工作坊也說免費。資料庫有8,400項，由1945年至2000年，除了相片還有單據和訪問。館方選部分資料供下載，涉及私隱便只給節錄。基金用320萬元整理18個月，居民和商戶交了不少資料，放上網就當人人方便。明年會再加內容，沒有報班的人之後自行摸索平台。</x:v>
      </x:c>
    </x:row>
    <x:row r="107" ht="52.79999923706055" hidden="0" customHeight="1">
      <x:c r="A107" s="15" t="str">
        <x:v>106</x:v>
      </x:c>
      <x:c r="B107" s="12" t="str">
        <x:v>ZH-BAD-016</x:v>
      </x:c>
      <x:c r="C107" s="15" t="str">
        <x:v>016</x:v>
      </x:c>
      <x:c r="D107" s="12" t="str">
        <x:v>Bad</x:v>
      </x:c>
      <x:c r="E107" s="16" t="n">
        <x:v>30</x:v>
      </x:c>
      <x:c r="F107" s="16" t="n">
        <x:v>49</x:v>
      </x:c>
      <x:c r="G107" s="14" t="str">
        <x:v>金穗9月1日起貼新致敏圖示，18間店約120款麵包、蛋糕和小食都包括。八類成分只舉奶、蛋和花生等，其他要掃碼自己看，沒有手機便問店員。工場焗爐共用，沒加某種材料也可能沾到，公司又說整理了九個月，所以似乎問題不大，但嚴重過敏人士仍要自行衡量。配方改動先更新網頁，包裝下一批才換，舊貨貼紙後照賣。最初幾個月會抽查，出錯便停售，何時重售沒有交代。</x:v>
      </x:c>
    </x:row>
    <x:row r="108" ht="52.79999923706055" hidden="0" customHeight="1">
      <x:c r="A108" s="15" t="str">
        <x:v>107</x:v>
      </x:c>
      <x:c r="B108" s="12" t="str">
        <x:v>ZH-BAD-017</x:v>
      </x:c>
      <x:c r="C108" s="15" t="str">
        <x:v>017</x:v>
      </x:c>
      <x:c r="D108" s="12" t="str">
        <x:v>Bad</x:v>
      </x:c>
      <x:c r="E108" s="16" t="n">
        <x:v>30</x:v>
      </x:c>
      <x:c r="F108" s="16" t="n">
        <x:v>49</x:v>
      </x:c>
      <x:c r="G108" s="14" t="str">
        <x:v>同心信貸和東岸商戶聯盟在觀塘辦免費課，80個位先給僱員20人以下企業，每間最多兩人，其他公司報名可能落空。課堂8月26日下午舉行，7月22日至8月19日報名，結果說用電郵通知，時間安排講得不太清。幾個小時內要講13星期現金流、追款、借貸成本和騙案，內容多應該很趕。練習用假店資料，不用交銀行結單，現場也不是賣貸款。講義稍後上網，未收到電郵的人仍要等。</x:v>
      </x:c>
    </x:row>
    <x:row r="109" ht="52.79999923706055" hidden="0" customHeight="1">
      <x:c r="A109" s="15" t="str">
        <x:v>108</x:v>
      </x:c>
      <x:c r="B109" s="12" t="str">
        <x:v>ZH-BAD-018</x:v>
      </x:c>
      <x:c r="C109" s="15" t="str">
        <x:v>018</x:v>
      </x:c>
      <x:c r="D109" s="12" t="str">
        <x:v>Bad</x:v>
      </x:c>
      <x:c r="E109" s="16" t="n">
        <x:v>30</x:v>
      </x:c>
      <x:c r="F109" s="16" t="n">
        <x:v>49</x:v>
      </x:c>
      <x:c r="G109" s="14" t="str">
        <x:v>連接港盛商場的河閘天橋8月至11月維修，日間留1.5米通道，夜晚又會封，哪天可過最好看現場牌。840萬元工程做防水、接縫、鋼架和換燈，完工後方便，但施工時要落地面過馬路。繞路約280米，輪椅也說可行，繁忙時間會否擠塞沒有說。星期一至四晚搬材料，9月及10月另有幾個周末全日封閉，日期記不住就到場再看。天氣差可能改期，網站大概早兩日公布。</x:v>
      </x:c>
    </x:row>
    <x:row r="110" ht="52.79999923706055" hidden="0" customHeight="1">
      <x:c r="A110" s="15" t="str">
        <x:v>109</x:v>
      </x:c>
      <x:c r="B110" s="12" t="str">
        <x:v>ZH-BAD-019</x:v>
      </x:c>
      <x:c r="C110" s="15" t="str">
        <x:v>019</x:v>
      </x:c>
      <x:c r="D110" s="12" t="str">
        <x:v>Bad</x:v>
      </x:c>
      <x:c r="E110" s="16" t="n">
        <x:v>30</x:v>
      </x:c>
      <x:c r="F110" s="16" t="n">
        <x:v>49</x:v>
      </x:c>
      <x:c r="G110" s="14" t="str">
        <x:v>和景街市9月開始提供免費上網，做到明年2月左右，濕貨區和熟食中心共有36個接達點。每次可用一小時，完結後再連便可以，所以時限看來又不太像時限。速度20Mbps，一般街坊未必知道快慢。署方稱不用交姓名，卻會保存裝置資料30日，又叫人付款時用自己的網絡，說明前後兜了一圈。計劃獲190萬元，首兩周某些日子有人教長者，之後才看是否繼續。</x:v>
      </x:c>
    </x:row>
    <x:row r="111" ht="52.79999923706055" hidden="0" customHeight="1">
      <x:c r="A111" s="15" t="str">
        <x:v>110</x:v>
      </x:c>
      <x:c r="B111" s="12" t="str">
        <x:v>ZH-BAD-020</x:v>
      </x:c>
      <x:c r="C111" s="15" t="str">
        <x:v>020</x:v>
      </x:c>
      <x:c r="D111" s="12" t="str">
        <x:v>Bad</x:v>
      </x:c>
      <x:c r="E111" s="16" t="n">
        <x:v>30</x:v>
      </x:c>
      <x:c r="F111" s="16" t="n">
        <x:v>49</x:v>
      </x:c>
      <x:c r="G111" s="14" t="str">
        <x:v>VoltBay在東臨10月12日開充電場，24小時有24個車位，但職員只由早上7時至晚上11時當值，深夜車主靠對講機求助。快充每度3.2元，慢充2.4元，價錢和車位放在一起講，車主到場再分。充完15分鐘後收佔位費，手機可預約30分鐘，超過時段又要再處理。開幕首星期八折，但佔位費照收。現場可拍卡，不入會也不一定要用手機，通告又把兩種方法混着講。</x:v>
      </x:c>
    </x:row>
    <x:row r="112" ht="52.79999923706055" hidden="0" customHeight="1">
      <x:c r="A112" s="15" t="str">
        <x:v>111</x:v>
      </x:c>
      <x:c r="B112" s="12" t="str">
        <x:v>ZH-BAD-021</x:v>
      </x:c>
      <x:c r="C112" s="15" t="str">
        <x:v>021</x:v>
      </x:c>
      <x:c r="D112" s="12" t="str">
        <x:v>Bad</x:v>
      </x:c>
      <x:c r="E112" s="16" t="n">
        <x:v>30</x:v>
      </x:c>
      <x:c r="F112" s="16" t="n">
        <x:v>49</x:v>
      </x:c>
      <x:c r="G112" s="14" t="str">
        <x:v>居民稍後要開會講哪些地方太熱，東港大學已先建議加樹蔭和飲水點。研究用感應器及測量車在幾區量了一年，去年開始，今年4月完結，8月才再叫居民選位置。商業區下午比海旁熱，研究人員說樓宇多，沒有樹的地方自然最熱。數據放上網讓人自己看，改善工程大概不會很快，一方面問居民，一方面又像已決定要做。研究公布後還要再計哪些地點最需要處理。</x:v>
      </x:c>
    </x:row>
    <x:row r="113" ht="39.599998474121094" hidden="0" customHeight="1">
      <x:c r="A113" s="15" t="str">
        <x:v>112</x:v>
      </x:c>
      <x:c r="B113" s="12" t="str">
        <x:v>ZH-BAD-022</x:v>
      </x:c>
      <x:c r="C113" s="15" t="str">
        <x:v>022</x:v>
      </x:c>
      <x:c r="D113" s="12" t="str">
        <x:v>Bad</x:v>
      </x:c>
      <x:c r="E113" s="16" t="n">
        <x:v>30</x:v>
      </x:c>
      <x:c r="F113" s="16" t="n">
        <x:v>49</x:v>
      </x:c>
      <x:c r="G113" s="14" t="str">
        <x:v>8月公共屋邨有防火課，安步辦到12月，地點很多，先去哪個屋邨要等通告。課堂會講逃生、火警鐘、電池和滅火氈，長者撤離又另外加入。主辦方稱免費，報名遲些開始，居民可能仍要問管理處。部分家庭可獲職員上門看風險，但不是每戶都有，也不是消防處正式檢查。總共60場，學完理論上安全很多，至於火警會否減少，活動完後再看。</x:v>
      </x:c>
    </x:row>
    <x:row r="114" ht="52.79999923706055" hidden="0" customHeight="1">
      <x:c r="A114" s="15" t="str">
        <x:v>113</x:v>
      </x:c>
      <x:c r="B114" s="12" t="str">
        <x:v>ZH-BAD-023</x:v>
      </x:c>
      <x:c r="C114" s="15" t="str">
        <x:v>023</x:v>
      </x:c>
      <x:c r="D114" s="12" t="str">
        <x:v>Bad</x:v>
      </x:c>
      <x:c r="E114" s="16" t="n">
        <x:v>30</x:v>
      </x:c>
      <x:c r="F114" s="16" t="n">
        <x:v>49</x:v>
      </x:c>
      <x:c r="G114" s="14" t="str">
        <x:v>環織下月開始收舊衣，商場和屋苑都有回收箱，位置要上網慢慢找。衣服最好洗乾淨才放，濕的不要，床單、毛巾和布袋大概可以，鞋不要亂塞。收走後，一部分交機構，另一部分運到新田變成材料，太破的布料可能再處理，如何分由工場決定。公司說這樣比較環保，市民照守規矩就好。箱滿時也不應放旁邊，但通知內沒有講怎樣做，數量日後才公布。</x:v>
      </x:c>
    </x:row>
    <x:row r="115" ht="52.79999923706055" hidden="0" customHeight="1">
      <x:c r="A115" s="15" t="str">
        <x:v>114</x:v>
      </x:c>
      <x:c r="B115" s="12" t="str">
        <x:v>ZH-BAD-024</x:v>
      </x:c>
      <x:c r="C115" s="15" t="str">
        <x:v>024</x:v>
      </x:c>
      <x:c r="D115" s="12" t="str">
        <x:v>Bad</x:v>
      </x:c>
      <x:c r="E115" s="16" t="n">
        <x:v>30</x:v>
      </x:c>
      <x:c r="F115" s="16" t="n">
        <x:v>49</x:v>
      </x:c>
      <x:c r="G115" s="14" t="str">
        <x:v>8月先報名，隔幾個月匠途才安排青年到企業學手藝。參加者大概30歲以下，沒經驗也說可以，但入圍又要試做和面談。木工、金工等會分到不同公司，學員多數落場實習，偶爾上安全和繪圖課，安全主要仍靠師傅一路看。每月有津貼，出勤少會否扣減沒有說。讀一年可能有證書，企業最多安排一次面試，所以參加不代表一定有工作。名額只有60個，想報便要快。</x:v>
      </x:c>
    </x:row>
    <x:row r="116" ht="52.79999923706055" hidden="0" customHeight="1">
      <x:c r="A116" s="15" t="str">
        <x:v>115</x:v>
      </x:c>
      <x:c r="B116" s="12" t="str">
        <x:v>ZH-BAD-025</x:v>
      </x:c>
      <x:c r="C116" s="15" t="str">
        <x:v>025</x:v>
      </x:c>
      <x:c r="D116" s="12" t="str">
        <x:v>Bad</x:v>
      </x:c>
      <x:c r="E116" s="16" t="n">
        <x:v>30</x:v>
      </x:c>
      <x:c r="F116" s="16" t="n">
        <x:v>49</x:v>
      </x:c>
      <x:c r="G116" s="14" t="str">
        <x:v>迅達購8月又說多幾區可即日送，但住在那些區也未必一定送到，客人要去結帳才知道。下午前落單大概晚上收貨，遲一點是否仍算即日沒有講清。運費有時收有時免，要看購物是否夠500元，冷藏和大件貨通常不接。公司增加車和配送站，聲稱每日可處理很多訂單，黑雨和打風便暫停。急用貨品最好別太相信「即日」，因為最後仍可能改期或只退運費。</x:v>
      </x:c>
    </x:row>
    <x:row r="117" ht="52.79999923706055" hidden="0" customHeight="1">
      <x:c r="A117" s="15" t="str">
        <x:v>116</x:v>
      </x:c>
      <x:c r="B117" s="12" t="str">
        <x:v>ZH-BAD-026</x:v>
      </x:c>
      <x:c r="C117" s="15" t="str">
        <x:v>026</x:v>
      </x:c>
      <x:c r="D117" s="12" t="str">
        <x:v>Bad</x:v>
      </x:c>
      <x:c r="E117" s="16" t="n">
        <x:v>30</x:v>
      </x:c>
      <x:c r="F117" s="16" t="n">
        <x:v>49</x:v>
      </x:c>
      <x:c r="G117" s="14" t="str">
        <x:v>9月有個長者送飯計劃，銀匙和基金在幾區推行，做半年但消息前後不太順。長者要低收入、獨居或兩老同住，又不能自己直接報名，要經別人轉介，很多人可能不知道找誰。平日中午送一份飯，每餐10元，餐廳和營養師處理軟餐及其他選擇。沒人開門，配送員便找聯絡人，不會一直等。計劃有幾百個名額，是否先到先得沒有交代，總之不是普通外賣服務。</x:v>
      </x:c>
    </x:row>
    <x:row r="118" ht="52.79999923706055" hidden="0" customHeight="1">
      <x:c r="A118" s="15" t="str">
        <x:v>117</x:v>
      </x:c>
      <x:c r="B118" s="12" t="str">
        <x:v>ZH-BAD-027</x:v>
      </x:c>
      <x:c r="C118" s="15" t="str">
        <x:v>027</x:v>
      </x:c>
      <x:c r="D118" s="12" t="str">
        <x:v>Bad</x:v>
      </x:c>
      <x:c r="E118" s="16" t="n">
        <x:v>30</x:v>
      </x:c>
      <x:c r="F118" s="16" t="n">
        <x:v>49</x:v>
      </x:c>
      <x:c r="G118" s="14" t="str">
        <x:v>海濱8月某個周末開始有燈光表演，逢星期五六日做，到9月又是周末。晚上7時多一場，8時多再一場，每場18分鐘。激光照建築再播音樂，免費入場，滿了才停止放人，主辦方到場數人頭。活動前單車徑封閉，行人只向一邊走，駕車人士自己找位。風雨時可能取消，到了才問便很麻煩。星期六口述影像放在首場，無障礙位又說早些到應該有，登記安排講得不一致。</x:v>
      </x:c>
    </x:row>
    <x:row r="119" ht="52.79999923706055" hidden="0" customHeight="1">
      <x:c r="A119" s="15" t="str">
        <x:v>118</x:v>
      </x:c>
      <x:c r="B119" s="12" t="str">
        <x:v>ZH-BAD-028</x:v>
      </x:c>
      <x:c r="C119" s="15" t="str">
        <x:v>028</x:v>
      </x:c>
      <x:c r="D119" s="12" t="str">
        <x:v>Bad</x:v>
      </x:c>
      <x:c r="E119" s="16" t="n">
        <x:v>30</x:v>
      </x:c>
      <x:c r="F119" s="16" t="n">
        <x:v>49</x:v>
      </x:c>
      <x:c r="G119" s="14" t="str">
        <x:v>宏橋工業園將有機械人生產線，新域花一大筆錢，說11月啟用，12月便出貨，兩個時間排得很急。機械人負責裝零件、檢查和包裝，產量說會由25萬件升至40萬件，但現有生產怎樣沒有多講。員工要上課再轉去看機器，公司口頭說不裁員，誰轉哪個崗位仍未安排。電力會用一些再生能源，實際資料半年後才計。自動化應該又快又準，但瑕疵只是降低，不是真的完全沒有。</x:v>
      </x:c>
    </x:row>
    <x:row r="120" ht="52.79999923706055" hidden="0" customHeight="1">
      <x:c r="A120" s="15" t="str">
        <x:v>119</x:v>
      </x:c>
      <x:c r="B120" s="12" t="str">
        <x:v>ZH-BAD-029</x:v>
      </x:c>
      <x:c r="C120" s="15" t="str">
        <x:v>029</x:v>
      </x:c>
      <x:c r="D120" s="12" t="str">
        <x:v>Bad</x:v>
      </x:c>
      <x:c r="E120" s="16" t="n">
        <x:v>30</x:v>
      </x:c>
      <x:c r="F120" s="16" t="n">
        <x:v>49</x:v>
      </x:c>
      <x:c r="G120" s="14" t="str">
        <x:v>8月起有條電腦事故熱線，守線協會說中小企遇到勒索軟件或帳戶被盜都可致電。電話全日開，分析員先做甚麼說得很闊，大概叫企業隔離裝置、改權限及保存紀錄。頭兩小時不用錢，之後上門維修可能收費，價錢由職員再報。網上也有表格，但公司資料最後交到哪裏說得不清。這不是警方電話，有人身危險要另找緊急服務。一般老闆打過去，仍不能當作問題已經處理完。</x:v>
      </x:c>
    </x:row>
    <x:row r="121" ht="52.79999923706055" hidden="0" customHeight="1">
      <x:c r="A121" s="15" t="str">
        <x:v>120</x:v>
      </x:c>
      <x:c r="B121" s="12" t="str">
        <x:v>ZH-BAD-030</x:v>
      </x:c>
      <x:c r="C121" s="15" t="str">
        <x:v>030</x:v>
      </x:c>
      <x:c r="D121" s="12" t="str">
        <x:v>Bad</x:v>
      </x:c>
      <x:c r="E121" s="16" t="n">
        <x:v>30</x:v>
      </x:c>
      <x:c r="F121" s="16" t="n">
        <x:v>49</x:v>
      </x:c>
      <x:c r="G121" s="14" t="str">
        <x:v>善港說水災善款已用掉大部分，先提還有七百多萬元，後來才說原本收到二千多萬元。款項派給受災家庭，也維修社區地方和購買床具、清潔用品，每一項誰先收到，基金叫市民自行看網站。行政工作也花了錢，他們認為不算多。會計師抽查一些單據後表示沒有問題，受助者姓名則因私隱不公開。餘款讓居民和小店在8月底前申請，是否人人合資格到時再問。這次有交代帳目，但仍要等下一份報告。</x:v>
      </x:c>
    </x:row>
    <x:row r="122" ht="39.599998474121094" hidden="0" customHeight="1">
      <x:c r="A122" s="15" t="str">
        <x:v>121</x:v>
      </x:c>
      <x:c r="B122" s="12" t="str">
        <x:v>ZH-EXTREMELY-BAD-001</x:v>
      </x:c>
      <x:c r="C122" s="15" t="str">
        <x:v>001</x:v>
      </x:c>
      <x:c r="D122" s="12" t="str">
        <x:v>Extremely Bad</x:v>
      </x:c>
      <x:c r="E122" s="16" t="n">
        <x:v>0</x:v>
      </x:c>
      <x:c r="F122" s="16" t="n">
        <x:v>29</x:v>
      </x:c>
      <x:c r="G122" s="14" t="str">
        <x:v>港灣包裝搬荃灣但廠本來又在荃灣，沒有搬，只在旁邊開多一間。工程9月說做完，10月才開工，明年試機而現在已出貨。兩部紙盒機令產量少四成，也是增加四成。公司先請人再停工，送貨不停但訂單全部停。水性廢氣倒進循環水就叫環保，居民打去一條還未開的電話問。</x:v>
      </x:c>
    </x:row>
    <x:row r="123" ht="39.599998474121094" hidden="0" customHeight="1">
      <x:c r="A123" s="15" t="str">
        <x:v>122</x:v>
      </x:c>
      <x:c r="B123" s="12" t="str">
        <x:v>ZH-EXTREMELY-BAD-002</x:v>
      </x:c>
      <x:c r="C123" s="15" t="str">
        <x:v>002</x:v>
      </x:c>
      <x:c r="D123" s="12" t="str">
        <x:v>Extremely Bad</x:v>
      </x:c>
      <x:c r="E123" s="16" t="n">
        <x:v>0</x:v>
      </x:c>
      <x:c r="F123" s="16" t="n">
        <x:v>29</x:v>
      </x:c>
      <x:c r="G123" s="14" t="str">
        <x:v>啟航STEM班說給小學生及中三以上，名單卻只收中一至中三。10月課程完了，8月再開始報名，星期六一次上足兩日。學生不用人推薦，同時必須兩間學校加社工一起推薦。基金給電腦但先收學費，免費名額也要收費。機械人、交通費和家庭證明都做成作品，明年4月展覽排在上課以前。</x:v>
      </x:c>
    </x:row>
    <x:row r="124" ht="39.599998474121094" hidden="0" customHeight="1">
      <x:c r="A124" s="15" t="str">
        <x:v>123</x:v>
      </x:c>
      <x:c r="B124" s="12" t="str">
        <x:v>ZH-EXTREMELY-BAD-003</x:v>
      </x:c>
      <x:c r="C124" s="15" t="str">
        <x:v>003</x:v>
      </x:c>
      <x:c r="D124" s="12" t="str">
        <x:v>Extremely Bad</x:v>
      </x:c>
      <x:c r="E124" s="16" t="n">
        <x:v>0</x:v>
      </x:c>
      <x:c r="F124" s="16" t="n">
        <x:v>29</x:v>
      </x:c>
      <x:c r="G124" s="14" t="str">
        <x:v>粵聲通是語港的真人AI，電話只有文字，所以電話沒有聲音。商戶不能放產品資料，系統又一定靠產品資料回答。退款由AI拒絕，真人接手了但其實沒有接。10月免費同時每月收一千多元，14日試用寫成一年。資料完全不保存，卻永久放在香港雲端。20間店已試未推出系統，速度和準確率混成同一個數字。</x:v>
      </x:c>
    </x:row>
    <x:row r="125" ht="39.599998474121094" hidden="0" customHeight="1">
      <x:c r="A125" s="15" t="str">
        <x:v>124</x:v>
      </x:c>
      <x:c r="B125" s="12" t="str">
        <x:v>ZH-EXTREMELY-BAD-004</x:v>
      </x:c>
      <x:c r="C125" s="15" t="str">
        <x:v>004</x:v>
      </x:c>
      <x:c r="D125" s="12" t="str">
        <x:v>Extremely Bad</x:v>
      </x:c>
      <x:c r="E125" s="16" t="n">
        <x:v>0</x:v>
      </x:c>
      <x:c r="F125" s="16" t="n">
        <x:v>29</x:v>
      </x:c>
      <x:c r="G125" s="14" t="str">
        <x:v>海景文化墟11月14日辦兩日便完結，15日又重新算第一日。海濱長廊搬去市民廣場，兩個場地只開一個也同時全開。免費入場要先付20元門票，交回飲品杯才退門票。上午11時關門，晚上8時開始活動。道路沒有封，接駁車因封路不能走，由A出口開回A出口。八號風球照辦，全部活動又在同一時間取消。</x:v>
      </x:c>
    </x:row>
    <x:row r="126" ht="39.599998474121094" hidden="0" customHeight="1">
      <x:c r="A126" s="15" t="str">
        <x:v>125</x:v>
      </x:c>
      <x:c r="B126" s="12" t="str">
        <x:v>ZH-EXTREMELY-BAD-005</x:v>
      </x:c>
      <x:c r="C126" s="15" t="str">
        <x:v>005</x:v>
      </x:c>
      <x:c r="D126" s="12" t="str">
        <x:v>Extremely Bad</x:v>
      </x:c>
      <x:c r="E126" s="16" t="n">
        <x:v>0</x:v>
      </x:c>
      <x:c r="F126" s="16" t="n">
        <x:v>29</x:v>
      </x:c>
      <x:c r="G126" s="14" t="str">
        <x:v>綠峰88M在9月底已停，12月仍然每日試行。車由青嶺邨去泊岸站，又不去兩個總站，10月才加的醫院站9月先拆。繁忙班次8小時一班，非繁忙每8分鐘，周末只在星期一服務。車費人人3元又人人6.5元，長者沒有優惠但所有乘客又都是長者。二維碼未收任何意見，已決定路線永久保留並永久取消。</x:v>
      </x:c>
    </x:row>
    <x:row r="127" ht="39.599998474121094" hidden="0" customHeight="1">
      <x:c r="A127" s="15" t="str">
        <x:v>126</x:v>
      </x:c>
      <x:c r="B127" s="12" t="str">
        <x:v>ZH-EXTREMELY-BAD-006</x:v>
      </x:c>
      <x:c r="C127" s="15" t="str">
        <x:v>006</x:v>
      </x:c>
      <x:c r="D127" s="12" t="str">
        <x:v>Extremely Bad</x:v>
      </x:c>
      <x:c r="E127" s="16" t="n">
        <x:v>0</x:v>
      </x:c>
      <x:c r="F127" s="16" t="n">
        <x:v>29</x:v>
      </x:c>
      <x:c r="G127" s="14" t="str">
        <x:v>鮮港把飯盒賣給顧客，20元是不用退的按金，顧客30日內又必須交回已買斷的盒。計劃10月結束，同一個10月才開始，12間店其實只得一間參與。熟食盒有優惠，付款後反而更貴。顧客在家高溫洗乾淨，中央清洗場便不用洗。破盒繼續借，完整盒即日丟，按金退給下一個顧客而不是交盒的人。</x:v>
      </x:c>
    </x:row>
    <x:row r="128" ht="39.599998474121094" hidden="0" customHeight="1">
      <x:c r="A128" s="15" t="str">
        <x:v>127</x:v>
      </x:c>
      <x:c r="B128" s="12" t="str">
        <x:v>ZH-EXTREMELY-BAD-007</x:v>
      </x:c>
      <x:c r="C128" s="15" t="str">
        <x:v>007</x:v>
      </x:c>
      <x:c r="D128" s="12" t="str">
        <x:v>Extremely Bad</x:v>
      </x:c>
      <x:c r="E128" s="16" t="n">
        <x:v>0</x:v>
      </x:c>
      <x:c r="F128" s="16" t="n">
        <x:v>29</x:v>
      </x:c>
      <x:c r="G128" s="14" t="str">
        <x:v>卓峰八幢廠房共用一個天台，太陽能板裝在地下的屋頂。工程明年5月才開始，1月已全部供電，11月又拆開再施工。租戶照常營業，也同一時間全園停工吊運。太陽能先送電網，公共照明用剩餘的電，沒有剩餘仍固定送四成。消防未評估便完成驗收，工程師明年來以前已簽了完成證明。</x:v>
      </x:c>
    </x:row>
    <x:row r="129" ht="39.599998474121094" hidden="0" customHeight="1">
      <x:c r="A129" s="15" t="str">
        <x:v>128</x:v>
      </x:c>
      <x:c r="B129" s="12" t="str">
        <x:v>ZH-EXTREMELY-BAD-008</x:v>
      </x:c>
      <x:c r="C129" s="15" t="str">
        <x:v>008</x:v>
      </x:c>
      <x:c r="D129" s="12" t="str">
        <x:v>Extremely Bad</x:v>
      </x:c>
      <x:c r="E129" s="16" t="n">
        <x:v>0</x:v>
      </x:c>
      <x:c r="F129" s="16" t="n">
        <x:v>29</x:v>
      </x:c>
      <x:c r="G129" s="14" t="str">
        <x:v>閱行新界是一架三輛圖書車，9月去元朗但同時不去元朗，改去北區。每站每星期服務兩日，每次停一整星期。居民有會員證反而不能借，沒有證可即刻借，身份資料既不用又必須提交。車上沒有書，四千多本書又全在三輛車裏。黑雨照常出車，未開出的班次已經回站，輪椅升降台只讓職員使用。</x:v>
      </x:c>
    </x:row>
    <x:row r="130" ht="52.79999923706055" hidden="0" customHeight="1">
      <x:c r="A130" s="15" t="str">
        <x:v>129</x:v>
      </x:c>
      <x:c r="B130" s="12" t="str">
        <x:v>ZH-EXTREMELY-BAD-009</x:v>
      </x:c>
      <x:c r="C130" s="15" t="str">
        <x:v>009</x:v>
      </x:c>
      <x:c r="D130" s="12" t="str">
        <x:v>Extremely Bad</x:v>
      </x:c>
      <x:c r="E130" s="16" t="n">
        <x:v>0</x:v>
      </x:c>
      <x:c r="F130" s="16" t="n">
        <x:v>29</x:v>
      </x:c>
      <x:c r="G130" s="14" t="str">
        <x:v>AirSense Mini在8月已停售，9月才首次發售。裝置量空氣又不量空氣，紅燈表示很好，綠燈叫人立刻通風。手機保存30年紀錄，每30日永久刪除但又完全不刪。家庭免費取機，售價仍是八百多元，商戶月費只能使用十分鐘。清感把未製造的感應器拿去餐廳試三個月，產品不是醫療診斷，又可以判斷病人。</x:v>
      </x:c>
    </x:row>
    <x:row r="131" ht="39.599998474121094" hidden="0" customHeight="1">
      <x:c r="A131" s="15" t="str">
        <x:v>130</x:v>
      </x:c>
      <x:c r="B131" s="12" t="str">
        <x:v>ZH-EXTREMELY-BAD-010</x:v>
      </x:c>
      <x:c r="C131" s="15" t="str">
        <x:v>010</x:v>
      </x:c>
      <x:c r="D131" s="12" t="str">
        <x:v>Extremely Bad</x:v>
      </x:c>
      <x:c r="E131" s="16" t="n">
        <x:v>0</x:v>
      </x:c>
      <x:c r="F131" s="16" t="n">
        <x:v>29</x:v>
      </x:c>
      <x:c r="G131" s="14" t="str">
        <x:v>經緯葵青倉第二期9月先關閉，10月才開工，貨物在倉庫未存在前已搬入再搬走。新區增加面積，中心反而少一半。凍倉現在開放但明年才建，所有常溫貨放在攝氏2度。分揀機每小時只分貨板，一件包裹也不分，條碼錯的自動退回又交人處理。所有職位已請齊，七成人仍未招聘。倉租不變，每名客戶即日加價。</x:v>
      </x:c>
    </x:row>
    <x:row r="132" ht="39.599998474121094" hidden="0" customHeight="1">
      <x:c r="A132" s="15" t="str">
        <x:v>131</x:v>
      </x:c>
      <x:c r="B132" s="12" t="str">
        <x:v>ZH-EXTREMELY-BAD-011</x:v>
      </x:c>
      <x:c r="C132" s="15" t="str">
        <x:v>011</x:v>
      </x:c>
      <x:c r="D132" s="12" t="str">
        <x:v>Extremely Bad</x:v>
      </x:c>
      <x:c r="E132" s="16" t="n">
        <x:v>0</x:v>
      </x:c>
      <x:c r="F132" s="16" t="n">
        <x:v>29</x:v>
      </x:c>
      <x:c r="G132" s="14" t="str">
        <x:v>聲橋8月3日把車開到晴橋，7月20日居民已在車上登記，車未開也先上了車。九龍東12個屋苑每日合共30個屋苑名額。計劃11月28日完，做完檢查的人有問題便再做一個完結。60歲免費看耳和播聲音，聽得到的人轉診所，這不是醫生，結果卻由車講。基金68萬元又辦講座，檢查和講座擠進同一句就當安排。</x:v>
      </x:c>
    </x:row>
    <x:row r="133" ht="39.599998474121094" hidden="0" customHeight="1">
      <x:c r="A133" s="15" t="str">
        <x:v>132</x:v>
      </x:c>
      <x:c r="B133" s="12" t="str">
        <x:v>ZH-EXTREMELY-BAD-012</x:v>
      </x:c>
      <x:c r="C133" s="15" t="str">
        <x:v>012</x:v>
      </x:c>
      <x:c r="D133" s="12" t="str">
        <x:v>Extremely Bad</x:v>
      </x:c>
      <x:c r="E133" s="16" t="n">
        <x:v>0</x:v>
      </x:c>
      <x:c r="F133" s="16" t="n">
        <x:v>29</x:v>
      </x:c>
      <x:c r="G133" s="14" t="str">
        <x:v>翠庭一座東面8月10日停用，三座六部同日逐部停至12月。每部停三星期，所以六部合起來仍然只停三星期。同座另一部照常開，但同座又說沒有升降機。輪椅住戶先找管理處上樓梯機，沒有機就由機器的人陪機器。1,260萬元換摩打、門和燈，工程延誤後才公布進度，公布完再決定升降機有沒有停。</x:v>
      </x:c>
    </x:row>
    <x:row r="134" ht="39.599998474121094" hidden="0" customHeight="1">
      <x:c r="A134" s="15" t="str">
        <x:v>133</x:v>
      </x:c>
      <x:c r="B134" s="12" t="str">
        <x:v>ZH-EXTREMELY-BAD-013</x:v>
      </x:c>
      <x:c r="C134" s="15" t="str">
        <x:v>013</x:v>
      </x:c>
      <x:c r="D134" s="12" t="str">
        <x:v>Extremely Bad</x:v>
      </x:c>
      <x:c r="E134" s="16" t="n">
        <x:v>0</x:v>
      </x:c>
      <x:c r="F134" s="16" t="n">
        <x:v>29</x:v>
      </x:c>
      <x:c r="G134" s="14" t="str">
        <x:v>海織8月1日先開房，9月15日才接受訂房，入住完成後再訂房就叫織港館開幕。西九龍1958年貨倉修了三年，變成48件客房，72間工人舊物放在房內。免費的是住客還是展廊，句子沒有接上。紅磚和路軌做家具，木梭變成承重的新料。酒店從住客收入抽5%再保育住客，旅遊巴預約後才可以訂房。</x:v>
      </x:c>
    </x:row>
    <x:row r="135" ht="39.599998474121094" hidden="0" customHeight="1">
      <x:c r="A135" s="15" t="str">
        <x:v>134</x:v>
      </x:c>
      <x:c r="B135" s="12" t="str">
        <x:v>ZH-EXTREMELY-BAD-014</x:v>
      </x:c>
      <x:c r="C135" s="15" t="str">
        <x:v>014</x:v>
      </x:c>
      <x:c r="D135" s="12" t="str">
        <x:v>Extremely Bad</x:v>
      </x:c>
      <x:c r="E135" s="16" t="n">
        <x:v>0</x:v>
      </x:c>
      <x:c r="F135" s="16" t="n">
        <x:v>29</x:v>
      </x:c>
      <x:c r="G135" s="14" t="str">
        <x:v>浪升U15在啟航運動場10月3及4日比賽，10月10及11日又是正式改期，四日同時作兩日賽。共有16隊，每隊15人，合計卻變成240隊，學校與社區混成住戶。第一日先淘汰，第二日再分組後決賽。冠軍和觀眾同樣獲3萬元免費器材。早上6時賽事結束後，短訊才通知今天有沒有比賽。</x:v>
      </x:c>
    </x:row>
    <x:row r="136" ht="39.599998474121094" hidden="0" customHeight="1">
      <x:c r="A136" s="15" t="str">
        <x:v>135</x:v>
      </x:c>
      <x:c r="B136" s="12" t="str">
        <x:v>ZH-EXTREMELY-BAD-015</x:v>
      </x:c>
      <x:c r="C136" s="15" t="str">
        <x:v>015</x:v>
      </x:c>
      <x:c r="D136" s="12" t="str">
        <x:v>Extremely Bad</x:v>
      </x:c>
      <x:c r="E136" s="16" t="n">
        <x:v>0</x:v>
      </x:c>
      <x:c r="F136" s="16" t="n">
        <x:v>29</x:v>
      </x:c>
      <x:c r="G136" s="14" t="str">
        <x:v>北角記憶館8月1日推出平台報名，8月20日平台才首次上網，推出了又未推出。首批8,400名相片跨越1945個年份到2000年，居民有些借、有些捐。基金整理了18年，另一段又寫18個月。資料有版權便可下載，取得授權反而只看節錄。下午兩場合共40人，第一場40人，第二場也是合共40人，看舊相的人突然又變成上課的人。</x:v>
      </x:c>
    </x:row>
    <x:row r="137" ht="39.599998474121094" hidden="0" customHeight="1">
      <x:c r="A137" s="15" t="str">
        <x:v>136</x:v>
      </x:c>
      <x:c r="B137" s="12" t="str">
        <x:v>ZH-EXTREMELY-BAD-016</x:v>
      </x:c>
      <x:c r="C137" s="15" t="str">
        <x:v>016</x:v>
      </x:c>
      <x:c r="D137" s="12" t="str">
        <x:v>Extremely Bad</x:v>
      </x:c>
      <x:c r="E137" s="16" t="n">
        <x:v>0</x:v>
      </x:c>
      <x:c r="F137" s="16" t="n">
        <x:v>29</x:v>
      </x:c>
      <x:c r="G137" s="14" t="str">
        <x:v>金穗18間店9月1日貼致敏圖，120間麵包和蛋糕一起更換，店和食品都以「間」計。奶、蛋、花生畫成八個圖，全部成分要掃手機，掃完又不知道有沒有。焗爐共用，沒加入也可以有，因此嚴重過敏者只要問職員便保證完全沒有。舊包裝改了又照舊出售，錯漏便停售，停完再貼紙，貼完仍是原來舊包裝。</x:v>
      </x:c>
    </x:row>
    <x:row r="138" ht="39.599998474121094" hidden="0" customHeight="1">
      <x:c r="A138" s="15" t="str">
        <x:v>137</x:v>
      </x:c>
      <x:c r="B138" s="12" t="str">
        <x:v>ZH-EXTREMELY-BAD-017</x:v>
      </x:c>
      <x:c r="C138" s="15" t="str">
        <x:v>017</x:v>
      </x:c>
      <x:c r="D138" s="12" t="str">
        <x:v>Extremely Bad</x:v>
      </x:c>
      <x:c r="E138" s="16" t="n">
        <x:v>0</x:v>
      </x:c>
      <x:c r="F138" s="16" t="n">
        <x:v>29</x:v>
      </x:c>
      <x:c r="G138" s="14" t="str">
        <x:v>同心信貸7月22日在觀塘上課，8月26日才辦活動，8月19日先停課再繼續報名。80間公司免費，每間最多兩人，後面又只接收20人的小公司，所以80個名額等於20個。課堂題目是13星期現金流，下午幾小時便過完13星期。現金流、追款和借貸騙案由假店提交真銀行結單。現場說不賣貸款，信貸合作社又一直在現場講貸款。</x:v>
      </x:c>
    </x:row>
    <x:row r="139" ht="39.599998474121094" hidden="0" customHeight="1">
      <x:c r="A139" s="15" t="str">
        <x:v>138</x:v>
      </x:c>
      <x:c r="B139" s="12" t="str">
        <x:v>ZH-EXTREMELY-BAD-018</x:v>
      </x:c>
      <x:c r="C139" s="15" t="str">
        <x:v>018</x:v>
      </x:c>
      <x:c r="D139" s="12" t="str">
        <x:v>Extremely Bad</x:v>
      </x:c>
      <x:c r="E139" s="16" t="n">
        <x:v>0</x:v>
      </x:c>
      <x:c r="F139" s="16" t="n">
        <x:v>29</x:v>
      </x:c>
      <x:c r="G139" s="14" t="str">
        <x:v>河閘天橋8月維修到11月，日間不封，周末日間又全封，全日開放和全日關閉一起進行。晚上11時後保留1.5米通道，同時全段關閉至早上，行人要從關閉的通道通過。去港盛要落河畔道，替代道路闊280米，也要多走280米。天氣差先到現場看牌，網站在改期之後提前48小時通知，日期未改便已經改了。</x:v>
      </x:c>
    </x:row>
    <x:row r="140" ht="52.79999923706055" hidden="0" customHeight="1">
      <x:c r="A140" s="15" t="str">
        <x:v>139</x:v>
      </x:c>
      <x:c r="B140" s="12" t="str">
        <x:v>ZH-EXTREMELY-BAD-019</x:v>
      </x:c>
      <x:c r="C140" s="15" t="str">
        <x:v>019</x:v>
      </x:c>
      <x:c r="D140" s="12" t="str">
        <x:v>Extremely Bad</x:v>
      </x:c>
      <x:c r="E140" s="16" t="n">
        <x:v>0</x:v>
      </x:c>
      <x:c r="F140" s="16" t="n">
        <x:v>29</x:v>
      </x:c>
      <x:c r="G140" s="14" t="str">
        <x:v>和景街市免費Wi-Fi由9月試到2月，但試驗只做最初兩星期，兩星期又做足幾個月。36個接達點每次60分鐘，另一句每部20分鐘，60完再接20又再60。姓名電話不用留，裝置資料全部保存30日。系統甚麼都不保存，但保存的仍然保存，30日後才開始保存。長者有人教免費網絡，付款時又要用自己的免費網絡，不用市集通也仍連着市集通。基金試完再試才決定。</x:v>
      </x:c>
    </x:row>
    <x:row r="141" ht="66" hidden="0" customHeight="1">
      <x:c r="A141" s="15" t="str">
        <x:v>140</x:v>
      </x:c>
      <x:c r="B141" s="12" t="str">
        <x:v>ZH-EXTREMELY-BAD-020</x:v>
      </x:c>
      <x:c r="C141" s="15" t="str">
        <x:v>020</x:v>
      </x:c>
      <x:c r="D141" s="12" t="str">
        <x:v>Extremely Bad</x:v>
      </x:c>
      <x:c r="E141" s="16" t="n">
        <x:v>0</x:v>
      </x:c>
      <x:c r="F141" s="16" t="n">
        <x:v>29</x:v>
      </x:c>
      <x:c r="G141" s="14" t="str">
        <x:v>VoltBay 10月12日在東臨開放，全天24小時服務，同一段又只讓人上午7時至晚上11時到場。夜晚可以按對講機，但沒有說是否還能充電。場內24個位置，每部充24分鐘，快慢位數目消失。充完15分鐘又未充完。手機先預約30分鐘，拍卡後再預約，沒有會員也要先入會才可不用會員。首七日八折，佔位不折，八折充電後再收原價佔位，開幕後仍要等正式開。</x:v>
      </x:c>
    </x:row>
    <x:row r="142" ht="39.599998474121094" hidden="0" customHeight="1">
      <x:c r="A142" s="15" t="str">
        <x:v>141</x:v>
      </x:c>
      <x:c r="B142" s="12" t="str">
        <x:v>ZH-EXTREMELY-BAD-021</x:v>
      </x:c>
      <x:c r="C142" s="15" t="str">
        <x:v>021</x:v>
      </x:c>
      <x:c r="D142" s="12" t="str">
        <x:v>Extremely Bad</x:v>
      </x:c>
      <x:c r="E142" s="16" t="n">
        <x:v>0</x:v>
      </x:c>
      <x:c r="F142" s="16" t="n">
        <x:v>29</x:v>
      </x:c>
      <x:c r="G142" s="14" t="str">
        <x:v>東港大學說海旁最熱，商業區又比海旁更高，兩個地方一起最高。六區放120個感應器，另一批人只帶12個，去年5月至今年4月但研究只有三個月。下午3時之後才種樹，居民8月開會已決定好未決定的地點。數據尚未公開，所有人又可在網上下載。巴士站飲水點先做還是沒有工程，研究公布了仍未公布。</x:v>
      </x:c>
    </x:row>
    <x:row r="143" ht="39.599998474121094" hidden="0" customHeight="1">
      <x:c r="A143" s="15" t="str">
        <x:v>142</x:v>
      </x:c>
      <x:c r="B143" s="12" t="str">
        <x:v>ZH-EXTREMELY-BAD-022</x:v>
      </x:c>
      <x:c r="C143" s="15" t="str">
        <x:v>022</x:v>
      </x:c>
      <x:c r="D143" s="12" t="str">
        <x:v>Extremely Bad</x:v>
      </x:c>
      <x:c r="E143" s="16" t="n">
        <x:v>0</x:v>
      </x:c>
      <x:c r="F143" s="16" t="n">
        <x:v>29</x:v>
      </x:c>
      <x:c r="G143" s="14" t="str">
        <x:v>安步和消防單位8月開始防火班，7月已完成第一輪。20個屋邨共有60個家庭，每個家庭又各有60場，數字越講越多。火警鐘、逃生和電池都教，獨居長者上門替別人檢查，長者自己又是被檢查的人。報名免費，但居民先付費留免費名額。活動做到12月，10月已經全部完結，完結後仍繼續上課。</x:v>
      </x:c>
    </x:row>
    <x:row r="144" ht="39.599998474121094" hidden="0" customHeight="1">
      <x:c r="A144" s="15" t="str">
        <x:v>143</x:v>
      </x:c>
      <x:c r="B144" s="12" t="str">
        <x:v>ZH-EXTREMELY-BAD-023</x:v>
      </x:c>
      <x:c r="C144" s="15" t="str">
        <x:v>023</x:v>
      </x:c>
      <x:c r="D144" s="12" t="str">
        <x:v>Extremely Bad</x:v>
      </x:c>
      <x:c r="E144" s="16" t="n">
        <x:v>0</x:v>
      </x:c>
      <x:c r="F144" s="16" t="n">
        <x:v>29</x:v>
      </x:c>
      <x:c r="G144" s="14" t="str">
        <x:v>環織8月放40個箱，也是40個地點，每個商場有12個箱，屋苑又只有8個。濕衣不收，職員同時叫居民未乾便直接放入。鞋可以回收，又一律拒收鞋。好衣服拿去造隔音棉，破布派給居民再穿。物料每星期運到新田，也說全年只運一次。二維碼追到每件衣服，掃完只見回收箱地址，300公噸到底是每天還是每月沒有句尾。</x:v>
      </x:c>
    </x:row>
    <x:row r="145" ht="39.599998474121094" hidden="0" customHeight="1">
      <x:c r="A145" s="15" t="str">
        <x:v>144</x:v>
      </x:c>
      <x:c r="B145" s="12" t="str">
        <x:v>ZH-EXTREMELY-BAD-024</x:v>
      </x:c>
      <x:c r="C145" s="15" t="str">
        <x:v>024</x:v>
      </x:c>
      <x:c r="D145" s="12" t="str">
        <x:v>Extremely Bad</x:v>
      </x:c>
      <x:c r="E145" s="16" t="n">
        <x:v>0</x:v>
      </x:c>
      <x:c r="F145" s="16" t="n">
        <x:v>29</x:v>
      </x:c>
      <x:c r="G145" s="14" t="str">
        <x:v>匠途招18至30歲學徒，超過30歲又成為主要對象，未滿30反而不收。8月開課，10月才接受申請，申請完成又回到8月面談。津貼每月一萬五，全年總額也只得一萬五。木工、霓虹及舞台項目，學員全日留在公司，同時全日在課室。完成後保證有工作，但企業只給一次面試。證書在未上課前已派，之後完成才取得。</x:v>
      </x:c>
    </x:row>
    <x:row r="146" ht="39.599998474121094" hidden="0" customHeight="1">
      <x:c r="A146" s="15" t="str">
        <x:v>145</x:v>
      </x:c>
      <x:c r="B146" s="12" t="str">
        <x:v>ZH-EXTREMELY-BAD-025</x:v>
      </x:c>
      <x:c r="C146" s="15" t="str">
        <x:v>025</x:v>
      </x:c>
      <x:c r="D146" s="12" t="str">
        <x:v>Extremely Bad</x:v>
      </x:c>
      <x:c r="E146" s="16" t="n">
        <x:v>0</x:v>
      </x:c>
      <x:c r="F146" s="16" t="n">
        <x:v>29</x:v>
      </x:c>
      <x:c r="G146" s="14" t="str">
        <x:v>迅達購即日送貨由十區減至四區，同日又宣布增加四區後共有十區，範圍兩邊相反。服務8月5日開始，下午4時下單也當成下午2時之前。運費38元，全部免費，同時必須購物滿500元才免。冷藏貨不送，卻又放進可送清單。打風會改期，也照常即日送，顧客最後只能到結帳頁碰碰運氣。</x:v>
      </x:c>
    </x:row>
    <x:row r="147" ht="39.599998474121094" hidden="0" customHeight="1">
      <x:c r="A147" s="15" t="str">
        <x:v>146</x:v>
      </x:c>
      <x:c r="B147" s="12" t="str">
        <x:v>ZH-EXTREMELY-BAD-026</x:v>
      </x:c>
      <x:c r="C147" s="15" t="str">
        <x:v>026</x:v>
      </x:c>
      <x:c r="D147" s="12" t="str">
        <x:v>Extremely Bad</x:v>
      </x:c>
      <x:c r="E147" s="16" t="n">
        <x:v>0</x:v>
      </x:c>
      <x:c r="F147" s="16" t="n">
        <x:v>29</x:v>
      </x:c>
      <x:c r="G147" s="14" t="str">
        <x:v>銀匙9月送長者餐，四區共有500份，同時又是500人每日各五餐。每份10元又全部免費，送餐費到底屬於哪邊沒有講完。65歲居民可自行致電申請，又一定要社工轉介，兩種做法撞在同一個入口。餐廳親自上門，配送員在長者家煮完再把餐送到同一間屋。沒有開門兩次便取消，也會繼續每天送並找照顧者。</x:v>
      </x:c>
    </x:row>
    <x:row r="148" ht="39.599998474121094" hidden="0" customHeight="1">
      <x:c r="A148" s="15" t="str">
        <x:v>147</x:v>
      </x:c>
      <x:c r="B148" s="12" t="str">
        <x:v>ZH-EXTREMELY-BAD-027</x:v>
      </x:c>
      <x:c r="C148" s="15" t="str">
        <x:v>027</x:v>
      </x:c>
      <x:c r="D148" s="12" t="str">
        <x:v>Extremely Bad</x:v>
      </x:c>
      <x:c r="E148" s="16" t="n">
        <x:v>0</x:v>
      </x:c>
      <x:c r="F148" s="16" t="n">
        <x:v>29</x:v>
      </x:c>
      <x:c r="G148" s="14" t="str">
        <x:v>星灣光影表演由8月21日做到8月6日，完結日期早過開始。活動逢星期五六日，又叫觀眾每天晚上到場。7時30分有18分鐘，8時30分另一場又不是另一場。免費入場要求所有人先買票。海濱設活動泊車，同時現場沒有任何車位。三號風球照常演出，遇三號又立即取消。激光、單車路及口述影像擠成一段，文化處不是主辦卻負責全部。</x:v>
      </x:c>
    </x:row>
    <x:row r="149" ht="39.599998474121094" hidden="0" customHeight="1">
      <x:c r="A149" s="15" t="str">
        <x:v>148</x:v>
      </x:c>
      <x:c r="B149" s="12" t="str">
        <x:v>ZH-EXTREMELY-BAD-028</x:v>
      </x:c>
      <x:c r="C149" s="15" t="str">
        <x:v>028</x:v>
      </x:c>
      <x:c r="D149" s="12" t="str">
        <x:v>Extremely Bad</x:v>
      </x:c>
      <x:c r="E149" s="16" t="n">
        <x:v>0</x:v>
      </x:c>
      <x:c r="F149" s="16" t="n">
        <x:v>29</x:v>
      </x:c>
      <x:c r="G149" s="14" t="str">
        <x:v>新域在宏橋安裝38部機械人，公司又說共有83部，全部製造感應器。11月還未驗收，12月貨物已全部交完。月產量由25萬加到40萬，又只剩20萬，增加和減少都寫成提高。公司保證140人不裁員，重複職位卻全部裁走。80小時培訓要上80日。七成電力來自再生能源，新線又全部使用普通電，兩種電同時各佔全部。</x:v>
      </x:c>
    </x:row>
    <x:row r="150" ht="52.79999923706055" hidden="0" customHeight="1">
      <x:c r="A150" s="15" t="str">
        <x:v>149</x:v>
      </x:c>
      <x:c r="B150" s="12" t="str">
        <x:v>ZH-EXTREMELY-BAD-029</x:v>
      </x:c>
      <x:c r="C150" s="15" t="str">
        <x:v>029</x:v>
      </x:c>
      <x:c r="D150" s="12" t="str">
        <x:v>Extremely Bad</x:v>
      </x:c>
      <x:c r="E150" s="16" t="n">
        <x:v>0</x:v>
      </x:c>
      <x:c r="F150" s="16" t="n">
        <x:v>29</x:v>
      </x:c>
      <x:c r="G150" s="14" t="str">
        <x:v>守線熱線3188 7711由8月1日起24小時服務，但只在朝九晚五接聽。僱員少於100人的公司可用，一百人以下企業又不合資格。首兩小時免費，電話一接通便立即收兩小時費用。勒索、假電郵及人身危險都打這裏，人身危險同時必須另打999。個案90日刪除，所有紀錄又永久交給不同機構。企業不用同意，也必須先同意。</x:v>
      </x:c>
    </x:row>
    <x:row r="151" ht="52.79999923706055" hidden="0" customHeight="1">
      <x:c r="A151" s="15" t="str">
        <x:v>150</x:v>
      </x:c>
      <x:c r="B151" s="12" t="str">
        <x:v>ZH-EXTREMELY-BAD-030</x:v>
      </x:c>
      <x:c r="C151" s="15" t="str">
        <x:v>030</x:v>
      </x:c>
      <x:c r="D151" s="12" t="str">
        <x:v>Extremely Bad</x:v>
      </x:c>
      <x:c r="E151" s="16" t="n">
        <x:v>0</x:v>
      </x:c>
      <x:c r="F151" s="16" t="n">
        <x:v>29</x:v>
      </x:c>
      <x:c r="G151" s="14" t="str">
        <x:v>善港水災基金收到2,860萬元，已用2,140萬元，餘款卻是1,720萬元，三個數字同時各自等於總數。向1,200戶每戶派一萬元，實際又只派120戶，受助地方有三區和十三區。維修13個中心的650萬元全部算作清潔費，行政50萬元等於沒有行政開支。7月15日報告在6月水災前一年完成。餘款8月才申請，去年已截止。受助人姓名全部公開，但網站完全不列姓名。</x:v>
      </x:c>
    </x:row>
  </x:sheetData>
  <x:pageMargins left="0.7" right="0.7" top="0.75" bottom="0.75" header="0.3" footer="0.3"/>
  <x:tableParts count="1">
    <x:tablePart xmlns:r="http://schemas.openxmlformats.org/officeDocument/2006/relationships" r:id="R39c402906c5d41ea"/>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1" hidden="0" customWidth="1"/>
    <x:col min="2" max="2" width="25" hidden="0" customWidth="1"/>
    <x:col min="3" max="3" width="11" hidden="0" customWidth="1"/>
    <x:col min="4" max="4" width="17" hidden="0" customWidth="1"/>
    <x:col min="5" max="5" width="12" hidden="0" customWidth="1"/>
    <x:col min="6" max="6" width="12" hidden="0" customWidth="1"/>
    <x:col min="7" max="7" width="9" hidden="0" customWidth="1"/>
    <x:col min="8" max="8" width="14" hidden="0" customWidth="1"/>
    <x:col min="9" max="9" width="14" hidden="0" customWidth="1"/>
    <x:col min="10" max="10" width="11" hidden="0" customWidth="1"/>
    <x:col min="11" max="11" width="10" hidden="0" customWidth="1"/>
    <x:col min="12" max="12" width="14" hidden="0" customWidth="1"/>
    <x:col min="13" max="13" width="14" hidden="0" customWidth="1"/>
    <x:col min="14" max="14" width="11" hidden="0" customWidth="1"/>
    <x:col min="15" max="15" width="12" hidden="0" customWidth="1"/>
    <x:col min="16" max="16" width="12" hidden="0" customWidth="1"/>
    <x:col min="17" max="17" width="14" hidden="0" customWidth="1"/>
    <x:col min="18" max="18" width="13" hidden="0" customWidth="1"/>
    <x:col min="19" max="19" width="12" hidden="0" customWidth="1"/>
    <x:col min="20" max="20" width="12" hidden="0" customWidth="1"/>
    <x:col min="21" max="21" width="17" hidden="0" customWidth="1"/>
    <x:col min="22" max="22" width="14" hidden="0" customWidth="1"/>
    <x:col min="23" max="23" width="22" hidden="0" customWidth="1"/>
    <x:col min="24" max="24" width="18" hidden="0" customWidth="1"/>
    <x:col min="25" max="25" width="10" hidden="0" customWidth="1"/>
    <x:col min="26" max="26" width="12" hidden="0" customWidth="1"/>
    <x:col min="27" max="27" width="13" hidden="0" customWidth="1"/>
    <x:col min="28" max="28" width="24" hidden="0" customWidth="1"/>
    <x:col min="29" max="29" width="44" hidden="0" customWidth="1"/>
    <x:col min="30" max="30" width="10" hidden="0" customWidth="1"/>
    <x:col min="31" max="31" width="16" hidden="0" customWidth="1"/>
    <x:col min="32" max="32" width="22" hidden="0" customWidth="1"/>
    <x:col min="33" max="33" width="23" hidden="0" customWidth="1"/>
    <x:col min="34" max="34" width="11" hidden="0" customWidth="1"/>
    <x:col min="35" max="35" width="24" hidden="0" customWidth="1"/>
    <x:col min="36" max="36" width="24" hidden="0" customWidth="1"/>
  </x:cols>
  <x:sheetData>
    <x:row r="1">
      <x:c r="A1" s="9" t="str">
        <x:v>Global order</x:v>
      </x:c>
      <x:c r="B1" s="10" t="str">
        <x:v>Draft ID</x:v>
      </x:c>
      <x:c r="C1" s="10" t="str">
        <x:v>Scenario ID</x:v>
      </x:c>
      <x:c r="D1" s="10" t="str">
        <x:v>Category</x:v>
      </x:c>
      <x:c r="E1" s="10" t="str">
        <x:v>Expected minimum</x:v>
      </x:c>
      <x:c r="F1" s="10" t="str">
        <x:v>Expected maximum</x:v>
      </x:c>
      <x:c r="G1" s="10" t="str">
        <x:v>Repeat</x:v>
      </x:c>
      <x:c r="H1" s="10" t="str">
        <x:v>Actual overall score</x:v>
      </x:c>
      <x:c r="I1" s="10" t="str">
        <x:v>Content completeness &amp; internal consistency</x:v>
      </x:c>
      <x:c r="J1" s="10" t="str">
        <x:v>Structure</x:v>
      </x:c>
      <x:c r="K1" s="10" t="str">
        <x:v>Clarity</x:v>
      </x:c>
      <x:c r="L1" s="10" t="str">
        <x:v>Language quality</x:v>
      </x:c>
      <x:c r="M1" s="10" t="str">
        <x:v>Professionalism</x:v>
      </x:c>
      <x:c r="N1" s="10" t="str">
        <x:v>Attribution</x:v>
      </x:c>
      <x:c r="O1" s="10" t="str">
        <x:v>Weighted score</x:v>
      </x:c>
      <x:c r="P1" s="10" t="str">
        <x:v>Applied score cap</x:v>
      </x:c>
      <x:c r="Q1" s="10" t="str">
        <x:v>In expected range</x:v>
      </x:c>
      <x:c r="R1" s="10" t="str">
        <x:v>Distance from range</x:v>
      </x:c>
      <x:c r="S1" s="10" t="str">
        <x:v>Distance below</x:v>
      </x:c>
      <x:c r="T1" s="10" t="str">
        <x:v>Distance above</x:v>
      </x:c>
      <x:c r="U1" s="10" t="str">
        <x:v>Predicted category</x:v>
      </x:c>
      <x:c r="V1" s="10" t="str">
        <x:v>Category correct</x:v>
      </x:c>
      <x:c r="W1" s="10" t="str">
        <x:v>Readiness band</x:v>
      </x:c>
      <x:c r="X1" s="10" t="str">
        <x:v>Decision</x:v>
      </x:c>
      <x:c r="Y1" s="10" t="str">
        <x:v>Pass score</x:v>
      </x:c>
      <x:c r="Z1" s="10" t="str">
        <x:v>Test status</x:v>
      </x:c>
      <x:c r="AA1" s="10" t="str">
        <x:v>Error type</x:v>
      </x:c>
      <x:c r="AB1" s="10" t="str">
        <x:v>Error code</x:v>
      </x:c>
      <x:c r="AC1" s="10" t="str">
        <x:v>Error message</x:v>
      </x:c>
      <x:c r="AD1" s="10" t="str">
        <x:v>Retry count</x:v>
      </x:c>
      <x:c r="AE1" s="10" t="str">
        <x:v>Response time (ms)</x:v>
      </x:c>
      <x:c r="AF1" s="10" t="str">
        <x:v>Model name</x:v>
      </x:c>
      <x:c r="AG1" s="10" t="str">
        <x:v>Test timestamp</x:v>
      </x:c>
      <x:c r="AH1" s="10" t="str">
        <x:v>HTTP status</x:v>
      </x:c>
      <x:c r="AI1" s="10" t="str">
        <x:v>Draft SHA-256</x:v>
      </x:c>
      <x:c r="AJ1" s="11" t="str">
        <x:v>Reviewer SHA-256</x:v>
      </x:c>
    </x:row>
    <x:row r="2">
      <x:c r="A2" s="17" t="str">
        <x:v>001</x:v>
      </x:c>
      <x:c r="B2" t="str">
        <x:v>ZH-EXCELLENT-001</x:v>
      </x:c>
      <x:c r="C2" s="17" t="str">
        <x:v>001</x:v>
      </x:c>
      <x:c r="D2" t="str">
        <x:v>Excellent</x:v>
      </x:c>
      <x:c r="E2" t="n">
        <x:v>85</x:v>
      </x:c>
      <x:c r="F2" t="n">
        <x:v>100</x:v>
      </x:c>
      <x:c r="G2" t="n">
        <x:v>1</x:v>
      </x:c>
      <x:c r="H2" s="18" t="n">
        <x:v>95</x:v>
      </x:c>
      <x:c r="I2" s="18" t="n">
        <x:v>95</x:v>
      </x:c>
      <x:c r="J2" s="18" t="n">
        <x:v>95</x:v>
      </x:c>
      <x:c r="K2" s="18" t="n">
        <x:v>95</x:v>
      </x:c>
      <x:c r="L2" s="18" t="n">
        <x:v>98</x:v>
      </x:c>
      <x:c r="M2" s="18" t="n">
        <x:v>95</x:v>
      </x:c>
      <x:c r="N2" s="18" t="n">
        <x:v>95</x:v>
      </x:c>
      <x:c r="O2" s="18" t="n">
        <x:v>95</x:v>
      </x:c>
      <x:c r="P2" s="18"/>
      <x:c r="Q2" t="str">
        <x:v>Yes</x:v>
      </x:c>
      <x:c r="R2" s="18" t="n">
        <x:v>0</x:v>
      </x:c>
      <x:c r="S2" s="18" t="n">
        <x:v>0</x:v>
      </x:c>
      <x:c r="T2" s="18" t="n">
        <x:v>0</x:v>
      </x:c>
      <x:c r="U2" t="str">
        <x:v>Excellent</x:v>
      </x:c>
      <x:c r="V2" t="str">
        <x:v>Yes</x:v>
      </x:c>
      <x:c r="W2" t="str">
        <x:v>PUBLICATION_READY</x:v>
      </x:c>
      <x:c r="X2" t="str">
        <x:v>PASS</x:v>
      </x:c>
      <x:c r="Y2" t="n">
        <x:v>80</x:v>
      </x:c>
      <x:c r="Z2" t="str">
        <x:v>Success</x:v>
      </x:c>
      <x:c r="AA2"/>
      <x:c r="AB2"/>
      <x:c r="AC2" s="13"/>
      <x:c r="AD2" t="n">
        <x:v>0</x:v>
      </x:c>
      <x:c r="AE2" s="19" t="n">
        <x:v>29158</x:v>
      </x:c>
      <x:c r="AF2" t="str">
        <x:v>deepseek-v4-pro</x:v>
      </x:c>
      <x:c r="AG2" s="20" t="n">
        <x:v>46237.157500891204</x:v>
      </x:c>
      <x:c r="AH2" t="n">
        <x:v>200</x:v>
      </x:c>
      <x:c r="AI2" t="str">
        <x:v>e469a669a58039f9d23b925962f92b38594c4c35066b2b51e197ae54976b6aa8</x:v>
      </x:c>
      <x:c r="AJ2" t="str">
        <x:v>1fbc1da2672050b6b1a1ccd8c0cdb0c420d2f719bdeff82ba998509df8b0da41</x:v>
      </x:c>
    </x:row>
    <x:row r="3">
      <x:c r="A3" s="17" t="str">
        <x:v>002</x:v>
      </x:c>
      <x:c r="B3" t="str">
        <x:v>ZH-EXCELLENT-002</x:v>
      </x:c>
      <x:c r="C3" s="17" t="str">
        <x:v>002</x:v>
      </x:c>
      <x:c r="D3" t="str">
        <x:v>Excellent</x:v>
      </x:c>
      <x:c r="E3" t="n">
        <x:v>85</x:v>
      </x:c>
      <x:c r="F3" t="n">
        <x:v>100</x:v>
      </x:c>
      <x:c r="G3" t="n">
        <x:v>1</x:v>
      </x:c>
      <x:c r="H3" s="18" t="n">
        <x:v>92</x:v>
      </x:c>
      <x:c r="I3" s="18" t="n">
        <x:v>92</x:v>
      </x:c>
      <x:c r="J3" s="18" t="n">
        <x:v>92</x:v>
      </x:c>
      <x:c r="K3" s="18" t="n">
        <x:v>92</x:v>
      </x:c>
      <x:c r="L3" s="18" t="n">
        <x:v>92</x:v>
      </x:c>
      <x:c r="M3" s="18" t="n">
        <x:v>92</x:v>
      </x:c>
      <x:c r="N3" s="18" t="n">
        <x:v>92</x:v>
      </x:c>
      <x:c r="O3" s="18" t="n">
        <x:v>92</x:v>
      </x:c>
      <x:c r="P3" s="18"/>
      <x:c r="Q3" t="str">
        <x:v>Yes</x:v>
      </x:c>
      <x:c r="R3" s="18" t="n">
        <x:v>0</x:v>
      </x:c>
      <x:c r="S3" s="18" t="n">
        <x:v>0</x:v>
      </x:c>
      <x:c r="T3" s="18" t="n">
        <x:v>0</x:v>
      </x:c>
      <x:c r="U3" t="str">
        <x:v>Excellent</x:v>
      </x:c>
      <x:c r="V3" t="str">
        <x:v>Yes</x:v>
      </x:c>
      <x:c r="W3" t="str">
        <x:v>PUBLICATION_READY</x:v>
      </x:c>
      <x:c r="X3" t="str">
        <x:v>PASS</x:v>
      </x:c>
      <x:c r="Y3" t="n">
        <x:v>80</x:v>
      </x:c>
      <x:c r="Z3" t="str">
        <x:v>Success</x:v>
      </x:c>
      <x:c r="AA3"/>
      <x:c r="AB3"/>
      <x:c r="AC3" s="13"/>
      <x:c r="AD3" t="n">
        <x:v>0</x:v>
      </x:c>
      <x:c r="AE3" s="19" t="n">
        <x:v>23932</x:v>
      </x:c>
      <x:c r="AF3" t="str">
        <x:v>deepseek-v4-pro</x:v>
      </x:c>
      <x:c r="AG3" s="20" t="n">
        <x:v>46237.15777791667</x:v>
      </x:c>
      <x:c r="AH3" t="n">
        <x:v>200</x:v>
      </x:c>
      <x:c r="AI3" t="str">
        <x:v>57186ed3c39004e71931900152dc76de6931eb9e2bb88bf0cd46b49b70ac05c7</x:v>
      </x:c>
      <x:c r="AJ3" t="str">
        <x:v>1fbc1da2672050b6b1a1ccd8c0cdb0c420d2f719bdeff82ba998509df8b0da41</x:v>
      </x:c>
    </x:row>
    <x:row r="4">
      <x:c r="A4" s="17" t="str">
        <x:v>003</x:v>
      </x:c>
      <x:c r="B4" t="str">
        <x:v>ZH-EXCELLENT-003</x:v>
      </x:c>
      <x:c r="C4" s="17" t="str">
        <x:v>003</x:v>
      </x:c>
      <x:c r="D4" t="str">
        <x:v>Excellent</x:v>
      </x:c>
      <x:c r="E4" t="n">
        <x:v>85</x:v>
      </x:c>
      <x:c r="F4" t="n">
        <x:v>100</x:v>
      </x:c>
      <x:c r="G4" t="n">
        <x:v>1</x:v>
      </x:c>
      <x:c r="H4" s="18" t="n">
        <x:v>93</x:v>
      </x:c>
      <x:c r="I4" s="18" t="n">
        <x:v>95</x:v>
      </x:c>
      <x:c r="J4" s="18" t="n">
        <x:v>90</x:v>
      </x:c>
      <x:c r="K4" s="18" t="n">
        <x:v>90</x:v>
      </x:c>
      <x:c r="L4" s="18" t="n">
        <x:v>95</x:v>
      </x:c>
      <x:c r="M4" s="18" t="n">
        <x:v>95</x:v>
      </x:c>
      <x:c r="N4" s="18" t="n">
        <x:v>90</x:v>
      </x:c>
      <x:c r="O4" s="18" t="n">
        <x:v>93</x:v>
      </x:c>
      <x:c r="P4" s="18"/>
      <x:c r="Q4" t="str">
        <x:v>Yes</x:v>
      </x:c>
      <x:c r="R4" s="18" t="n">
        <x:v>0</x:v>
      </x:c>
      <x:c r="S4" s="18" t="n">
        <x:v>0</x:v>
      </x:c>
      <x:c r="T4" s="18" t="n">
        <x:v>0</x:v>
      </x:c>
      <x:c r="U4" t="str">
        <x:v>Excellent</x:v>
      </x:c>
      <x:c r="V4" t="str">
        <x:v>Yes</x:v>
      </x:c>
      <x:c r="W4" t="str">
        <x:v>PUBLICATION_READY</x:v>
      </x:c>
      <x:c r="X4" t="str">
        <x:v>PASS</x:v>
      </x:c>
      <x:c r="Y4" t="n">
        <x:v>80</x:v>
      </x:c>
      <x:c r="Z4" t="str">
        <x:v>Success</x:v>
      </x:c>
      <x:c r="AA4"/>
      <x:c r="AB4"/>
      <x:c r="AC4" s="13"/>
      <x:c r="AD4" t="n">
        <x:v>0</x:v>
      </x:c>
      <x:c r="AE4" s="19" t="n">
        <x:v>27210</x:v>
      </x:c>
      <x:c r="AF4" t="str">
        <x:v>deepseek-v4-pro</x:v>
      </x:c>
      <x:c r="AG4" s="20" t="n">
        <x:v>46237.15809287037</x:v>
      </x:c>
      <x:c r="AH4" t="n">
        <x:v>200</x:v>
      </x:c>
      <x:c r="AI4" t="str">
        <x:v>a68a9fa5797bf612e303c93bc025d7fb554cac8fe7c6dcbde9bb00f0acb6a46c</x:v>
      </x:c>
      <x:c r="AJ4" t="str">
        <x:v>1fbc1da2672050b6b1a1ccd8c0cdb0c420d2f719bdeff82ba998509df8b0da41</x:v>
      </x:c>
    </x:row>
    <x:row r="5">
      <x:c r="A5" s="17" t="str">
        <x:v>004</x:v>
      </x:c>
      <x:c r="B5" t="str">
        <x:v>ZH-EXCELLENT-004</x:v>
      </x:c>
      <x:c r="C5" s="17" t="str">
        <x:v>004</x:v>
      </x:c>
      <x:c r="D5" t="str">
        <x:v>Excellent</x:v>
      </x:c>
      <x:c r="E5" t="n">
        <x:v>85</x:v>
      </x:c>
      <x:c r="F5" t="n">
        <x:v>100</x:v>
      </x:c>
      <x:c r="G5" t="n">
        <x:v>1</x:v>
      </x:c>
      <x:c r="H5" s="18" t="n">
        <x:v>95</x:v>
      </x:c>
      <x:c r="I5" s="18" t="n">
        <x:v>95</x:v>
      </x:c>
      <x:c r="J5" s="18" t="n">
        <x:v>95</x:v>
      </x:c>
      <x:c r="K5" s="18" t="n">
        <x:v>95</x:v>
      </x:c>
      <x:c r="L5" s="18" t="n">
        <x:v>95</x:v>
      </x:c>
      <x:c r="M5" s="18" t="n">
        <x:v>95</x:v>
      </x:c>
      <x:c r="N5" s="18" t="n">
        <x:v>95</x:v>
      </x:c>
      <x:c r="O5" s="18" t="n">
        <x:v>95</x:v>
      </x:c>
      <x:c r="P5" s="18"/>
      <x:c r="Q5" t="str">
        <x:v>Yes</x:v>
      </x:c>
      <x:c r="R5" s="18" t="n">
        <x:v>0</x:v>
      </x:c>
      <x:c r="S5" s="18" t="n">
        <x:v>0</x:v>
      </x:c>
      <x:c r="T5" s="18" t="n">
        <x:v>0</x:v>
      </x:c>
      <x:c r="U5" t="str">
        <x:v>Excellent</x:v>
      </x:c>
      <x:c r="V5" t="str">
        <x:v>Yes</x:v>
      </x:c>
      <x:c r="W5" t="str">
        <x:v>PUBLICATION_READY</x:v>
      </x:c>
      <x:c r="X5" t="str">
        <x:v>PASS</x:v>
      </x:c>
      <x:c r="Y5" t="n">
        <x:v>80</x:v>
      </x:c>
      <x:c r="Z5" t="str">
        <x:v>Success</x:v>
      </x:c>
      <x:c r="AA5"/>
      <x:c r="AB5"/>
      <x:c r="AC5" s="13"/>
      <x:c r="AD5" t="n">
        <x:v>0</x:v>
      </x:c>
      <x:c r="AE5" s="19" t="n">
        <x:v>28017</x:v>
      </x:c>
      <x:c r="AF5" t="str">
        <x:v>deepseek-v4-pro</x:v>
      </x:c>
      <x:c r="AG5" s="20" t="n">
        <x:v>46237.158417164355</x:v>
      </x:c>
      <x:c r="AH5" t="n">
        <x:v>200</x:v>
      </x:c>
      <x:c r="AI5" t="str">
        <x:v>ffa6a63f49c6925426af1838428f8fce8dc069eb93d7dd3a94fb35e3ceb92aaa</x:v>
      </x:c>
      <x:c r="AJ5" t="str">
        <x:v>1fbc1da2672050b6b1a1ccd8c0cdb0c420d2f719bdeff82ba998509df8b0da41</x:v>
      </x:c>
    </x:row>
    <x:row r="6">
      <x:c r="A6" s="17" t="str">
        <x:v>005</x:v>
      </x:c>
      <x:c r="B6" t="str">
        <x:v>ZH-EXCELLENT-005</x:v>
      </x:c>
      <x:c r="C6" s="17" t="str">
        <x:v>005</x:v>
      </x:c>
      <x:c r="D6" t="str">
        <x:v>Excellent</x:v>
      </x:c>
      <x:c r="E6" t="n">
        <x:v>85</x:v>
      </x:c>
      <x:c r="F6" t="n">
        <x:v>100</x:v>
      </x:c>
      <x:c r="G6" t="n">
        <x:v>1</x:v>
      </x:c>
      <x:c r="H6" s="18" t="n">
        <x:v>95</x:v>
      </x:c>
      <x:c r="I6" s="18" t="n">
        <x:v>95</x:v>
      </x:c>
      <x:c r="J6" s="18" t="n">
        <x:v>92</x:v>
      </x:c>
      <x:c r="K6" s="18" t="n">
        <x:v>95</x:v>
      </x:c>
      <x:c r="L6" s="18" t="n">
        <x:v>98</x:v>
      </x:c>
      <x:c r="M6" s="18" t="n">
        <x:v>95</x:v>
      </x:c>
      <x:c r="N6" s="18" t="n">
        <x:v>95</x:v>
      </x:c>
      <x:c r="O6" s="18" t="n">
        <x:v>95</x:v>
      </x:c>
      <x:c r="P6" s="18"/>
      <x:c r="Q6" t="str">
        <x:v>Yes</x:v>
      </x:c>
      <x:c r="R6" s="18" t="n">
        <x:v>0</x:v>
      </x:c>
      <x:c r="S6" s="18" t="n">
        <x:v>0</x:v>
      </x:c>
      <x:c r="T6" s="18" t="n">
        <x:v>0</x:v>
      </x:c>
      <x:c r="U6" t="str">
        <x:v>Excellent</x:v>
      </x:c>
      <x:c r="V6" t="str">
        <x:v>Yes</x:v>
      </x:c>
      <x:c r="W6" t="str">
        <x:v>PUBLICATION_READY</x:v>
      </x:c>
      <x:c r="X6" t="str">
        <x:v>PASS</x:v>
      </x:c>
      <x:c r="Y6" t="n">
        <x:v>80</x:v>
      </x:c>
      <x:c r="Z6" t="str">
        <x:v>Success</x:v>
      </x:c>
      <x:c r="AA6"/>
      <x:c r="AB6"/>
      <x:c r="AC6" s="13"/>
      <x:c r="AD6" t="n">
        <x:v>0</x:v>
      </x:c>
      <x:c r="AE6" s="19" t="n">
        <x:v>29909</x:v>
      </x:c>
      <x:c r="AF6" t="str">
        <x:v>deepseek-v4-pro</x:v>
      </x:c>
      <x:c r="AG6" s="20" t="n">
        <x:v>46237.15876334491</x:v>
      </x:c>
      <x:c r="AH6" t="n">
        <x:v>200</x:v>
      </x:c>
      <x:c r="AI6" t="str">
        <x:v>a4f99d6237be484184067a4b88a8e98793f41e93d794f3d68cf85ca95ac241a2</x:v>
      </x:c>
      <x:c r="AJ6" t="str">
        <x:v>1fbc1da2672050b6b1a1ccd8c0cdb0c420d2f719bdeff82ba998509df8b0da41</x:v>
      </x:c>
    </x:row>
    <x:row r="7">
      <x:c r="A7" s="17" t="str">
        <x:v>006</x:v>
      </x:c>
      <x:c r="B7" t="str">
        <x:v>ZH-EXCELLENT-006</x:v>
      </x:c>
      <x:c r="C7" s="17" t="str">
        <x:v>006</x:v>
      </x:c>
      <x:c r="D7" t="str">
        <x:v>Excellent</x:v>
      </x:c>
      <x:c r="E7" t="n">
        <x:v>85</x:v>
      </x:c>
      <x:c r="F7" t="n">
        <x:v>100</x:v>
      </x:c>
      <x:c r="G7" t="n">
        <x:v>1</x:v>
      </x:c>
      <x:c r="H7" s="18" t="n">
        <x:v>96</x:v>
      </x:c>
      <x:c r="I7" s="18" t="n">
        <x:v>95</x:v>
      </x:c>
      <x:c r="J7" s="18" t="n">
        <x:v>95</x:v>
      </x:c>
      <x:c r="K7" s="18" t="n">
        <x:v>95</x:v>
      </x:c>
      <x:c r="L7" s="18" t="n">
        <x:v>98</x:v>
      </x:c>
      <x:c r="M7" s="18" t="n">
        <x:v>98</x:v>
      </x:c>
      <x:c r="N7" s="18" t="n">
        <x:v>95</x:v>
      </x:c>
      <x:c r="O7" s="18" t="n">
        <x:v>96</x:v>
      </x:c>
      <x:c r="P7" s="18"/>
      <x:c r="Q7" t="str">
        <x:v>Yes</x:v>
      </x:c>
      <x:c r="R7" s="18" t="n">
        <x:v>0</x:v>
      </x:c>
      <x:c r="S7" s="18" t="n">
        <x:v>0</x:v>
      </x:c>
      <x:c r="T7" s="18" t="n">
        <x:v>0</x:v>
      </x:c>
      <x:c r="U7" t="str">
        <x:v>Excellent</x:v>
      </x:c>
      <x:c r="V7" t="str">
        <x:v>Yes</x:v>
      </x:c>
      <x:c r="W7" t="str">
        <x:v>PUBLICATION_READY</x:v>
      </x:c>
      <x:c r="X7" t="str">
        <x:v>PASS</x:v>
      </x:c>
      <x:c r="Y7" t="n">
        <x:v>80</x:v>
      </x:c>
      <x:c r="Z7" t="str">
        <x:v>Success</x:v>
      </x:c>
      <x:c r="AA7"/>
      <x:c r="AB7"/>
      <x:c r="AC7" s="13"/>
      <x:c r="AD7" t="n">
        <x:v>1</x:v>
      </x:c>
      <x:c r="AE7" s="19" t="n">
        <x:v>146044</x:v>
      </x:c>
      <x:c r="AF7" t="str">
        <x:v>deepseek-v4-pro</x:v>
      </x:c>
      <x:c r="AG7" s="20" t="n">
        <x:v>46237.16045369213</x:v>
      </x:c>
      <x:c r="AH7" t="n">
        <x:v>200</x:v>
      </x:c>
      <x:c r="AI7" t="str">
        <x:v>f54b3ddbb35eeedaf691efa977d37329bc28581b7ec6173321cad90c5e2682fc</x:v>
      </x:c>
      <x:c r="AJ7" t="str">
        <x:v>1fbc1da2672050b6b1a1ccd8c0cdb0c420d2f719bdeff82ba998509df8b0da41</x:v>
      </x:c>
    </x:row>
    <x:row r="8">
      <x:c r="A8" s="17" t="str">
        <x:v>007</x:v>
      </x:c>
      <x:c r="B8" t="str">
        <x:v>ZH-EXCELLENT-007</x:v>
      </x:c>
      <x:c r="C8" s="17" t="str">
        <x:v>007</x:v>
      </x:c>
      <x:c r="D8" t="str">
        <x:v>Excellent</x:v>
      </x:c>
      <x:c r="E8" t="n">
        <x:v>85</x:v>
      </x:c>
      <x:c r="F8" t="n">
        <x:v>100</x:v>
      </x:c>
      <x:c r="G8" t="n">
        <x:v>1</x:v>
      </x:c>
      <x:c r="H8" s="18" t="n">
        <x:v>93</x:v>
      </x:c>
      <x:c r="I8" s="18" t="n">
        <x:v>93</x:v>
      </x:c>
      <x:c r="J8" s="18" t="n">
        <x:v>92</x:v>
      </x:c>
      <x:c r="K8" s="18" t="n">
        <x:v>95</x:v>
      </x:c>
      <x:c r="L8" s="18" t="n">
        <x:v>94</x:v>
      </x:c>
      <x:c r="M8" s="18" t="n">
        <x:v>93</x:v>
      </x:c>
      <x:c r="N8" s="18" t="n">
        <x:v>90</x:v>
      </x:c>
      <x:c r="O8" s="18" t="n">
        <x:v>93</x:v>
      </x:c>
      <x:c r="P8" s="18"/>
      <x:c r="Q8" t="str">
        <x:v>Yes</x:v>
      </x:c>
      <x:c r="R8" s="18" t="n">
        <x:v>0</x:v>
      </x:c>
      <x:c r="S8" s="18" t="n">
        <x:v>0</x:v>
      </x:c>
      <x:c r="T8" s="18" t="n">
        <x:v>0</x:v>
      </x:c>
      <x:c r="U8" t="str">
        <x:v>Excellent</x:v>
      </x:c>
      <x:c r="V8" t="str">
        <x:v>Yes</x:v>
      </x:c>
      <x:c r="W8" t="str">
        <x:v>PUBLICATION_READY</x:v>
      </x:c>
      <x:c r="X8" t="str">
        <x:v>PASS</x:v>
      </x:c>
      <x:c r="Y8" t="n">
        <x:v>80</x:v>
      </x:c>
      <x:c r="Z8" t="str">
        <x:v>Success</x:v>
      </x:c>
      <x:c r="AA8"/>
      <x:c r="AB8"/>
      <x:c r="AC8" s="13"/>
      <x:c r="AD8" t="n">
        <x:v>0</x:v>
      </x:c>
      <x:c r="AE8" s="19" t="n">
        <x:v>28802</x:v>
      </x:c>
      <x:c r="AF8" t="str">
        <x:v>deepseek-v4-pro</x:v>
      </x:c>
      <x:c r="AG8" s="20" t="n">
        <x:v>46237.16078706019</x:v>
      </x:c>
      <x:c r="AH8" t="n">
        <x:v>200</x:v>
      </x:c>
      <x:c r="AI8" t="str">
        <x:v>973214cd9fc34dc0680ed9dbcf0468513310a4bd4966556e1f07026372bbf831</x:v>
      </x:c>
      <x:c r="AJ8" t="str">
        <x:v>1fbc1da2672050b6b1a1ccd8c0cdb0c420d2f719bdeff82ba998509df8b0da41</x:v>
      </x:c>
    </x:row>
    <x:row r="9">
      <x:c r="A9" s="17" t="str">
        <x:v>008</x:v>
      </x:c>
      <x:c r="B9" t="str">
        <x:v>ZH-EXCELLENT-008</x:v>
      </x:c>
      <x:c r="C9" s="17" t="str">
        <x:v>008</x:v>
      </x:c>
      <x:c r="D9" t="str">
        <x:v>Excellent</x:v>
      </x:c>
      <x:c r="E9" t="n">
        <x:v>85</x:v>
      </x:c>
      <x:c r="F9" t="n">
        <x:v>100</x:v>
      </x:c>
      <x:c r="G9" t="n">
        <x:v>1</x:v>
      </x:c>
      <x:c r="H9" s="18" t="n">
        <x:v>96</x:v>
      </x:c>
      <x:c r="I9" s="18" t="n">
        <x:v>95</x:v>
      </x:c>
      <x:c r="J9" s="18" t="n">
        <x:v>92</x:v>
      </x:c>
      <x:c r="K9" s="18" t="n">
        <x:v>95</x:v>
      </x:c>
      <x:c r="L9" s="18" t="n">
        <x:v>100</x:v>
      </x:c>
      <x:c r="M9" s="18" t="n">
        <x:v>95</x:v>
      </x:c>
      <x:c r="N9" s="18" t="n">
        <x:v>100</x:v>
      </x:c>
      <x:c r="O9" s="18" t="n">
        <x:v>96</x:v>
      </x:c>
      <x:c r="P9" s="18"/>
      <x:c r="Q9" t="str">
        <x:v>Yes</x:v>
      </x:c>
      <x:c r="R9" s="18" t="n">
        <x:v>0</x:v>
      </x:c>
      <x:c r="S9" s="18" t="n">
        <x:v>0</x:v>
      </x:c>
      <x:c r="T9" s="18" t="n">
        <x:v>0</x:v>
      </x:c>
      <x:c r="U9" t="str">
        <x:v>Excellent</x:v>
      </x:c>
      <x:c r="V9" t="str">
        <x:v>Yes</x:v>
      </x:c>
      <x:c r="W9" t="str">
        <x:v>PUBLICATION_READY</x:v>
      </x:c>
      <x:c r="X9" t="str">
        <x:v>PASS</x:v>
      </x:c>
      <x:c r="Y9" t="n">
        <x:v>80</x:v>
      </x:c>
      <x:c r="Z9" t="str">
        <x:v>Success</x:v>
      </x:c>
      <x:c r="AA9"/>
      <x:c r="AB9"/>
      <x:c r="AC9" s="13"/>
      <x:c r="AD9" t="n">
        <x:v>0</x:v>
      </x:c>
      <x:c r="AE9" s="19" t="n">
        <x:v>66146</x:v>
      </x:c>
      <x:c r="AF9" t="str">
        <x:v>deepseek-v4-pro</x:v>
      </x:c>
      <x:c r="AG9" s="20" t="n">
        <x:v>46237.16155251158</x:v>
      </x:c>
      <x:c r="AH9" t="n">
        <x:v>200</x:v>
      </x:c>
      <x:c r="AI9" t="str">
        <x:v>3ea7b6ca6461c686e4fed42cb9349bf96d31b84a6c5b7c83651f05f27bf835ec</x:v>
      </x:c>
      <x:c r="AJ9" t="str">
        <x:v>1fbc1da2672050b6b1a1ccd8c0cdb0c420d2f719bdeff82ba998509df8b0da41</x:v>
      </x:c>
    </x:row>
    <x:row r="10">
      <x:c r="A10" s="17" t="str">
        <x:v>009</x:v>
      </x:c>
      <x:c r="B10" t="str">
        <x:v>ZH-EXCELLENT-009</x:v>
      </x:c>
      <x:c r="C10" s="17" t="str">
        <x:v>009</x:v>
      </x:c>
      <x:c r="D10" t="str">
        <x:v>Excellent</x:v>
      </x:c>
      <x:c r="E10" t="n">
        <x:v>85</x:v>
      </x:c>
      <x:c r="F10" t="n">
        <x:v>100</x:v>
      </x:c>
      <x:c r="G10" t="n">
        <x:v>1</x:v>
      </x:c>
      <x:c r="H10" s="18" t="n">
        <x:v>95</x:v>
      </x:c>
      <x:c r="I10" s="18" t="n">
        <x:v>95</x:v>
      </x:c>
      <x:c r="J10" s="18" t="n">
        <x:v>95</x:v>
      </x:c>
      <x:c r="K10" s="18" t="n">
        <x:v>95</x:v>
      </x:c>
      <x:c r="L10" s="18" t="n">
        <x:v>95</x:v>
      </x:c>
      <x:c r="M10" s="18" t="n">
        <x:v>95</x:v>
      </x:c>
      <x:c r="N10" s="18" t="n">
        <x:v>95</x:v>
      </x:c>
      <x:c r="O10" s="18" t="n">
        <x:v>95</x:v>
      </x:c>
      <x:c r="P10" s="18"/>
      <x:c r="Q10" t="str">
        <x:v>Yes</x:v>
      </x:c>
      <x:c r="R10" s="18" t="n">
        <x:v>0</x:v>
      </x:c>
      <x:c r="S10" s="18" t="n">
        <x:v>0</x:v>
      </x:c>
      <x:c r="T10" s="18" t="n">
        <x:v>0</x:v>
      </x:c>
      <x:c r="U10" t="str">
        <x:v>Excellent</x:v>
      </x:c>
      <x:c r="V10" t="str">
        <x:v>Yes</x:v>
      </x:c>
      <x:c r="W10" t="str">
        <x:v>PUBLICATION_READY</x:v>
      </x:c>
      <x:c r="X10" t="str">
        <x:v>PASS</x:v>
      </x:c>
      <x:c r="Y10" t="n">
        <x:v>80</x:v>
      </x:c>
      <x:c r="Z10" t="str">
        <x:v>Success</x:v>
      </x:c>
      <x:c r="AA10"/>
      <x:c r="AB10"/>
      <x:c r="AC10" s="13"/>
      <x:c r="AD10" t="n">
        <x:v>0</x:v>
      </x:c>
      <x:c r="AE10" s="19" t="n">
        <x:v>31616</x:v>
      </x:c>
      <x:c r="AF10" t="str">
        <x:v>deepseek-v4-pro</x:v>
      </x:c>
      <x:c r="AG10" s="20" t="n">
        <x:v>46237.16191858796</x:v>
      </x:c>
      <x:c r="AH10" t="n">
        <x:v>200</x:v>
      </x:c>
      <x:c r="AI10" t="str">
        <x:v>a173e679467d3416bf05eae3b496ac9444f507a20afacc862fa4d24f971a880b</x:v>
      </x:c>
      <x:c r="AJ10" t="str">
        <x:v>1fbc1da2672050b6b1a1ccd8c0cdb0c420d2f719bdeff82ba998509df8b0da41</x:v>
      </x:c>
    </x:row>
    <x:row r="11">
      <x:c r="A11" s="17" t="str">
        <x:v>010</x:v>
      </x:c>
      <x:c r="B11" t="str">
        <x:v>ZH-EXCELLENT-010</x:v>
      </x:c>
      <x:c r="C11" s="17" t="str">
        <x:v>010</x:v>
      </x:c>
      <x:c r="D11" t="str">
        <x:v>Excellent</x:v>
      </x:c>
      <x:c r="E11" t="n">
        <x:v>85</x:v>
      </x:c>
      <x:c r="F11" t="n">
        <x:v>100</x:v>
      </x:c>
      <x:c r="G11" t="n">
        <x:v>1</x:v>
      </x:c>
      <x:c r="H11" s="18" t="n">
        <x:v>95</x:v>
      </x:c>
      <x:c r="I11" s="18" t="n">
        <x:v>95</x:v>
      </x:c>
      <x:c r="J11" s="18" t="n">
        <x:v>95</x:v>
      </x:c>
      <x:c r="K11" s="18" t="n">
        <x:v>95</x:v>
      </x:c>
      <x:c r="L11" s="18" t="n">
        <x:v>95</x:v>
      </x:c>
      <x:c r="M11" s="18" t="n">
        <x:v>95</x:v>
      </x:c>
      <x:c r="N11" s="18" t="n">
        <x:v>95</x:v>
      </x:c>
      <x:c r="O11" s="18" t="n">
        <x:v>95</x:v>
      </x:c>
      <x:c r="P11" s="18"/>
      <x:c r="Q11" t="str">
        <x:v>Yes</x:v>
      </x:c>
      <x:c r="R11" s="18" t="n">
        <x:v>0</x:v>
      </x:c>
      <x:c r="S11" s="18" t="n">
        <x:v>0</x:v>
      </x:c>
      <x:c r="T11" s="18" t="n">
        <x:v>0</x:v>
      </x:c>
      <x:c r="U11" t="str">
        <x:v>Excellent</x:v>
      </x:c>
      <x:c r="V11" t="str">
        <x:v>Yes</x:v>
      </x:c>
      <x:c r="W11" t="str">
        <x:v>PUBLICATION_READY</x:v>
      </x:c>
      <x:c r="X11" t="str">
        <x:v>PASS</x:v>
      </x:c>
      <x:c r="Y11" t="n">
        <x:v>80</x:v>
      </x:c>
      <x:c r="Z11" t="str">
        <x:v>Success</x:v>
      </x:c>
      <x:c r="AA11"/>
      <x:c r="AB11"/>
      <x:c r="AC11" s="13"/>
      <x:c r="AD11" t="n">
        <x:v>0</x:v>
      </x:c>
      <x:c r="AE11" s="19" t="n">
        <x:v>26731</x:v>
      </x:c>
      <x:c r="AF11" t="str">
        <x:v>deepseek-v4-pro</x:v>
      </x:c>
      <x:c r="AG11" s="20" t="n">
        <x:v>46237.16222802083</x:v>
      </x:c>
      <x:c r="AH11" t="n">
        <x:v>200</x:v>
      </x:c>
      <x:c r="AI11" t="str">
        <x:v>cf198cc7135201ece5d250b5bd12075f085c25c6f6ecc9aeb699f89893fd9def</x:v>
      </x:c>
      <x:c r="AJ11" t="str">
        <x:v>1fbc1da2672050b6b1a1ccd8c0cdb0c420d2f719bdeff82ba998509df8b0da41</x:v>
      </x:c>
    </x:row>
    <x:row r="12">
      <x:c r="A12" s="17" t="str">
        <x:v>011</x:v>
      </x:c>
      <x:c r="B12" t="str">
        <x:v>ZH-EXCELLENT-011</x:v>
      </x:c>
      <x:c r="C12" s="17" t="str">
        <x:v>011</x:v>
      </x:c>
      <x:c r="D12" t="str">
        <x:v>Excellent</x:v>
      </x:c>
      <x:c r="E12" t="n">
        <x:v>85</x:v>
      </x:c>
      <x:c r="F12" t="n">
        <x:v>100</x:v>
      </x:c>
      <x:c r="G12" t="n">
        <x:v>1</x:v>
      </x:c>
      <x:c r="H12" s="18" t="n">
        <x:v>96</x:v>
      </x:c>
      <x:c r="I12" s="18" t="n">
        <x:v>95</x:v>
      </x:c>
      <x:c r="J12" s="18" t="n">
        <x:v>95</x:v>
      </x:c>
      <x:c r="K12" s="18" t="n">
        <x:v>95</x:v>
      </x:c>
      <x:c r="L12" s="18" t="n">
        <x:v>98</x:v>
      </x:c>
      <x:c r="M12" s="18" t="n">
        <x:v>98</x:v>
      </x:c>
      <x:c r="N12" s="18" t="n">
        <x:v>95</x:v>
      </x:c>
      <x:c r="O12" s="18" t="n">
        <x:v>96</x:v>
      </x:c>
      <x:c r="P12" s="18"/>
      <x:c r="Q12" t="str">
        <x:v>Yes</x:v>
      </x:c>
      <x:c r="R12" s="18" t="n">
        <x:v>0</x:v>
      </x:c>
      <x:c r="S12" s="18" t="n">
        <x:v>0</x:v>
      </x:c>
      <x:c r="T12" s="18" t="n">
        <x:v>0</x:v>
      </x:c>
      <x:c r="U12" t="str">
        <x:v>Excellent</x:v>
      </x:c>
      <x:c r="V12" t="str">
        <x:v>Yes</x:v>
      </x:c>
      <x:c r="W12" t="str">
        <x:v>PUBLICATION_READY</x:v>
      </x:c>
      <x:c r="X12" t="str">
        <x:v>PASS</x:v>
      </x:c>
      <x:c r="Y12" t="n">
        <x:v>80</x:v>
      </x:c>
      <x:c r="Z12" t="str">
        <x:v>Success</x:v>
      </x:c>
      <x:c r="AA12"/>
      <x:c r="AB12"/>
      <x:c r="AC12" s="13"/>
      <x:c r="AD12" t="n">
        <x:v>0</x:v>
      </x:c>
      <x:c r="AE12" s="19" t="n">
        <x:v>31675</x:v>
      </x:c>
      <x:c r="AF12" t="str">
        <x:v>deepseek-v4-pro</x:v>
      </x:c>
      <x:c r="AG12" s="20" t="n">
        <x:v>46237.16259465278</x:v>
      </x:c>
      <x:c r="AH12" t="n">
        <x:v>200</x:v>
      </x:c>
      <x:c r="AI12" t="str">
        <x:v>b87991186866cc704d58fbac67de8fd6f507e4b78863bfb35b8c53cc2d49b1d3</x:v>
      </x:c>
      <x:c r="AJ12" t="str">
        <x:v>1fbc1da2672050b6b1a1ccd8c0cdb0c420d2f719bdeff82ba998509df8b0da41</x:v>
      </x:c>
    </x:row>
    <x:row r="13">
      <x:c r="A13" s="17" t="str">
        <x:v>012</x:v>
      </x:c>
      <x:c r="B13" t="str">
        <x:v>ZH-EXCELLENT-012</x:v>
      </x:c>
      <x:c r="C13" s="17" t="str">
        <x:v>012</x:v>
      </x:c>
      <x:c r="D13" t="str">
        <x:v>Excellent</x:v>
      </x:c>
      <x:c r="E13" t="n">
        <x:v>85</x:v>
      </x:c>
      <x:c r="F13" t="n">
        <x:v>100</x:v>
      </x:c>
      <x:c r="G13" t="n">
        <x:v>1</x:v>
      </x:c>
      <x:c r="H13" s="18" t="n">
        <x:v>95</x:v>
      </x:c>
      <x:c r="I13" s="18" t="n">
        <x:v>95</x:v>
      </x:c>
      <x:c r="J13" s="18" t="n">
        <x:v>95</x:v>
      </x:c>
      <x:c r="K13" s="18" t="n">
        <x:v>95</x:v>
      </x:c>
      <x:c r="L13" s="18" t="n">
        <x:v>95</x:v>
      </x:c>
      <x:c r="M13" s="18" t="n">
        <x:v>95</x:v>
      </x:c>
      <x:c r="N13" s="18" t="n">
        <x:v>95</x:v>
      </x:c>
      <x:c r="O13" s="18" t="n">
        <x:v>95</x:v>
      </x:c>
      <x:c r="P13" s="18"/>
      <x:c r="Q13" t="str">
        <x:v>Yes</x:v>
      </x:c>
      <x:c r="R13" s="18" t="n">
        <x:v>0</x:v>
      </x:c>
      <x:c r="S13" s="18" t="n">
        <x:v>0</x:v>
      </x:c>
      <x:c r="T13" s="18" t="n">
        <x:v>0</x:v>
      </x:c>
      <x:c r="U13" t="str">
        <x:v>Excellent</x:v>
      </x:c>
      <x:c r="V13" t="str">
        <x:v>Yes</x:v>
      </x:c>
      <x:c r="W13" t="str">
        <x:v>PUBLICATION_READY</x:v>
      </x:c>
      <x:c r="X13" t="str">
        <x:v>PASS</x:v>
      </x:c>
      <x:c r="Y13" t="n">
        <x:v>80</x:v>
      </x:c>
      <x:c r="Z13" t="str">
        <x:v>Success</x:v>
      </x:c>
      <x:c r="AA13"/>
      <x:c r="AB13"/>
      <x:c r="AC13" s="13"/>
      <x:c r="AD13" t="n">
        <x:v>0</x:v>
      </x:c>
      <x:c r="AE13" s="19" t="n">
        <x:v>38464</x:v>
      </x:c>
      <x:c r="AF13" t="str">
        <x:v>deepseek-v4-pro</x:v>
      </x:c>
      <x:c r="AG13" s="20" t="n">
        <x:v>46237.16303986111</x:v>
      </x:c>
      <x:c r="AH13" t="n">
        <x:v>200</x:v>
      </x:c>
      <x:c r="AI13" t="str">
        <x:v>d0ca7d5519885c88885e035df20f3e6ef215908da44d274df775dc36e1468a0d</x:v>
      </x:c>
      <x:c r="AJ13" t="str">
        <x:v>1fbc1da2672050b6b1a1ccd8c0cdb0c420d2f719bdeff82ba998509df8b0da41</x:v>
      </x:c>
    </x:row>
    <x:row r="14">
      <x:c r="A14" s="17" t="str">
        <x:v>013</x:v>
      </x:c>
      <x:c r="B14" t="str">
        <x:v>ZH-EXCELLENT-013</x:v>
      </x:c>
      <x:c r="C14" s="17" t="str">
        <x:v>013</x:v>
      </x:c>
      <x:c r="D14" t="str">
        <x:v>Excellent</x:v>
      </x:c>
      <x:c r="E14" t="n">
        <x:v>85</x:v>
      </x:c>
      <x:c r="F14" t="n">
        <x:v>100</x:v>
      </x:c>
      <x:c r="G14" t="n">
        <x:v>1</x:v>
      </x:c>
      <x:c r="H14" s="18" t="n">
        <x:v>96</x:v>
      </x:c>
      <x:c r="I14" s="18" t="n">
        <x:v>95</x:v>
      </x:c>
      <x:c r="J14" s="18" t="n">
        <x:v>95</x:v>
      </x:c>
      <x:c r="K14" s="18" t="n">
        <x:v>95</x:v>
      </x:c>
      <x:c r="L14" s="18" t="n">
        <x:v>98</x:v>
      </x:c>
      <x:c r="M14" s="18" t="n">
        <x:v>98</x:v>
      </x:c>
      <x:c r="N14" s="18" t="n">
        <x:v>95</x:v>
      </x:c>
      <x:c r="O14" s="18" t="n">
        <x:v>96</x:v>
      </x:c>
      <x:c r="P14" s="18"/>
      <x:c r="Q14" t="str">
        <x:v>Yes</x:v>
      </x:c>
      <x:c r="R14" s="18" t="n">
        <x:v>0</x:v>
      </x:c>
      <x:c r="S14" s="18" t="n">
        <x:v>0</x:v>
      </x:c>
      <x:c r="T14" s="18" t="n">
        <x:v>0</x:v>
      </x:c>
      <x:c r="U14" t="str">
        <x:v>Excellent</x:v>
      </x:c>
      <x:c r="V14" t="str">
        <x:v>Yes</x:v>
      </x:c>
      <x:c r="W14" t="str">
        <x:v>PUBLICATION_READY</x:v>
      </x:c>
      <x:c r="X14" t="str">
        <x:v>PASS</x:v>
      </x:c>
      <x:c r="Y14" t="n">
        <x:v>80</x:v>
      </x:c>
      <x:c r="Z14" t="str">
        <x:v>Success</x:v>
      </x:c>
      <x:c r="AA14"/>
      <x:c r="AB14"/>
      <x:c r="AC14" s="13"/>
      <x:c r="AD14" t="n">
        <x:v>0</x:v>
      </x:c>
      <x:c r="AE14" s="19" t="n">
        <x:v>32055</x:v>
      </x:c>
      <x:c r="AF14" t="str">
        <x:v>deepseek-v4-pro</x:v>
      </x:c>
      <x:c r="AG14" s="20" t="n">
        <x:v>46237.163410891204</x:v>
      </x:c>
      <x:c r="AH14" t="n">
        <x:v>200</x:v>
      </x:c>
      <x:c r="AI14" t="str">
        <x:v>07b97381e17950908aaeea6e87155b344ae3c3e3b41eaddf55c78d76e08e8d6e</x:v>
      </x:c>
      <x:c r="AJ14" t="str">
        <x:v>1fbc1da2672050b6b1a1ccd8c0cdb0c420d2f719bdeff82ba998509df8b0da41</x:v>
      </x:c>
    </x:row>
    <x:row r="15">
      <x:c r="A15" s="17" t="str">
        <x:v>014</x:v>
      </x:c>
      <x:c r="B15" t="str">
        <x:v>ZH-EXCELLENT-014</x:v>
      </x:c>
      <x:c r="C15" s="17" t="str">
        <x:v>014</x:v>
      </x:c>
      <x:c r="D15" t="str">
        <x:v>Excellent</x:v>
      </x:c>
      <x:c r="E15" t="n">
        <x:v>85</x:v>
      </x:c>
      <x:c r="F15" t="n">
        <x:v>100</x:v>
      </x:c>
      <x:c r="G15" t="n">
        <x:v>1</x:v>
      </x:c>
      <x:c r="H15" s="18" t="n">
        <x:v>89</x:v>
      </x:c>
      <x:c r="I15" s="18" t="n">
        <x:v>90</x:v>
      </x:c>
      <x:c r="J15" s="18" t="n">
        <x:v>85</x:v>
      </x:c>
      <x:c r="K15" s="18" t="n">
        <x:v>95</x:v>
      </x:c>
      <x:c r="L15" s="18" t="n">
        <x:v>95</x:v>
      </x:c>
      <x:c r="M15" s="18" t="n">
        <x:v>95</x:v>
      </x:c>
      <x:c r="N15" s="18" t="n">
        <x:v>95</x:v>
      </x:c>
      <x:c r="O15" s="18" t="n">
        <x:v>92</x:v>
      </x:c>
      <x:c r="P15" s="18" t="n">
        <x:v>89</x:v>
      </x:c>
      <x:c r="Q15" t="str">
        <x:v>Yes</x:v>
      </x:c>
      <x:c r="R15" s="18" t="n">
        <x:v>0</x:v>
      </x:c>
      <x:c r="S15" s="18" t="n">
        <x:v>0</x:v>
      </x:c>
      <x:c r="T15" s="18" t="n">
        <x:v>0</x:v>
      </x:c>
      <x:c r="U15" t="str">
        <x:v>Excellent</x:v>
      </x:c>
      <x:c r="V15" t="str">
        <x:v>Yes</x:v>
      </x:c>
      <x:c r="W15" t="str">
        <x:v>STRONG_LIMITED_EDITING</x:v>
      </x:c>
      <x:c r="X15" t="str">
        <x:v>PASS</x:v>
      </x:c>
      <x:c r="Y15" t="n">
        <x:v>80</x:v>
      </x:c>
      <x:c r="Z15" t="str">
        <x:v>Success</x:v>
      </x:c>
      <x:c r="AA15"/>
      <x:c r="AB15"/>
      <x:c r="AC15" s="13"/>
      <x:c r="AD15" t="n">
        <x:v>0</x:v>
      </x:c>
      <x:c r="AE15" s="19" t="n">
        <x:v>49618</x:v>
      </x:c>
      <x:c r="AF15" t="str">
        <x:v>deepseek-v4-pro</x:v>
      </x:c>
      <x:c r="AG15" s="20" t="n">
        <x:v>46237.16398517361</x:v>
      </x:c>
      <x:c r="AH15" t="n">
        <x:v>200</x:v>
      </x:c>
      <x:c r="AI15" t="str">
        <x:v>19200d0c2f6060897803e8f66ff08e0b3c77bf27373999459ca5edb5d8a7169d</x:v>
      </x:c>
      <x:c r="AJ15" t="str">
        <x:v>1fbc1da2672050b6b1a1ccd8c0cdb0c420d2f719bdeff82ba998509df8b0da41</x:v>
      </x:c>
    </x:row>
    <x:row r="16">
      <x:c r="A16" s="17" t="str">
        <x:v>015</x:v>
      </x:c>
      <x:c r="B16" t="str">
        <x:v>ZH-EXCELLENT-015</x:v>
      </x:c>
      <x:c r="C16" s="17" t="str">
        <x:v>015</x:v>
      </x:c>
      <x:c r="D16" t="str">
        <x:v>Excellent</x:v>
      </x:c>
      <x:c r="E16" t="n">
        <x:v>85</x:v>
      </x:c>
      <x:c r="F16" t="n">
        <x:v>100</x:v>
      </x:c>
      <x:c r="G16" t="n">
        <x:v>1</x:v>
      </x:c>
      <x:c r="H16" s="18" t="n">
        <x:v>95</x:v>
      </x:c>
      <x:c r="I16" s="18" t="n">
        <x:v>95</x:v>
      </x:c>
      <x:c r="J16" s="18" t="n">
        <x:v>95</x:v>
      </x:c>
      <x:c r="K16" s="18" t="n">
        <x:v>95</x:v>
      </x:c>
      <x:c r="L16" s="18" t="n">
        <x:v>95</x:v>
      </x:c>
      <x:c r="M16" s="18" t="n">
        <x:v>95</x:v>
      </x:c>
      <x:c r="N16" s="18" t="n">
        <x:v>95</x:v>
      </x:c>
      <x:c r="O16" s="18" t="n">
        <x:v>95</x:v>
      </x:c>
      <x:c r="P16" s="18"/>
      <x:c r="Q16" t="str">
        <x:v>Yes</x:v>
      </x:c>
      <x:c r="R16" s="18" t="n">
        <x:v>0</x:v>
      </x:c>
      <x:c r="S16" s="18" t="n">
        <x:v>0</x:v>
      </x:c>
      <x:c r="T16" s="18" t="n">
        <x:v>0</x:v>
      </x:c>
      <x:c r="U16" t="str">
        <x:v>Excellent</x:v>
      </x:c>
      <x:c r="V16" t="str">
        <x:v>Yes</x:v>
      </x:c>
      <x:c r="W16" t="str">
        <x:v>PUBLICATION_READY</x:v>
      </x:c>
      <x:c r="X16" t="str">
        <x:v>PASS</x:v>
      </x:c>
      <x:c r="Y16" t="n">
        <x:v>80</x:v>
      </x:c>
      <x:c r="Z16" t="str">
        <x:v>Success</x:v>
      </x:c>
      <x:c r="AA16"/>
      <x:c r="AB16"/>
      <x:c r="AC16" s="13"/>
      <x:c r="AD16" t="n">
        <x:v>0</x:v>
      </x:c>
      <x:c r="AE16" s="19" t="n">
        <x:v>33605</x:v>
      </x:c>
      <x:c r="AF16" t="str">
        <x:v>deepseek-v4-pro</x:v>
      </x:c>
      <x:c r="AG16" s="20" t="n">
        <x:v>46237.164374155094</x:v>
      </x:c>
      <x:c r="AH16" t="n">
        <x:v>200</x:v>
      </x:c>
      <x:c r="AI16" t="str">
        <x:v>9297d4770c69adb21c429dc75a5323729a37da42cc0a062cfe8fbc0d3f2bb8a5</x:v>
      </x:c>
      <x:c r="AJ16" t="str">
        <x:v>1fbc1da2672050b6b1a1ccd8c0cdb0c420d2f719bdeff82ba998509df8b0da41</x:v>
      </x:c>
    </x:row>
    <x:row r="17">
      <x:c r="A17" s="17" t="str">
        <x:v>016</x:v>
      </x:c>
      <x:c r="B17" t="str">
        <x:v>ZH-EXCELLENT-016</x:v>
      </x:c>
      <x:c r="C17" s="17" t="str">
        <x:v>016</x:v>
      </x:c>
      <x:c r="D17" t="str">
        <x:v>Excellent</x:v>
      </x:c>
      <x:c r="E17" t="n">
        <x:v>85</x:v>
      </x:c>
      <x:c r="F17" t="n">
        <x:v>100</x:v>
      </x:c>
      <x:c r="G17" t="n">
        <x:v>1</x:v>
      </x:c>
      <x:c r="H17" s="18" t="n">
        <x:v>95</x:v>
      </x:c>
      <x:c r="I17" s="18" t="n">
        <x:v>95</x:v>
      </x:c>
      <x:c r="J17" s="18" t="n">
        <x:v>95</x:v>
      </x:c>
      <x:c r="K17" s="18" t="n">
        <x:v>95</x:v>
      </x:c>
      <x:c r="L17" s="18" t="n">
        <x:v>95</x:v>
      </x:c>
      <x:c r="M17" s="18" t="n">
        <x:v>95</x:v>
      </x:c>
      <x:c r="N17" s="18" t="n">
        <x:v>95</x:v>
      </x:c>
      <x:c r="O17" s="18" t="n">
        <x:v>95</x:v>
      </x:c>
      <x:c r="P17" s="18"/>
      <x:c r="Q17" t="str">
        <x:v>Yes</x:v>
      </x:c>
      <x:c r="R17" s="18" t="n">
        <x:v>0</x:v>
      </x:c>
      <x:c r="S17" s="18" t="n">
        <x:v>0</x:v>
      </x:c>
      <x:c r="T17" s="18" t="n">
        <x:v>0</x:v>
      </x:c>
      <x:c r="U17" t="str">
        <x:v>Excellent</x:v>
      </x:c>
      <x:c r="V17" t="str">
        <x:v>Yes</x:v>
      </x:c>
      <x:c r="W17" t="str">
        <x:v>PUBLICATION_READY</x:v>
      </x:c>
      <x:c r="X17" t="str">
        <x:v>PASS</x:v>
      </x:c>
      <x:c r="Y17" t="n">
        <x:v>80</x:v>
      </x:c>
      <x:c r="Z17" t="str">
        <x:v>Success</x:v>
      </x:c>
      <x:c r="AA17"/>
      <x:c r="AB17"/>
      <x:c r="AC17" s="13"/>
      <x:c r="AD17" t="n">
        <x:v>0</x:v>
      </x:c>
      <x:c r="AE17" s="19" t="n">
        <x:v>22278</x:v>
      </x:c>
      <x:c r="AF17" t="str">
        <x:v>deepseek-v4-pro</x:v>
      </x:c>
      <x:c r="AG17" s="20" t="n">
        <x:v>46237.164632025466</x:v>
      </x:c>
      <x:c r="AH17" t="n">
        <x:v>200</x:v>
      </x:c>
      <x:c r="AI17" t="str">
        <x:v>6c91de0d62cba6405fc241bb1081cba7e2babf2433983fe7063fa370127f7b41</x:v>
      </x:c>
      <x:c r="AJ17" t="str">
        <x:v>1fbc1da2672050b6b1a1ccd8c0cdb0c420d2f719bdeff82ba998509df8b0da41</x:v>
      </x:c>
    </x:row>
    <x:row r="18">
      <x:c r="A18" s="17" t="str">
        <x:v>017</x:v>
      </x:c>
      <x:c r="B18" t="str">
        <x:v>ZH-EXCELLENT-017</x:v>
      </x:c>
      <x:c r="C18" s="17" t="str">
        <x:v>017</x:v>
      </x:c>
      <x:c r="D18" t="str">
        <x:v>Excellent</x:v>
      </x:c>
      <x:c r="E18" t="n">
        <x:v>85</x:v>
      </x:c>
      <x:c r="F18" t="n">
        <x:v>100</x:v>
      </x:c>
      <x:c r="G18" t="n">
        <x:v>1</x:v>
      </x:c>
      <x:c r="H18" s="18" t="n">
        <x:v>94</x:v>
      </x:c>
      <x:c r="I18" s="18" t="n">
        <x:v>95</x:v>
      </x:c>
      <x:c r="J18" s="18" t="n">
        <x:v>92</x:v>
      </x:c>
      <x:c r="K18" s="18" t="n">
        <x:v>95</x:v>
      </x:c>
      <x:c r="L18" s="18" t="n">
        <x:v>95</x:v>
      </x:c>
      <x:c r="M18" s="18" t="n">
        <x:v>95</x:v>
      </x:c>
      <x:c r="N18" s="18" t="n">
        <x:v>95</x:v>
      </x:c>
      <x:c r="O18" s="18" t="n">
        <x:v>94</x:v>
      </x:c>
      <x:c r="P18" s="18"/>
      <x:c r="Q18" t="str">
        <x:v>Yes</x:v>
      </x:c>
      <x:c r="R18" s="18" t="n">
        <x:v>0</x:v>
      </x:c>
      <x:c r="S18" s="18" t="n">
        <x:v>0</x:v>
      </x:c>
      <x:c r="T18" s="18" t="n">
        <x:v>0</x:v>
      </x:c>
      <x:c r="U18" t="str">
        <x:v>Excellent</x:v>
      </x:c>
      <x:c r="V18" t="str">
        <x:v>Yes</x:v>
      </x:c>
      <x:c r="W18" t="str">
        <x:v>PUBLICATION_READY</x:v>
      </x:c>
      <x:c r="X18" t="str">
        <x:v>PASS</x:v>
      </x:c>
      <x:c r="Y18" t="n">
        <x:v>80</x:v>
      </x:c>
      <x:c r="Z18" t="str">
        <x:v>Success</x:v>
      </x:c>
      <x:c r="AA18"/>
      <x:c r="AB18"/>
      <x:c r="AC18" s="13"/>
      <x:c r="AD18" t="n">
        <x:v>0</x:v>
      </x:c>
      <x:c r="AE18" s="19" t="n">
        <x:v>29504</x:v>
      </x:c>
      <x:c r="AF18" t="str">
        <x:v>deepseek-v4-pro</x:v>
      </x:c>
      <x:c r="AG18" s="20" t="n">
        <x:v>46237.164973530096</x:v>
      </x:c>
      <x:c r="AH18" t="n">
        <x:v>200</x:v>
      </x:c>
      <x:c r="AI18" t="str">
        <x:v>2b340fbb352f5aaa553ba3e98ee638ada408ff7daabef78e1522c862f139ff04</x:v>
      </x:c>
      <x:c r="AJ18" t="str">
        <x:v>1fbc1da2672050b6b1a1ccd8c0cdb0c420d2f719bdeff82ba998509df8b0da41</x:v>
      </x:c>
    </x:row>
    <x:row r="19">
      <x:c r="A19" s="17" t="str">
        <x:v>018</x:v>
      </x:c>
      <x:c r="B19" t="str">
        <x:v>ZH-EXCELLENT-018</x:v>
      </x:c>
      <x:c r="C19" s="17" t="str">
        <x:v>018</x:v>
      </x:c>
      <x:c r="D19" t="str">
        <x:v>Excellent</x:v>
      </x:c>
      <x:c r="E19" t="n">
        <x:v>85</x:v>
      </x:c>
      <x:c r="F19" t="n">
        <x:v>100</x:v>
      </x:c>
      <x:c r="G19" t="n">
        <x:v>1</x:v>
      </x:c>
      <x:c r="H19" s="18" t="n">
        <x:v>95</x:v>
      </x:c>
      <x:c r="I19" s="18" t="n">
        <x:v>95</x:v>
      </x:c>
      <x:c r="J19" s="18" t="n">
        <x:v>95</x:v>
      </x:c>
      <x:c r="K19" s="18" t="n">
        <x:v>95</x:v>
      </x:c>
      <x:c r="L19" s="18" t="n">
        <x:v>95</x:v>
      </x:c>
      <x:c r="M19" s="18" t="n">
        <x:v>95</x:v>
      </x:c>
      <x:c r="N19" s="18" t="n">
        <x:v>95</x:v>
      </x:c>
      <x:c r="O19" s="18" t="n">
        <x:v>95</x:v>
      </x:c>
      <x:c r="P19" s="18"/>
      <x:c r="Q19" t="str">
        <x:v>Yes</x:v>
      </x:c>
      <x:c r="R19" s="18" t="n">
        <x:v>0</x:v>
      </x:c>
      <x:c r="S19" s="18" t="n">
        <x:v>0</x:v>
      </x:c>
      <x:c r="T19" s="18" t="n">
        <x:v>0</x:v>
      </x:c>
      <x:c r="U19" t="str">
        <x:v>Excellent</x:v>
      </x:c>
      <x:c r="V19" t="str">
        <x:v>Yes</x:v>
      </x:c>
      <x:c r="W19" t="str">
        <x:v>PUBLICATION_READY</x:v>
      </x:c>
      <x:c r="X19" t="str">
        <x:v>PASS</x:v>
      </x:c>
      <x:c r="Y19" t="n">
        <x:v>80</x:v>
      </x:c>
      <x:c r="Z19" t="str">
        <x:v>Success</x:v>
      </x:c>
      <x:c r="AA19"/>
      <x:c r="AB19"/>
      <x:c r="AC19" s="13"/>
      <x:c r="AD19" t="n">
        <x:v>0</x:v>
      </x:c>
      <x:c r="AE19" s="19" t="n">
        <x:v>36990</x:v>
      </x:c>
      <x:c r="AF19" t="str">
        <x:v>deepseek-v4-pro</x:v>
      </x:c>
      <x:c r="AG19" s="20" t="n">
        <x:v>46237.165401666665</x:v>
      </x:c>
      <x:c r="AH19" t="n">
        <x:v>200</x:v>
      </x:c>
      <x:c r="AI19" t="str">
        <x:v>ca119e2de9853cff6594ad7daf989c0e57b8161da86a020dd3a2295c0913c215</x:v>
      </x:c>
      <x:c r="AJ19" t="str">
        <x:v>1fbc1da2672050b6b1a1ccd8c0cdb0c420d2f719bdeff82ba998509df8b0da41</x:v>
      </x:c>
    </x:row>
    <x:row r="20">
      <x:c r="A20" s="17" t="str">
        <x:v>019</x:v>
      </x:c>
      <x:c r="B20" t="str">
        <x:v>ZH-EXCELLENT-019</x:v>
      </x:c>
      <x:c r="C20" s="17" t="str">
        <x:v>019</x:v>
      </x:c>
      <x:c r="D20" t="str">
        <x:v>Excellent</x:v>
      </x:c>
      <x:c r="E20" t="n">
        <x:v>85</x:v>
      </x:c>
      <x:c r="F20" t="n">
        <x:v>100</x:v>
      </x:c>
      <x:c r="G20" t="n">
        <x:v>1</x:v>
      </x:c>
      <x:c r="H20" s="18" t="n">
        <x:v>95</x:v>
      </x:c>
      <x:c r="I20" s="18" t="n">
        <x:v>95</x:v>
      </x:c>
      <x:c r="J20" s="18" t="n">
        <x:v>95</x:v>
      </x:c>
      <x:c r="K20" s="18" t="n">
        <x:v>95</x:v>
      </x:c>
      <x:c r="L20" s="18" t="n">
        <x:v>95</x:v>
      </x:c>
      <x:c r="M20" s="18" t="n">
        <x:v>95</x:v>
      </x:c>
      <x:c r="N20" s="18" t="n">
        <x:v>95</x:v>
      </x:c>
      <x:c r="O20" s="18" t="n">
        <x:v>95</x:v>
      </x:c>
      <x:c r="P20" s="18"/>
      <x:c r="Q20" t="str">
        <x:v>Yes</x:v>
      </x:c>
      <x:c r="R20" s="18" t="n">
        <x:v>0</x:v>
      </x:c>
      <x:c r="S20" s="18" t="n">
        <x:v>0</x:v>
      </x:c>
      <x:c r="T20" s="18" t="n">
        <x:v>0</x:v>
      </x:c>
      <x:c r="U20" t="str">
        <x:v>Excellent</x:v>
      </x:c>
      <x:c r="V20" t="str">
        <x:v>Yes</x:v>
      </x:c>
      <x:c r="W20" t="str">
        <x:v>PUBLICATION_READY</x:v>
      </x:c>
      <x:c r="X20" t="str">
        <x:v>PASS</x:v>
      </x:c>
      <x:c r="Y20" t="n">
        <x:v>80</x:v>
      </x:c>
      <x:c r="Z20" t="str">
        <x:v>Success</x:v>
      </x:c>
      <x:c r="AA20"/>
      <x:c r="AB20"/>
      <x:c r="AC20" s="13"/>
      <x:c r="AD20" t="n">
        <x:v>0</x:v>
      </x:c>
      <x:c r="AE20" s="19" t="n">
        <x:v>24434</x:v>
      </x:c>
      <x:c r="AF20" t="str">
        <x:v>deepseek-v4-pro</x:v>
      </x:c>
      <x:c r="AG20" s="20" t="n">
        <x:v>46237.16568450232</x:v>
      </x:c>
      <x:c r="AH20" t="n">
        <x:v>200</x:v>
      </x:c>
      <x:c r="AI20" t="str">
        <x:v>277ea7f57a4ec997b82da805b1c2cff0470d871804cb07a10ed7225416baddaf</x:v>
      </x:c>
      <x:c r="AJ20" t="str">
        <x:v>1fbc1da2672050b6b1a1ccd8c0cdb0c420d2f719bdeff82ba998509df8b0da41</x:v>
      </x:c>
    </x:row>
    <x:row r="21">
      <x:c r="A21" s="17" t="str">
        <x:v>020</x:v>
      </x:c>
      <x:c r="B21" t="str">
        <x:v>ZH-EXCELLENT-020</x:v>
      </x:c>
      <x:c r="C21" s="17" t="str">
        <x:v>020</x:v>
      </x:c>
      <x:c r="D21" t="str">
        <x:v>Excellent</x:v>
      </x:c>
      <x:c r="E21" t="n">
        <x:v>85</x:v>
      </x:c>
      <x:c r="F21" t="n">
        <x:v>100</x:v>
      </x:c>
      <x:c r="G21" t="n">
        <x:v>1</x:v>
      </x:c>
      <x:c r="H21" s="18" t="n">
        <x:v>95</x:v>
      </x:c>
      <x:c r="I21" s="18" t="n">
        <x:v>95</x:v>
      </x:c>
      <x:c r="J21" s="18" t="n">
        <x:v>95</x:v>
      </x:c>
      <x:c r="K21" s="18" t="n">
        <x:v>95</x:v>
      </x:c>
      <x:c r="L21" s="18" t="n">
        <x:v>95</x:v>
      </x:c>
      <x:c r="M21" s="18" t="n">
        <x:v>95</x:v>
      </x:c>
      <x:c r="N21" s="18" t="n">
        <x:v>95</x:v>
      </x:c>
      <x:c r="O21" s="18" t="n">
        <x:v>95</x:v>
      </x:c>
      <x:c r="P21" s="18"/>
      <x:c r="Q21" t="str">
        <x:v>Yes</x:v>
      </x:c>
      <x:c r="R21" s="18" t="n">
        <x:v>0</x:v>
      </x:c>
      <x:c r="S21" s="18" t="n">
        <x:v>0</x:v>
      </x:c>
      <x:c r="T21" s="18" t="n">
        <x:v>0</x:v>
      </x:c>
      <x:c r="U21" t="str">
        <x:v>Excellent</x:v>
      </x:c>
      <x:c r="V21" t="str">
        <x:v>Yes</x:v>
      </x:c>
      <x:c r="W21" t="str">
        <x:v>PUBLICATION_READY</x:v>
      </x:c>
      <x:c r="X21" t="str">
        <x:v>PASS</x:v>
      </x:c>
      <x:c r="Y21" t="n">
        <x:v>80</x:v>
      </x:c>
      <x:c r="Z21" t="str">
        <x:v>Success</x:v>
      </x:c>
      <x:c r="AA21"/>
      <x:c r="AB21"/>
      <x:c r="AC21" s="13"/>
      <x:c r="AD21" t="n">
        <x:v>0</x:v>
      </x:c>
      <x:c r="AE21" s="19" t="n">
        <x:v>28626</x:v>
      </x:c>
      <x:c r="AF21" t="str">
        <x:v>deepseek-v4-pro</x:v>
      </x:c>
      <x:c r="AG21" s="20" t="n">
        <x:v>46237.166015856485</x:v>
      </x:c>
      <x:c r="AH21" t="n">
        <x:v>200</x:v>
      </x:c>
      <x:c r="AI21" t="str">
        <x:v>fa4654ee18219022ab8372db8061bd91cb553e9a6ca438198859b36b26a1b50e</x:v>
      </x:c>
      <x:c r="AJ21" t="str">
        <x:v>1fbc1da2672050b6b1a1ccd8c0cdb0c420d2f719bdeff82ba998509df8b0da41</x:v>
      </x:c>
    </x:row>
    <x:row r="22">
      <x:c r="A22" s="17" t="str">
        <x:v>021</x:v>
      </x:c>
      <x:c r="B22" t="str">
        <x:v>ZH-EXCELLENT-021</x:v>
      </x:c>
      <x:c r="C22" s="17" t="str">
        <x:v>021</x:v>
      </x:c>
      <x:c r="D22" t="str">
        <x:v>Excellent</x:v>
      </x:c>
      <x:c r="E22" t="n">
        <x:v>85</x:v>
      </x:c>
      <x:c r="F22" t="n">
        <x:v>100</x:v>
      </x:c>
      <x:c r="G22" t="n">
        <x:v>1</x:v>
      </x:c>
      <x:c r="H22" s="18" t="n">
        <x:v>91</x:v>
      </x:c>
      <x:c r="I22" s="18" t="n">
        <x:v>92</x:v>
      </x:c>
      <x:c r="J22" s="18" t="n">
        <x:v>90</x:v>
      </x:c>
      <x:c r="K22" s="18" t="n">
        <x:v>90</x:v>
      </x:c>
      <x:c r="L22" s="18" t="n">
        <x:v>92</x:v>
      </x:c>
      <x:c r="M22" s="18" t="n">
        <x:v>92</x:v>
      </x:c>
      <x:c r="N22" s="18" t="n">
        <x:v>90</x:v>
      </x:c>
      <x:c r="O22" s="18" t="n">
        <x:v>91</x:v>
      </x:c>
      <x:c r="P22" s="18"/>
      <x:c r="Q22" t="str">
        <x:v>Yes</x:v>
      </x:c>
      <x:c r="R22" s="18" t="n">
        <x:v>0</x:v>
      </x:c>
      <x:c r="S22" s="18" t="n">
        <x:v>0</x:v>
      </x:c>
      <x:c r="T22" s="18" t="n">
        <x:v>0</x:v>
      </x:c>
      <x:c r="U22" t="str">
        <x:v>Excellent</x:v>
      </x:c>
      <x:c r="V22" t="str">
        <x:v>Yes</x:v>
      </x:c>
      <x:c r="W22" t="str">
        <x:v>PUBLICATION_READY</x:v>
      </x:c>
      <x:c r="X22" t="str">
        <x:v>PASS</x:v>
      </x:c>
      <x:c r="Y22" t="n">
        <x:v>80</x:v>
      </x:c>
      <x:c r="Z22" t="str">
        <x:v>Success</x:v>
      </x:c>
      <x:c r="AA22"/>
      <x:c r="AB22"/>
      <x:c r="AC22" s="13"/>
      <x:c r="AD22" t="n">
        <x:v>0</x:v>
      </x:c>
      <x:c r="AE22" s="19" t="n">
        <x:v>26126</x:v>
      </x:c>
      <x:c r="AF22" t="str">
        <x:v>deepseek-v4-pro</x:v>
      </x:c>
      <x:c r="AG22" s="20" t="n">
        <x:v>46237.16631828704</x:v>
      </x:c>
      <x:c r="AH22" t="n">
        <x:v>200</x:v>
      </x:c>
      <x:c r="AI22" t="str">
        <x:v>94708b14dbd5d1cb032049f18493d49cba7c8bea0ab949ececee45ae883e7f9d</x:v>
      </x:c>
      <x:c r="AJ22" t="str">
        <x:v>1fbc1da2672050b6b1a1ccd8c0cdb0c420d2f719bdeff82ba998509df8b0da41</x:v>
      </x:c>
    </x:row>
    <x:row r="23">
      <x:c r="A23" s="17" t="str">
        <x:v>022</x:v>
      </x:c>
      <x:c r="B23" t="str">
        <x:v>ZH-EXCELLENT-022</x:v>
      </x:c>
      <x:c r="C23" s="17" t="str">
        <x:v>022</x:v>
      </x:c>
      <x:c r="D23" t="str">
        <x:v>Excellent</x:v>
      </x:c>
      <x:c r="E23" t="n">
        <x:v>85</x:v>
      </x:c>
      <x:c r="F23" t="n">
        <x:v>100</x:v>
      </x:c>
      <x:c r="G23" t="n">
        <x:v>1</x:v>
      </x:c>
      <x:c r="H23" s="18" t="n">
        <x:v>94</x:v>
      </x:c>
      <x:c r="I23" s="18" t="n">
        <x:v>92</x:v>
      </x:c>
      <x:c r="J23" s="18" t="n">
        <x:v>95</x:v>
      </x:c>
      <x:c r="K23" s="18" t="n">
        <x:v>95</x:v>
      </x:c>
      <x:c r="L23" s="18" t="n">
        <x:v>95</x:v>
      </x:c>
      <x:c r="M23" s="18" t="n">
        <x:v>93</x:v>
      </x:c>
      <x:c r="N23" s="18" t="n">
        <x:v>93</x:v>
      </x:c>
      <x:c r="O23" s="18" t="n">
        <x:v>94</x:v>
      </x:c>
      <x:c r="P23" s="18"/>
      <x:c r="Q23" t="str">
        <x:v>Yes</x:v>
      </x:c>
      <x:c r="R23" s="18" t="n">
        <x:v>0</x:v>
      </x:c>
      <x:c r="S23" s="18" t="n">
        <x:v>0</x:v>
      </x:c>
      <x:c r="T23" s="18" t="n">
        <x:v>0</x:v>
      </x:c>
      <x:c r="U23" t="str">
        <x:v>Excellent</x:v>
      </x:c>
      <x:c r="V23" t="str">
        <x:v>Yes</x:v>
      </x:c>
      <x:c r="W23" t="str">
        <x:v>PUBLICATION_READY</x:v>
      </x:c>
      <x:c r="X23" t="str">
        <x:v>PASS</x:v>
      </x:c>
      <x:c r="Y23" t="n">
        <x:v>80</x:v>
      </x:c>
      <x:c r="Z23" t="str">
        <x:v>Success</x:v>
      </x:c>
      <x:c r="AA23"/>
      <x:c r="AB23"/>
      <x:c r="AC23" s="13"/>
      <x:c r="AD23" t="n">
        <x:v>0</x:v>
      </x:c>
      <x:c r="AE23" s="19" t="n">
        <x:v>40433</x:v>
      </x:c>
      <x:c r="AF23" t="str">
        <x:v>deepseek-v4-pro</x:v>
      </x:c>
      <x:c r="AG23" s="20" t="n">
        <x:v>46237.16678629629</x:v>
      </x:c>
      <x:c r="AH23" t="n">
        <x:v>200</x:v>
      </x:c>
      <x:c r="AI23" t="str">
        <x:v>b320cdb515d86dcd9c2db491af5fa8749be97d147f1d377db110bb9eca0a085c</x:v>
      </x:c>
      <x:c r="AJ23" t="str">
        <x:v>1fbc1da2672050b6b1a1ccd8c0cdb0c420d2f719bdeff82ba998509df8b0da41</x:v>
      </x:c>
    </x:row>
    <x:row r="24">
      <x:c r="A24" s="17" t="str">
        <x:v>023</x:v>
      </x:c>
      <x:c r="B24" t="str">
        <x:v>ZH-EXCELLENT-023</x:v>
      </x:c>
      <x:c r="C24" s="17" t="str">
        <x:v>023</x:v>
      </x:c>
      <x:c r="D24" t="str">
        <x:v>Excellent</x:v>
      </x:c>
      <x:c r="E24" t="n">
        <x:v>85</x:v>
      </x:c>
      <x:c r="F24" t="n">
        <x:v>100</x:v>
      </x:c>
      <x:c r="G24" t="n">
        <x:v>1</x:v>
      </x:c>
      <x:c r="H24" s="18" t="n">
        <x:v>95</x:v>
      </x:c>
      <x:c r="I24" s="18" t="n">
        <x:v>95</x:v>
      </x:c>
      <x:c r="J24" s="18" t="n">
        <x:v>95</x:v>
      </x:c>
      <x:c r="K24" s="18" t="n">
        <x:v>95</x:v>
      </x:c>
      <x:c r="L24" s="18" t="n">
        <x:v>95</x:v>
      </x:c>
      <x:c r="M24" s="18" t="n">
        <x:v>95</x:v>
      </x:c>
      <x:c r="N24" s="18" t="n">
        <x:v>95</x:v>
      </x:c>
      <x:c r="O24" s="18" t="n">
        <x:v>95</x:v>
      </x:c>
      <x:c r="P24" s="18"/>
      <x:c r="Q24" t="str">
        <x:v>Yes</x:v>
      </x:c>
      <x:c r="R24" s="18" t="n">
        <x:v>0</x:v>
      </x:c>
      <x:c r="S24" s="18" t="n">
        <x:v>0</x:v>
      </x:c>
      <x:c r="T24" s="18" t="n">
        <x:v>0</x:v>
      </x:c>
      <x:c r="U24" t="str">
        <x:v>Excellent</x:v>
      </x:c>
      <x:c r="V24" t="str">
        <x:v>Yes</x:v>
      </x:c>
      <x:c r="W24" t="str">
        <x:v>PUBLICATION_READY</x:v>
      </x:c>
      <x:c r="X24" t="str">
        <x:v>PASS</x:v>
      </x:c>
      <x:c r="Y24" t="n">
        <x:v>80</x:v>
      </x:c>
      <x:c r="Z24" t="str">
        <x:v>Success</x:v>
      </x:c>
      <x:c r="AA24"/>
      <x:c r="AB24"/>
      <x:c r="AC24" s="13"/>
      <x:c r="AD24" t="n">
        <x:v>0</x:v>
      </x:c>
      <x:c r="AE24" s="19" t="n">
        <x:v>32968</x:v>
      </x:c>
      <x:c r="AF24" t="str">
        <x:v>deepseek-v4-pro</x:v>
      </x:c>
      <x:c r="AG24" s="20" t="n">
        <x:v>46237.167167893516</x:v>
      </x:c>
      <x:c r="AH24" t="n">
        <x:v>200</x:v>
      </x:c>
      <x:c r="AI24" t="str">
        <x:v>3091777d8b318167a7e0c65fe295ec4a2932f49b725250e03b5077c076758da2</x:v>
      </x:c>
      <x:c r="AJ24" t="str">
        <x:v>1fbc1da2672050b6b1a1ccd8c0cdb0c420d2f719bdeff82ba998509df8b0da41</x:v>
      </x:c>
    </x:row>
    <x:row r="25">
      <x:c r="A25" s="17" t="str">
        <x:v>024</x:v>
      </x:c>
      <x:c r="B25" t="str">
        <x:v>ZH-EXCELLENT-024</x:v>
      </x:c>
      <x:c r="C25" s="17" t="str">
        <x:v>024</x:v>
      </x:c>
      <x:c r="D25" t="str">
        <x:v>Excellent</x:v>
      </x:c>
      <x:c r="E25" t="n">
        <x:v>85</x:v>
      </x:c>
      <x:c r="F25" t="n">
        <x:v>100</x:v>
      </x:c>
      <x:c r="G25" t="n">
        <x:v>1</x:v>
      </x:c>
      <x:c r="H25" s="18" t="n">
        <x:v>95</x:v>
      </x:c>
      <x:c r="I25" s="18" t="n">
        <x:v>95</x:v>
      </x:c>
      <x:c r="J25" s="18" t="n">
        <x:v>90</x:v>
      </x:c>
      <x:c r="K25" s="18" t="n">
        <x:v>95</x:v>
      </x:c>
      <x:c r="L25" s="18" t="n">
        <x:v>100</x:v>
      </x:c>
      <x:c r="M25" s="18" t="n">
        <x:v>95</x:v>
      </x:c>
      <x:c r="N25" s="18" t="n">
        <x:v>95</x:v>
      </x:c>
      <x:c r="O25" s="18" t="n">
        <x:v>95</x:v>
      </x:c>
      <x:c r="P25" s="18"/>
      <x:c r="Q25" t="str">
        <x:v>Yes</x:v>
      </x:c>
      <x:c r="R25" s="18" t="n">
        <x:v>0</x:v>
      </x:c>
      <x:c r="S25" s="18" t="n">
        <x:v>0</x:v>
      </x:c>
      <x:c r="T25" s="18" t="n">
        <x:v>0</x:v>
      </x:c>
      <x:c r="U25" t="str">
        <x:v>Excellent</x:v>
      </x:c>
      <x:c r="V25" t="str">
        <x:v>Yes</x:v>
      </x:c>
      <x:c r="W25" t="str">
        <x:v>PUBLICATION_READY</x:v>
      </x:c>
      <x:c r="X25" t="str">
        <x:v>PASS</x:v>
      </x:c>
      <x:c r="Y25" t="n">
        <x:v>80</x:v>
      </x:c>
      <x:c r="Z25" t="str">
        <x:v>Success</x:v>
      </x:c>
      <x:c r="AA25"/>
      <x:c r="AB25"/>
      <x:c r="AC25" s="13"/>
      <x:c r="AD25" t="n">
        <x:v>0</x:v>
      </x:c>
      <x:c r="AE25" s="19" t="n">
        <x:v>38953</x:v>
      </x:c>
      <x:c r="AF25" t="str">
        <x:v>deepseek-v4-pro</x:v>
      </x:c>
      <x:c r="AG25" s="20" t="n">
        <x:v>46237.16761875</x:v>
      </x:c>
      <x:c r="AH25" t="n">
        <x:v>200</x:v>
      </x:c>
      <x:c r="AI25" t="str">
        <x:v>4a6b385dd373e2235c8b06c5dd440404d673cc575c6d2eb189665a755b55a4ab</x:v>
      </x:c>
      <x:c r="AJ25" t="str">
        <x:v>1fbc1da2672050b6b1a1ccd8c0cdb0c420d2f719bdeff82ba998509df8b0da41</x:v>
      </x:c>
    </x:row>
    <x:row r="26">
      <x:c r="A26" s="17" t="str">
        <x:v>025</x:v>
      </x:c>
      <x:c r="B26" t="str">
        <x:v>ZH-EXCELLENT-025</x:v>
      </x:c>
      <x:c r="C26" s="17" t="str">
        <x:v>025</x:v>
      </x:c>
      <x:c r="D26" t="str">
        <x:v>Excellent</x:v>
      </x:c>
      <x:c r="E26" t="n">
        <x:v>85</x:v>
      </x:c>
      <x:c r="F26" t="n">
        <x:v>100</x:v>
      </x:c>
      <x:c r="G26" t="n">
        <x:v>1</x:v>
      </x:c>
      <x:c r="H26" s="18" t="n">
        <x:v>95</x:v>
      </x:c>
      <x:c r="I26" s="18" t="n">
        <x:v>95</x:v>
      </x:c>
      <x:c r="J26" s="18" t="n">
        <x:v>95</x:v>
      </x:c>
      <x:c r="K26" s="18" t="n">
        <x:v>95</x:v>
      </x:c>
      <x:c r="L26" s="18" t="n">
        <x:v>95</x:v>
      </x:c>
      <x:c r="M26" s="18" t="n">
        <x:v>95</x:v>
      </x:c>
      <x:c r="N26" s="18" t="n">
        <x:v>95</x:v>
      </x:c>
      <x:c r="O26" s="18" t="n">
        <x:v>95</x:v>
      </x:c>
      <x:c r="P26" s="18"/>
      <x:c r="Q26" t="str">
        <x:v>Yes</x:v>
      </x:c>
      <x:c r="R26" s="18" t="n">
        <x:v>0</x:v>
      </x:c>
      <x:c r="S26" s="18" t="n">
        <x:v>0</x:v>
      </x:c>
      <x:c r="T26" s="18" t="n">
        <x:v>0</x:v>
      </x:c>
      <x:c r="U26" t="str">
        <x:v>Excellent</x:v>
      </x:c>
      <x:c r="V26" t="str">
        <x:v>Yes</x:v>
      </x:c>
      <x:c r="W26" t="str">
        <x:v>PUBLICATION_READY</x:v>
      </x:c>
      <x:c r="X26" t="str">
        <x:v>PASS</x:v>
      </x:c>
      <x:c r="Y26" t="n">
        <x:v>80</x:v>
      </x:c>
      <x:c r="Z26" t="str">
        <x:v>Success</x:v>
      </x:c>
      <x:c r="AA26"/>
      <x:c r="AB26"/>
      <x:c r="AC26" s="13"/>
      <x:c r="AD26" t="n">
        <x:v>0</x:v>
      </x:c>
      <x:c r="AE26" s="19" t="n">
        <x:v>30502</x:v>
      </x:c>
      <x:c r="AF26" t="str">
        <x:v>deepseek-v4-pro</x:v>
      </x:c>
      <x:c r="AG26" s="20" t="n">
        <x:v>46237.167971793984</x:v>
      </x:c>
      <x:c r="AH26" t="n">
        <x:v>200</x:v>
      </x:c>
      <x:c r="AI26" t="str">
        <x:v>a83122e6f0d0f87bb301d0c13b135ae13e05b74571fc9c40f67beac60f419d9e</x:v>
      </x:c>
      <x:c r="AJ26" t="str">
        <x:v>1fbc1da2672050b6b1a1ccd8c0cdb0c420d2f719bdeff82ba998509df8b0da41</x:v>
      </x:c>
    </x:row>
    <x:row r="27">
      <x:c r="A27" s="17" t="str">
        <x:v>026</x:v>
      </x:c>
      <x:c r="B27" t="str">
        <x:v>ZH-EXCELLENT-026</x:v>
      </x:c>
      <x:c r="C27" s="17" t="str">
        <x:v>026</x:v>
      </x:c>
      <x:c r="D27" t="str">
        <x:v>Excellent</x:v>
      </x:c>
      <x:c r="E27" t="n">
        <x:v>85</x:v>
      </x:c>
      <x:c r="F27" t="n">
        <x:v>100</x:v>
      </x:c>
      <x:c r="G27" t="n">
        <x:v>1</x:v>
      </x:c>
      <x:c r="H27" s="18" t="n">
        <x:v>95</x:v>
      </x:c>
      <x:c r="I27" s="18" t="n">
        <x:v>95</x:v>
      </x:c>
      <x:c r="J27" s="18" t="n">
        <x:v>95</x:v>
      </x:c>
      <x:c r="K27" s="18" t="n">
        <x:v>95</x:v>
      </x:c>
      <x:c r="L27" s="18" t="n">
        <x:v>95</x:v>
      </x:c>
      <x:c r="M27" s="18" t="n">
        <x:v>95</x:v>
      </x:c>
      <x:c r="N27" s="18" t="n">
        <x:v>95</x:v>
      </x:c>
      <x:c r="O27" s="18" t="n">
        <x:v>95</x:v>
      </x:c>
      <x:c r="P27" s="18"/>
      <x:c r="Q27" t="str">
        <x:v>Yes</x:v>
      </x:c>
      <x:c r="R27" s="18" t="n">
        <x:v>0</x:v>
      </x:c>
      <x:c r="S27" s="18" t="n">
        <x:v>0</x:v>
      </x:c>
      <x:c r="T27" s="18" t="n">
        <x:v>0</x:v>
      </x:c>
      <x:c r="U27" t="str">
        <x:v>Excellent</x:v>
      </x:c>
      <x:c r="V27" t="str">
        <x:v>Yes</x:v>
      </x:c>
      <x:c r="W27" t="str">
        <x:v>PUBLICATION_READY</x:v>
      </x:c>
      <x:c r="X27" t="str">
        <x:v>PASS</x:v>
      </x:c>
      <x:c r="Y27" t="n">
        <x:v>80</x:v>
      </x:c>
      <x:c r="Z27" t="str">
        <x:v>Success</x:v>
      </x:c>
      <x:c r="AA27"/>
      <x:c r="AB27"/>
      <x:c r="AC27" s="13"/>
      <x:c r="AD27" t="n">
        <x:v>0</x:v>
      </x:c>
      <x:c r="AE27" s="19" t="n">
        <x:v>35074</x:v>
      </x:c>
      <x:c r="AF27" t="str">
        <x:v>deepseek-v4-pro</x:v>
      </x:c>
      <x:c r="AG27" s="20" t="n">
        <x:v>46237.16837777778</x:v>
      </x:c>
      <x:c r="AH27" t="n">
        <x:v>200</x:v>
      </x:c>
      <x:c r="AI27" t="str">
        <x:v>e4a4fc2dbc2b616416ee80461656d5b1891863b30f7b31fce1483271b6f8ad09</x:v>
      </x:c>
      <x:c r="AJ27" t="str">
        <x:v>1fbc1da2672050b6b1a1ccd8c0cdb0c420d2f719bdeff82ba998509df8b0da41</x:v>
      </x:c>
    </x:row>
    <x:row r="28">
      <x:c r="A28" s="17" t="str">
        <x:v>027</x:v>
      </x:c>
      <x:c r="B28" t="str">
        <x:v>ZH-EXCELLENT-027</x:v>
      </x:c>
      <x:c r="C28" s="17" t="str">
        <x:v>027</x:v>
      </x:c>
      <x:c r="D28" t="str">
        <x:v>Excellent</x:v>
      </x:c>
      <x:c r="E28" t="n">
        <x:v>85</x:v>
      </x:c>
      <x:c r="F28" t="n">
        <x:v>100</x:v>
      </x:c>
      <x:c r="G28" t="n">
        <x:v>1</x:v>
      </x:c>
      <x:c r="H28" s="18" t="n">
        <x:v>96</x:v>
      </x:c>
      <x:c r="I28" s="18" t="n">
        <x:v>95</x:v>
      </x:c>
      <x:c r="J28" s="18" t="n">
        <x:v>95</x:v>
      </x:c>
      <x:c r="K28" s="18" t="n">
        <x:v>95</x:v>
      </x:c>
      <x:c r="L28" s="18" t="n">
        <x:v>98</x:v>
      </x:c>
      <x:c r="M28" s="18" t="n">
        <x:v>98</x:v>
      </x:c>
      <x:c r="N28" s="18" t="n">
        <x:v>95</x:v>
      </x:c>
      <x:c r="O28" s="18" t="n">
        <x:v>96</x:v>
      </x:c>
      <x:c r="P28" s="18"/>
      <x:c r="Q28" t="str">
        <x:v>Yes</x:v>
      </x:c>
      <x:c r="R28" s="18" t="n">
        <x:v>0</x:v>
      </x:c>
      <x:c r="S28" s="18" t="n">
        <x:v>0</x:v>
      </x:c>
      <x:c r="T28" s="18" t="n">
        <x:v>0</x:v>
      </x:c>
      <x:c r="U28" t="str">
        <x:v>Excellent</x:v>
      </x:c>
      <x:c r="V28" t="str">
        <x:v>Yes</x:v>
      </x:c>
      <x:c r="W28" t="str">
        <x:v>PUBLICATION_READY</x:v>
      </x:c>
      <x:c r="X28" t="str">
        <x:v>PASS</x:v>
      </x:c>
      <x:c r="Y28" t="n">
        <x:v>80</x:v>
      </x:c>
      <x:c r="Z28" t="str">
        <x:v>Success</x:v>
      </x:c>
      <x:c r="AA28"/>
      <x:c r="AB28"/>
      <x:c r="AC28" s="13"/>
      <x:c r="AD28" t="n">
        <x:v>0</x:v>
      </x:c>
      <x:c r="AE28" s="19" t="n">
        <x:v>30458</x:v>
      </x:c>
      <x:c r="AF28" t="str">
        <x:v>deepseek-v4-pro</x:v>
      </x:c>
      <x:c r="AG28" s="20" t="n">
        <x:v>46237.168730335645</x:v>
      </x:c>
      <x:c r="AH28" t="n">
        <x:v>200</x:v>
      </x:c>
      <x:c r="AI28" t="str">
        <x:v>5691cc7881c3fa1a2038e844903117de56fa7656ad3b339435ac8f3502e630a3</x:v>
      </x:c>
      <x:c r="AJ28" t="str">
        <x:v>1fbc1da2672050b6b1a1ccd8c0cdb0c420d2f719bdeff82ba998509df8b0da41</x:v>
      </x:c>
    </x:row>
    <x:row r="29">
      <x:c r="A29" s="17" t="str">
        <x:v>028</x:v>
      </x:c>
      <x:c r="B29" t="str">
        <x:v>ZH-EXCELLENT-028</x:v>
      </x:c>
      <x:c r="C29" s="17" t="str">
        <x:v>028</x:v>
      </x:c>
      <x:c r="D29" t="str">
        <x:v>Excellent</x:v>
      </x:c>
      <x:c r="E29" t="n">
        <x:v>85</x:v>
      </x:c>
      <x:c r="F29" t="n">
        <x:v>100</x:v>
      </x:c>
      <x:c r="G29" t="n">
        <x:v>1</x:v>
      </x:c>
      <x:c r="H29" s="18" t="n">
        <x:v>95</x:v>
      </x:c>
      <x:c r="I29" s="18" t="n">
        <x:v>95</x:v>
      </x:c>
      <x:c r="J29" s="18" t="n">
        <x:v>95</x:v>
      </x:c>
      <x:c r="K29" s="18" t="n">
        <x:v>95</x:v>
      </x:c>
      <x:c r="L29" s="18" t="n">
        <x:v>95</x:v>
      </x:c>
      <x:c r="M29" s="18" t="n">
        <x:v>95</x:v>
      </x:c>
      <x:c r="N29" s="18" t="n">
        <x:v>95</x:v>
      </x:c>
      <x:c r="O29" s="18" t="n">
        <x:v>95</x:v>
      </x:c>
      <x:c r="P29" s="18"/>
      <x:c r="Q29" t="str">
        <x:v>Yes</x:v>
      </x:c>
      <x:c r="R29" s="18" t="n">
        <x:v>0</x:v>
      </x:c>
      <x:c r="S29" s="18" t="n">
        <x:v>0</x:v>
      </x:c>
      <x:c r="T29" s="18" t="n">
        <x:v>0</x:v>
      </x:c>
      <x:c r="U29" t="str">
        <x:v>Excellent</x:v>
      </x:c>
      <x:c r="V29" t="str">
        <x:v>Yes</x:v>
      </x:c>
      <x:c r="W29" t="str">
        <x:v>PUBLICATION_READY</x:v>
      </x:c>
      <x:c r="X29" t="str">
        <x:v>PASS</x:v>
      </x:c>
      <x:c r="Y29" t="n">
        <x:v>80</x:v>
      </x:c>
      <x:c r="Z29" t="str">
        <x:v>Success</x:v>
      </x:c>
      <x:c r="AA29"/>
      <x:c r="AB29"/>
      <x:c r="AC29" s="13"/>
      <x:c r="AD29" t="n">
        <x:v>0</x:v>
      </x:c>
      <x:c r="AE29" s="19" t="n">
        <x:v>37586</x:v>
      </x:c>
      <x:c r="AF29" t="str">
        <x:v>deepseek-v4-pro</x:v>
      </x:c>
      <x:c r="AG29" s="20" t="n">
        <x:v>46237.16916539352</x:v>
      </x:c>
      <x:c r="AH29" t="n">
        <x:v>200</x:v>
      </x:c>
      <x:c r="AI29" t="str">
        <x:v>5f00a827093c6cea6923d6fe8674cfe869d130e420de54223054d9ab3706c89a</x:v>
      </x:c>
      <x:c r="AJ29" t="str">
        <x:v>1fbc1da2672050b6b1a1ccd8c0cdb0c420d2f719bdeff82ba998509df8b0da41</x:v>
      </x:c>
    </x:row>
    <x:row r="30">
      <x:c r="A30" s="17" t="str">
        <x:v>029</x:v>
      </x:c>
      <x:c r="B30" t="str">
        <x:v>ZH-EXCELLENT-029</x:v>
      </x:c>
      <x:c r="C30" s="17" t="str">
        <x:v>029</x:v>
      </x:c>
      <x:c r="D30" t="str">
        <x:v>Excellent</x:v>
      </x:c>
      <x:c r="E30" t="n">
        <x:v>85</x:v>
      </x:c>
      <x:c r="F30" t="n">
        <x:v>100</x:v>
      </x:c>
      <x:c r="G30" t="n">
        <x:v>1</x:v>
      </x:c>
      <x:c r="H30" s="18" t="n">
        <x:v>96</x:v>
      </x:c>
      <x:c r="I30" s="18" t="n">
        <x:v>95</x:v>
      </x:c>
      <x:c r="J30" s="18" t="n">
        <x:v>95</x:v>
      </x:c>
      <x:c r="K30" s="18" t="n">
        <x:v>95</x:v>
      </x:c>
      <x:c r="L30" s="18" t="n">
        <x:v>98</x:v>
      </x:c>
      <x:c r="M30" s="18" t="n">
        <x:v>98</x:v>
      </x:c>
      <x:c r="N30" s="18" t="n">
        <x:v>95</x:v>
      </x:c>
      <x:c r="O30" s="18" t="n">
        <x:v>96</x:v>
      </x:c>
      <x:c r="P30" s="18"/>
      <x:c r="Q30" t="str">
        <x:v>Yes</x:v>
      </x:c>
      <x:c r="R30" s="18" t="n">
        <x:v>0</x:v>
      </x:c>
      <x:c r="S30" s="18" t="n">
        <x:v>0</x:v>
      </x:c>
      <x:c r="T30" s="18" t="n">
        <x:v>0</x:v>
      </x:c>
      <x:c r="U30" t="str">
        <x:v>Excellent</x:v>
      </x:c>
      <x:c r="V30" t="str">
        <x:v>Yes</x:v>
      </x:c>
      <x:c r="W30" t="str">
        <x:v>PUBLICATION_READY</x:v>
      </x:c>
      <x:c r="X30" t="str">
        <x:v>PASS</x:v>
      </x:c>
      <x:c r="Y30" t="n">
        <x:v>80</x:v>
      </x:c>
      <x:c r="Z30" t="str">
        <x:v>Success</x:v>
      </x:c>
      <x:c r="AA30"/>
      <x:c r="AB30"/>
      <x:c r="AC30" s="13"/>
      <x:c r="AD30" t="n">
        <x:v>0</x:v>
      </x:c>
      <x:c r="AE30" s="19" t="n">
        <x:v>49239</x:v>
      </x:c>
      <x:c r="AF30" t="str">
        <x:v>deepseek-v4-pro</x:v>
      </x:c>
      <x:c r="AG30" s="20" t="n">
        <x:v>46237.1697353125</x:v>
      </x:c>
      <x:c r="AH30" t="n">
        <x:v>200</x:v>
      </x:c>
      <x:c r="AI30" t="str">
        <x:v>8ead1ba24fc2d76424de3582cd5c2b38997512d12e2eebe45aacedaa0808e0e7</x:v>
      </x:c>
      <x:c r="AJ30" t="str">
        <x:v>1fbc1da2672050b6b1a1ccd8c0cdb0c420d2f719bdeff82ba998509df8b0da41</x:v>
      </x:c>
    </x:row>
    <x:row r="31">
      <x:c r="A31" s="17" t="str">
        <x:v>030</x:v>
      </x:c>
      <x:c r="B31" t="str">
        <x:v>ZH-EXCELLENT-030</x:v>
      </x:c>
      <x:c r="C31" s="17" t="str">
        <x:v>030</x:v>
      </x:c>
      <x:c r="D31" t="str">
        <x:v>Excellent</x:v>
      </x:c>
      <x:c r="E31" t="n">
        <x:v>85</x:v>
      </x:c>
      <x:c r="F31" t="n">
        <x:v>100</x:v>
      </x:c>
      <x:c r="G31" t="n">
        <x:v>1</x:v>
      </x:c>
      <x:c r="H31" s="18" t="n">
        <x:v>89</x:v>
      </x:c>
      <x:c r="I31" s="18" t="n">
        <x:v>95</x:v>
      </x:c>
      <x:c r="J31" s="18" t="n">
        <x:v>95</x:v>
      </x:c>
      <x:c r="K31" s="18" t="n">
        <x:v>95</x:v>
      </x:c>
      <x:c r="L31" s="18" t="n">
        <x:v>89</x:v>
      </x:c>
      <x:c r="M31" s="18" t="n">
        <x:v>95</x:v>
      </x:c>
      <x:c r="N31" s="18" t="n">
        <x:v>95</x:v>
      </x:c>
      <x:c r="O31" s="18" t="n">
        <x:v>94</x:v>
      </x:c>
      <x:c r="P31" s="18" t="n">
        <x:v>89</x:v>
      </x:c>
      <x:c r="Q31" t="str">
        <x:v>Yes</x:v>
      </x:c>
      <x:c r="R31" s="18" t="n">
        <x:v>0</x:v>
      </x:c>
      <x:c r="S31" s="18" t="n">
        <x:v>0</x:v>
      </x:c>
      <x:c r="T31" s="18" t="n">
        <x:v>0</x:v>
      </x:c>
      <x:c r="U31" t="str">
        <x:v>Excellent</x:v>
      </x:c>
      <x:c r="V31" t="str">
        <x:v>Yes</x:v>
      </x:c>
      <x:c r="W31" t="str">
        <x:v>STRONG_LIMITED_EDITING</x:v>
      </x:c>
      <x:c r="X31" t="str">
        <x:v>PASS</x:v>
      </x:c>
      <x:c r="Y31" t="n">
        <x:v>80</x:v>
      </x:c>
      <x:c r="Z31" t="str">
        <x:v>Success</x:v>
      </x:c>
      <x:c r="AA31"/>
      <x:c r="AB31"/>
      <x:c r="AC31" s="13"/>
      <x:c r="AD31" t="n">
        <x:v>0</x:v>
      </x:c>
      <x:c r="AE31" s="19" t="n">
        <x:v>61211</x:v>
      </x:c>
      <x:c r="AF31" t="str">
        <x:v>deepseek-v4-pro</x:v>
      </x:c>
      <x:c r="AG31" s="20" t="n">
        <x:v>46237.17044380787</x:v>
      </x:c>
      <x:c r="AH31" t="n">
        <x:v>200</x:v>
      </x:c>
      <x:c r="AI31" t="str">
        <x:v>2bc83066136f819c7f2964c16f02df64b2e63ba75cddebc5087bae5e05a9cbb4</x:v>
      </x:c>
      <x:c r="AJ31" t="str">
        <x:v>1fbc1da2672050b6b1a1ccd8c0cdb0c420d2f719bdeff82ba998509df8b0da41</x:v>
      </x:c>
    </x:row>
    <x:row r="32">
      <x:c r="A32" s="17" t="str">
        <x:v>031</x:v>
      </x:c>
      <x:c r="B32" t="str">
        <x:v>ZH-GOOD-001</x:v>
      </x:c>
      <x:c r="C32" s="17" t="str">
        <x:v>001</x:v>
      </x:c>
      <x:c r="D32" t="str">
        <x:v>Good</x:v>
      </x:c>
      <x:c r="E32" t="n">
        <x:v>70</x:v>
      </x:c>
      <x:c r="F32" t="n">
        <x:v>84</x:v>
      </x:c>
      <x:c r="G32" t="n">
        <x:v>1</x:v>
      </x:c>
      <x:c r="H32" s="18" t="n">
        <x:v>59</x:v>
      </x:c>
      <x:c r="I32" s="18" t="n">
        <x:v>65</x:v>
      </x:c>
      <x:c r="J32" s="18" t="n">
        <x:v>45</x:v>
      </x:c>
      <x:c r="K32" s="18" t="n">
        <x:v>60</x:v>
      </x:c>
      <x:c r="L32" s="18" t="n">
        <x:v>75</x:v>
      </x:c>
      <x:c r="M32" s="18" t="n">
        <x:v>85</x:v>
      </x:c>
      <x:c r="N32" s="18" t="n">
        <x:v>90</x:v>
      </x:c>
      <x:c r="O32" s="18" t="n">
        <x:v>67</x:v>
      </x:c>
      <x:c r="P32" s="18" t="n">
        <x:v>59</x:v>
      </x:c>
      <x:c r="Q32" t="str">
        <x:v>No</x:v>
      </x:c>
      <x:c r="R32" s="18" t="n">
        <x:v>11</x:v>
      </x:c>
      <x:c r="S32" s="18" t="n">
        <x:v>11</x:v>
      </x:c>
      <x:c r="T32" s="18" t="n">
        <x:v>0</x:v>
      </x:c>
      <x:c r="U32" t="str">
        <x:v>Normal</x:v>
      </x:c>
      <x:c r="V32" t="str">
        <x:v>No</x:v>
      </x:c>
      <x:c r="W32" t="str">
        <x:v>WEAK</x:v>
      </x:c>
      <x:c r="X32" t="str">
        <x:v>REWRITE_REQUIRED</x:v>
      </x:c>
      <x:c r="Y32" t="n">
        <x:v>80</x:v>
      </x:c>
      <x:c r="Z32" t="str">
        <x:v>Success</x:v>
      </x:c>
      <x:c r="AA32"/>
      <x:c r="AB32"/>
      <x:c r="AC32" s="13"/>
      <x:c r="AD32" t="n">
        <x:v>0</x:v>
      </x:c>
      <x:c r="AE32" s="19" t="n">
        <x:v>91396</x:v>
      </x:c>
      <x:c r="AF32" t="str">
        <x:v>deepseek-v4-pro</x:v>
      </x:c>
      <x:c r="AG32" s="20" t="n">
        <x:v>46237.158221261576</x:v>
      </x:c>
      <x:c r="AH32" t="n">
        <x:v>200</x:v>
      </x:c>
      <x:c r="AI32" t="str">
        <x:v>79acf3104e9766f5bbb7f0b4b45dd457df52ec49b12b5efbe7929197112d5344</x:v>
      </x:c>
      <x:c r="AJ32" t="str">
        <x:v>1fbc1da2672050b6b1a1ccd8c0cdb0c420d2f719bdeff82ba998509df8b0da41</x:v>
      </x:c>
    </x:row>
    <x:row r="33">
      <x:c r="A33" s="17" t="str">
        <x:v>032</x:v>
      </x:c>
      <x:c r="B33" t="str">
        <x:v>ZH-GOOD-002</x:v>
      </x:c>
      <x:c r="C33" s="17" t="str">
        <x:v>002</x:v>
      </x:c>
      <x:c r="D33" t="str">
        <x:v>Good</x:v>
      </x:c>
      <x:c r="E33" t="n">
        <x:v>70</x:v>
      </x:c>
      <x:c r="F33" t="n">
        <x:v>84</x:v>
      </x:c>
      <x:c r="G33" t="n">
        <x:v>1</x:v>
      </x:c>
      <x:c r="H33" s="18" t="n">
        <x:v>94</x:v>
      </x:c>
      <x:c r="I33" s="18" t="n">
        <x:v>95</x:v>
      </x:c>
      <x:c r="J33" s="18" t="n">
        <x:v>92</x:v>
      </x:c>
      <x:c r="K33" s="18" t="n">
        <x:v>94</x:v>
      </x:c>
      <x:c r="L33" s="18" t="n">
        <x:v>92</x:v>
      </x:c>
      <x:c r="M33" s="18" t="n">
        <x:v>95</x:v>
      </x:c>
      <x:c r="N33" s="18" t="n">
        <x:v>100</x:v>
      </x:c>
      <x:c r="O33" s="18" t="n">
        <x:v>94</x:v>
      </x:c>
      <x:c r="P33" s="18"/>
      <x:c r="Q33" t="str">
        <x:v>No</x:v>
      </x:c>
      <x:c r="R33" s="18" t="n">
        <x:v>10</x:v>
      </x:c>
      <x:c r="S33" s="18" t="n">
        <x:v>0</x:v>
      </x:c>
      <x:c r="T33" s="18" t="n">
        <x:v>10</x:v>
      </x:c>
      <x:c r="U33" t="str">
        <x:v>Excellent</x:v>
      </x:c>
      <x:c r="V33" t="str">
        <x:v>No</x:v>
      </x:c>
      <x:c r="W33" t="str">
        <x:v>PUBLICATION_READY</x:v>
      </x:c>
      <x:c r="X33" t="str">
        <x:v>PASS</x:v>
      </x:c>
      <x:c r="Y33" t="n">
        <x:v>80</x:v>
      </x:c>
      <x:c r="Z33" t="str">
        <x:v>Success</x:v>
      </x:c>
      <x:c r="AA33"/>
      <x:c r="AB33"/>
      <x:c r="AC33" s="13"/>
      <x:c r="AD33" t="n">
        <x:v>0</x:v>
      </x:c>
      <x:c r="AE33" s="19" t="n">
        <x:v>62973</x:v>
      </x:c>
      <x:c r="AF33" t="str">
        <x:v>deepseek-v4-pro</x:v>
      </x:c>
      <x:c r="AG33" s="20" t="n">
        <x:v>46237.15895012731</x:v>
      </x:c>
      <x:c r="AH33" t="n">
        <x:v>200</x:v>
      </x:c>
      <x:c r="AI33" t="str">
        <x:v>898f81a54658f3a726b30800cf908f5814d411f5fb0b84cb7aafad702fa4280e</x:v>
      </x:c>
      <x:c r="AJ33" t="str">
        <x:v>1fbc1da2672050b6b1a1ccd8c0cdb0c420d2f719bdeff82ba998509df8b0da41</x:v>
      </x:c>
    </x:row>
    <x:row r="34">
      <x:c r="A34" s="17" t="str">
        <x:v>033</x:v>
      </x:c>
      <x:c r="B34" t="str">
        <x:v>ZH-GOOD-003</x:v>
      </x:c>
      <x:c r="C34" s="17" t="str">
        <x:v>003</x:v>
      </x:c>
      <x:c r="D34" t="str">
        <x:v>Good</x:v>
      </x:c>
      <x:c r="E34" t="n">
        <x:v>70</x:v>
      </x:c>
      <x:c r="F34" t="n">
        <x:v>84</x:v>
      </x:c>
      <x:c r="G34" t="n">
        <x:v>1</x:v>
      </x:c>
      <x:c r="H34" s="18" t="n">
        <x:v>94</x:v>
      </x:c>
      <x:c r="I34" s="18" t="n">
        <x:v>95</x:v>
      </x:c>
      <x:c r="J34" s="18" t="n">
        <x:v>92</x:v>
      </x:c>
      <x:c r="K34" s="18" t="n">
        <x:v>90</x:v>
      </x:c>
      <x:c r="L34" s="18" t="n">
        <x:v>95</x:v>
      </x:c>
      <x:c r="M34" s="18" t="n">
        <x:v>95</x:v>
      </x:c>
      <x:c r="N34" s="18" t="n">
        <x:v>95</x:v>
      </x:c>
      <x:c r="O34" s="18" t="n">
        <x:v>94</x:v>
      </x:c>
      <x:c r="P34" s="18"/>
      <x:c r="Q34" t="str">
        <x:v>No</x:v>
      </x:c>
      <x:c r="R34" s="18" t="n">
        <x:v>10</x:v>
      </x:c>
      <x:c r="S34" s="18" t="n">
        <x:v>0</x:v>
      </x:c>
      <x:c r="T34" s="18" t="n">
        <x:v>10</x:v>
      </x:c>
      <x:c r="U34" t="str">
        <x:v>Excellent</x:v>
      </x:c>
      <x:c r="V34" t="str">
        <x:v>No</x:v>
      </x:c>
      <x:c r="W34" t="str">
        <x:v>PUBLICATION_READY</x:v>
      </x:c>
      <x:c r="X34" t="str">
        <x:v>PASS</x:v>
      </x:c>
      <x:c r="Y34" t="n">
        <x:v>80</x:v>
      </x:c>
      <x:c r="Z34" t="str">
        <x:v>Success</x:v>
      </x:c>
      <x:c r="AA34"/>
      <x:c r="AB34"/>
      <x:c r="AC34" s="13"/>
      <x:c r="AD34" t="n">
        <x:v>0</x:v>
      </x:c>
      <x:c r="AE34" s="19" t="n">
        <x:v>38591</x:v>
      </x:c>
      <x:c r="AF34" t="str">
        <x:v>deepseek-v4-pro</x:v>
      </x:c>
      <x:c r="AG34" s="20" t="n">
        <x:v>46237.159396793984</x:v>
      </x:c>
      <x:c r="AH34" t="n">
        <x:v>200</x:v>
      </x:c>
      <x:c r="AI34" t="str">
        <x:v>a67bdb798f174beebc9f7467fdaeb5e96268b42751df0bf0bf238ff18ad97dcc</x:v>
      </x:c>
      <x:c r="AJ34" t="str">
        <x:v>1fbc1da2672050b6b1a1ccd8c0cdb0c420d2f719bdeff82ba998509df8b0da41</x:v>
      </x:c>
    </x:row>
    <x:row r="35">
      <x:c r="A35" s="17" t="str">
        <x:v>034</x:v>
      </x:c>
      <x:c r="B35" t="str">
        <x:v>ZH-GOOD-004</x:v>
      </x:c>
      <x:c r="C35" s="17" t="str">
        <x:v>004</x:v>
      </x:c>
      <x:c r="D35" t="str">
        <x:v>Good</x:v>
      </x:c>
      <x:c r="E35" t="n">
        <x:v>70</x:v>
      </x:c>
      <x:c r="F35" t="n">
        <x:v>84</x:v>
      </x:c>
      <x:c r="G35" t="n">
        <x:v>1</x:v>
      </x:c>
      <x:c r="H35" s="18" t="n">
        <x:v>89</x:v>
      </x:c>
      <x:c r="I35" s="18" t="n">
        <x:v>95</x:v>
      </x:c>
      <x:c r="J35" s="18" t="n">
        <x:v>88</x:v>
      </x:c>
      <x:c r="K35" s="18" t="n">
        <x:v>80</x:v>
      </x:c>
      <x:c r="L35" s="18" t="n">
        <x:v>85</x:v>
      </x:c>
      <x:c r="M35" s="18" t="n">
        <x:v>90</x:v>
      </x:c>
      <x:c r="N35" s="18" t="n">
        <x:v>95</x:v>
      </x:c>
      <x:c r="O35" s="18" t="n">
        <x:v>89</x:v>
      </x:c>
      <x:c r="P35" s="18" t="n">
        <x:v>89</x:v>
      </x:c>
      <x:c r="Q35" t="str">
        <x:v>No</x:v>
      </x:c>
      <x:c r="R35" s="18" t="n">
        <x:v>5</x:v>
      </x:c>
      <x:c r="S35" s="18" t="n">
        <x:v>0</x:v>
      </x:c>
      <x:c r="T35" s="18" t="n">
        <x:v>5</x:v>
      </x:c>
      <x:c r="U35" t="str">
        <x:v>Excellent</x:v>
      </x:c>
      <x:c r="V35" t="str">
        <x:v>No</x:v>
      </x:c>
      <x:c r="W35" t="str">
        <x:v>STRONG_LIMITED_EDITING</x:v>
      </x:c>
      <x:c r="X35" t="str">
        <x:v>PASS</x:v>
      </x:c>
      <x:c r="Y35" t="n">
        <x:v>80</x:v>
      </x:c>
      <x:c r="Z35" t="str">
        <x:v>Success</x:v>
      </x:c>
      <x:c r="AA35"/>
      <x:c r="AB35"/>
      <x:c r="AC35" s="13"/>
      <x:c r="AD35" t="n">
        <x:v>1</x:v>
      </x:c>
      <x:c r="AE35" s="19" t="n">
        <x:v>89737</x:v>
      </x:c>
      <x:c r="AF35" t="str">
        <x:v>deepseek-v4-pro</x:v>
      </x:c>
      <x:c r="AG35" s="20" t="n">
        <x:v>46237.16043546296</x:v>
      </x:c>
      <x:c r="AH35" t="n">
        <x:v>200</x:v>
      </x:c>
      <x:c r="AI35" t="str">
        <x:v>a079f21e0ac160d358b146749ed24e1ee9dda51727d25d4f8ac21da8a0390248</x:v>
      </x:c>
      <x:c r="AJ35" t="str">
        <x:v>1fbc1da2672050b6b1a1ccd8c0cdb0c420d2f719bdeff82ba998509df8b0da41</x:v>
      </x:c>
    </x:row>
    <x:row r="36">
      <x:c r="A36" s="17" t="str">
        <x:v>035</x:v>
      </x:c>
      <x:c r="B36" t="str">
        <x:v>ZH-GOOD-005</x:v>
      </x:c>
      <x:c r="C36" s="17" t="str">
        <x:v>005</x:v>
      </x:c>
      <x:c r="D36" t="str">
        <x:v>Good</x:v>
      </x:c>
      <x:c r="E36" t="n">
        <x:v>70</x:v>
      </x:c>
      <x:c r="F36" t="n">
        <x:v>84</x:v>
      </x:c>
      <x:c r="G36" t="n">
        <x:v>1</x:v>
      </x:c>
      <x:c r="H36" s="18" t="n">
        <x:v>89</x:v>
      </x:c>
      <x:c r="I36" s="18" t="n">
        <x:v>88</x:v>
      </x:c>
      <x:c r="J36" s="18" t="n">
        <x:v>90</x:v>
      </x:c>
      <x:c r="K36" s="18" t="n">
        <x:v>80</x:v>
      </x:c>
      <x:c r="L36" s="18" t="n">
        <x:v>85</x:v>
      </x:c>
      <x:c r="M36" s="18" t="n">
        <x:v>95</x:v>
      </x:c>
      <x:c r="N36" s="18" t="n">
        <x:v>95</x:v>
      </x:c>
      <x:c r="O36" s="18" t="n">
        <x:v>89</x:v>
      </x:c>
      <x:c r="P36" s="18" t="n">
        <x:v>89</x:v>
      </x:c>
      <x:c r="Q36" t="str">
        <x:v>No</x:v>
      </x:c>
      <x:c r="R36" s="18" t="n">
        <x:v>5</x:v>
      </x:c>
      <x:c r="S36" s="18" t="n">
        <x:v>0</x:v>
      </x:c>
      <x:c r="T36" s="18" t="n">
        <x:v>5</x:v>
      </x:c>
      <x:c r="U36" t="str">
        <x:v>Excellent</x:v>
      </x:c>
      <x:c r="V36" t="str">
        <x:v>No</x:v>
      </x:c>
      <x:c r="W36" t="str">
        <x:v>STRONG_LIMITED_EDITING</x:v>
      </x:c>
      <x:c r="X36" t="str">
        <x:v>PASS</x:v>
      </x:c>
      <x:c r="Y36" t="n">
        <x:v>80</x:v>
      </x:c>
      <x:c r="Z36" t="str">
        <x:v>Success</x:v>
      </x:c>
      <x:c r="AA36"/>
      <x:c r="AB36"/>
      <x:c r="AC36" s="13"/>
      <x:c r="AD36" t="n">
        <x:v>0</x:v>
      </x:c>
      <x:c r="AE36" s="19" t="n">
        <x:v>41391</x:v>
      </x:c>
      <x:c r="AF36" t="str">
        <x:v>deepseek-v4-pro</x:v>
      </x:c>
      <x:c r="AG36" s="20" t="n">
        <x:v>46237.160914548615</x:v>
      </x:c>
      <x:c r="AH36" t="n">
        <x:v>200</x:v>
      </x:c>
      <x:c r="AI36" t="str">
        <x:v>7624cff45082f82dc5cd7c664eb4a2cff5ced4cfda943066b8d74cc03ba9e0b7</x:v>
      </x:c>
      <x:c r="AJ36" t="str">
        <x:v>1fbc1da2672050b6b1a1ccd8c0cdb0c420d2f719bdeff82ba998509df8b0da41</x:v>
      </x:c>
    </x:row>
    <x:row r="37">
      <x:c r="A37" s="17" t="str">
        <x:v>036</x:v>
      </x:c>
      <x:c r="B37" t="str">
        <x:v>ZH-GOOD-006</x:v>
      </x:c>
      <x:c r="C37" s="17" t="str">
        <x:v>006</x:v>
      </x:c>
      <x:c r="D37" t="str">
        <x:v>Good</x:v>
      </x:c>
      <x:c r="E37" t="n">
        <x:v>70</x:v>
      </x:c>
      <x:c r="F37" t="n">
        <x:v>84</x:v>
      </x:c>
      <x:c r="G37" t="n">
        <x:v>1</x:v>
      </x:c>
      <x:c r="H37" s="18" t="n">
        <x:v>85</x:v>
      </x:c>
      <x:c r="I37" s="18" t="n">
        <x:v>88</x:v>
      </x:c>
      <x:c r="J37" s="18" t="n">
        <x:v>83</x:v>
      </x:c>
      <x:c r="K37" s="18" t="n">
        <x:v>82</x:v>
      </x:c>
      <x:c r="L37" s="18" t="n">
        <x:v>79</x:v>
      </x:c>
      <x:c r="M37" s="18" t="n">
        <x:v>90</x:v>
      </x:c>
      <x:c r="N37" s="18" t="n">
        <x:v>90</x:v>
      </x:c>
      <x:c r="O37" s="18" t="n">
        <x:v>85</x:v>
      </x:c>
      <x:c r="P37" s="18" t="n">
        <x:v>89</x:v>
      </x:c>
      <x:c r="Q37" t="str">
        <x:v>No</x:v>
      </x:c>
      <x:c r="R37" s="18" t="n">
        <x:v>1</x:v>
      </x:c>
      <x:c r="S37" s="18" t="n">
        <x:v>0</x:v>
      </x:c>
      <x:c r="T37" s="18" t="n">
        <x:v>1</x:v>
      </x:c>
      <x:c r="U37" t="str">
        <x:v>Excellent</x:v>
      </x:c>
      <x:c r="V37" t="str">
        <x:v>No</x:v>
      </x:c>
      <x:c r="W37" t="str">
        <x:v>STRONG_LIMITED_EDITING</x:v>
      </x:c>
      <x:c r="X37" t="str">
        <x:v>PASS</x:v>
      </x:c>
      <x:c r="Y37" t="n">
        <x:v>80</x:v>
      </x:c>
      <x:c r="Z37" t="str">
        <x:v>Success</x:v>
      </x:c>
      <x:c r="AA37"/>
      <x:c r="AB37"/>
      <x:c r="AC37" s="13"/>
      <x:c r="AD37" t="n">
        <x:v>0</x:v>
      </x:c>
      <x:c r="AE37" s="19" t="n">
        <x:v>49885</x:v>
      </x:c>
      <x:c r="AF37" t="str">
        <x:v>deepseek-v4-pro</x:v>
      </x:c>
      <x:c r="AG37" s="20" t="n">
        <x:v>46237.16149194445</x:v>
      </x:c>
      <x:c r="AH37" t="n">
        <x:v>200</x:v>
      </x:c>
      <x:c r="AI37" t="str">
        <x:v>38c7cb3529454a243e911c64af342d2c76dbb90551562de80efb9593ef8401c3</x:v>
      </x:c>
      <x:c r="AJ37" t="str">
        <x:v>1fbc1da2672050b6b1a1ccd8c0cdb0c420d2f719bdeff82ba998509df8b0da41</x:v>
      </x:c>
    </x:row>
    <x:row r="38">
      <x:c r="A38" s="17" t="str">
        <x:v>037</x:v>
      </x:c>
      <x:c r="B38" t="str">
        <x:v>ZH-GOOD-007</x:v>
      </x:c>
      <x:c r="C38" s="17" t="str">
        <x:v>007</x:v>
      </x:c>
      <x:c r="D38" t="str">
        <x:v>Good</x:v>
      </x:c>
      <x:c r="E38" t="n">
        <x:v>70</x:v>
      </x:c>
      <x:c r="F38" t="n">
        <x:v>84</x:v>
      </x:c>
      <x:c r="G38" t="n">
        <x:v>1</x:v>
      </x:c>
      <x:c r="H38" s="18" t="n">
        <x:v>69</x:v>
      </x:c>
      <x:c r="I38" s="18" t="n">
        <x:v>72</x:v>
      </x:c>
      <x:c r="J38" s="18" t="n">
        <x:v>60</x:v>
      </x:c>
      <x:c r="K38" s="18" t="n">
        <x:v>60</x:v>
      </x:c>
      <x:c r="L38" s="18" t="n">
        <x:v>65</x:v>
      </x:c>
      <x:c r="M38" s="18" t="n">
        <x:v>72</x:v>
      </x:c>
      <x:c r="N38" s="18" t="n">
        <x:v>95</x:v>
      </x:c>
      <x:c r="O38" s="18" t="n">
        <x:v>69</x:v>
      </x:c>
      <x:c r="P38" s="18" t="n">
        <x:v>74</x:v>
      </x:c>
      <x:c r="Q38" t="str">
        <x:v>No</x:v>
      </x:c>
      <x:c r="R38" s="18" t="n">
        <x:v>1</x:v>
      </x:c>
      <x:c r="S38" s="18" t="n">
        <x:v>1</x:v>
      </x:c>
      <x:c r="T38" s="18" t="n">
        <x:v>0</x:v>
      </x:c>
      <x:c r="U38" t="str">
        <x:v>Normal</x:v>
      </x:c>
      <x:c r="V38" t="str">
        <x:v>No</x:v>
      </x:c>
      <x:c r="W38" t="str">
        <x:v>SUBSTANTIAL_REWRITE</x:v>
      </x:c>
      <x:c r="X38" t="str">
        <x:v>REWRITE_REQUIRED</x:v>
      </x:c>
      <x:c r="Y38" t="n">
        <x:v>80</x:v>
      </x:c>
      <x:c r="Z38" t="str">
        <x:v>Success</x:v>
      </x:c>
      <x:c r="AA38"/>
      <x:c r="AB38"/>
      <x:c r="AC38" s="13"/>
      <x:c r="AD38" t="n">
        <x:v>0</x:v>
      </x:c>
      <x:c r="AE38" s="19" t="n">
        <x:v>82882</x:v>
      </x:c>
      <x:c r="AF38" t="str">
        <x:v>deepseek-v4-pro</x:v>
      </x:c>
      <x:c r="AG38" s="20" t="n">
        <x:v>46237.16245123842</x:v>
      </x:c>
      <x:c r="AH38" t="n">
        <x:v>200</x:v>
      </x:c>
      <x:c r="AI38" t="str">
        <x:v>df5e81511a585af7c5f5dd1cdb5b82e7076db720d39549056cb5241d849e90c2</x:v>
      </x:c>
      <x:c r="AJ38" t="str">
        <x:v>1fbc1da2672050b6b1a1ccd8c0cdb0c420d2f719bdeff82ba998509df8b0da41</x:v>
      </x:c>
    </x:row>
    <x:row r="39">
      <x:c r="A39" s="17" t="str">
        <x:v>038</x:v>
      </x:c>
      <x:c r="B39" t="str">
        <x:v>ZH-GOOD-008</x:v>
      </x:c>
      <x:c r="C39" s="17" t="str">
        <x:v>008</x:v>
      </x:c>
      <x:c r="D39" t="str">
        <x:v>Good</x:v>
      </x:c>
      <x:c r="E39" t="n">
        <x:v>70</x:v>
      </x:c>
      <x:c r="F39" t="n">
        <x:v>84</x:v>
      </x:c>
      <x:c r="G39" t="n">
        <x:v>1</x:v>
      </x:c>
      <x:c r="H39" s="18" t="n">
        <x:v>87</x:v>
      </x:c>
      <x:c r="I39" s="18" t="n">
        <x:v>88</x:v>
      </x:c>
      <x:c r="J39" s="18" t="n">
        <x:v>78</x:v>
      </x:c>
      <x:c r="K39" s="18" t="n">
        <x:v>85</x:v>
      </x:c>
      <x:c r="L39" s="18" t="n">
        <x:v>90</x:v>
      </x:c>
      <x:c r="M39" s="18" t="n">
        <x:v>90</x:v>
      </x:c>
      <x:c r="N39" s="18" t="n">
        <x:v>95</x:v>
      </x:c>
      <x:c r="O39" s="18" t="n">
        <x:v>87</x:v>
      </x:c>
      <x:c r="P39" s="18" t="n">
        <x:v>89</x:v>
      </x:c>
      <x:c r="Q39" t="str">
        <x:v>No</x:v>
      </x:c>
      <x:c r="R39" s="18" t="n">
        <x:v>3</x:v>
      </x:c>
      <x:c r="S39" s="18" t="n">
        <x:v>0</x:v>
      </x:c>
      <x:c r="T39" s="18" t="n">
        <x:v>3</x:v>
      </x:c>
      <x:c r="U39" t="str">
        <x:v>Excellent</x:v>
      </x:c>
      <x:c r="V39" t="str">
        <x:v>No</x:v>
      </x:c>
      <x:c r="W39" t="str">
        <x:v>STRONG_LIMITED_EDITING</x:v>
      </x:c>
      <x:c r="X39" t="str">
        <x:v>PASS</x:v>
      </x:c>
      <x:c r="Y39" t="n">
        <x:v>80</x:v>
      </x:c>
      <x:c r="Z39" t="str">
        <x:v>Success</x:v>
      </x:c>
      <x:c r="AA39"/>
      <x:c r="AB39"/>
      <x:c r="AC39" s="13"/>
      <x:c r="AD39" t="n">
        <x:v>0</x:v>
      </x:c>
      <x:c r="AE39" s="19" t="n">
        <x:v>58498</x:v>
      </x:c>
      <x:c r="AF39" t="str">
        <x:v>deepseek-v4-pro</x:v>
      </x:c>
      <x:c r="AG39" s="20" t="n">
        <x:v>46237.16312832176</x:v>
      </x:c>
      <x:c r="AH39" t="n">
        <x:v>200</x:v>
      </x:c>
      <x:c r="AI39" t="str">
        <x:v>6d68c498b3740cecdd55d2d8b789f76b9b4dcd1ff2add554a17df1908fcaa4d8</x:v>
      </x:c>
      <x:c r="AJ39" t="str">
        <x:v>1fbc1da2672050b6b1a1ccd8c0cdb0c420d2f719bdeff82ba998509df8b0da41</x:v>
      </x:c>
    </x:row>
    <x:row r="40">
      <x:c r="A40" s="17" t="str">
        <x:v>039</x:v>
      </x:c>
      <x:c r="B40" t="str">
        <x:v>ZH-GOOD-009</x:v>
      </x:c>
      <x:c r="C40" s="17" t="str">
        <x:v>009</x:v>
      </x:c>
      <x:c r="D40" t="str">
        <x:v>Good</x:v>
      </x:c>
      <x:c r="E40" t="n">
        <x:v>70</x:v>
      </x:c>
      <x:c r="F40" t="n">
        <x:v>84</x:v>
      </x:c>
      <x:c r="G40" t="n">
        <x:v>1</x:v>
      </x:c>
      <x:c r="H40" s="18" t="n">
        <x:v>59</x:v>
      </x:c>
      <x:c r="I40" s="18" t="n">
        <x:v>60</x:v>
      </x:c>
      <x:c r="J40" s="18" t="n">
        <x:v>50</x:v>
      </x:c>
      <x:c r="K40" s="18" t="n">
        <x:v>55</x:v>
      </x:c>
      <x:c r="L40" s="18" t="n">
        <x:v>65</x:v>
      </x:c>
      <x:c r="M40" s="18" t="n">
        <x:v>60</x:v>
      </x:c>
      <x:c r="N40" s="18" t="n">
        <x:v>75</x:v>
      </x:c>
      <x:c r="O40" s="18" t="n">
        <x:v>60</x:v>
      </x:c>
      <x:c r="P40" s="18" t="n">
        <x:v>59</x:v>
      </x:c>
      <x:c r="Q40" t="str">
        <x:v>No</x:v>
      </x:c>
      <x:c r="R40" s="18" t="n">
        <x:v>11</x:v>
      </x:c>
      <x:c r="S40" s="18" t="n">
        <x:v>11</x:v>
      </x:c>
      <x:c r="T40" s="18" t="n">
        <x:v>0</x:v>
      </x:c>
      <x:c r="U40" t="str">
        <x:v>Normal</x:v>
      </x:c>
      <x:c r="V40" t="str">
        <x:v>No</x:v>
      </x:c>
      <x:c r="W40" t="str">
        <x:v>WEAK</x:v>
      </x:c>
      <x:c r="X40" t="str">
        <x:v>REWRITE_REQUIRED</x:v>
      </x:c>
      <x:c r="Y40" t="n">
        <x:v>80</x:v>
      </x:c>
      <x:c r="Z40" t="str">
        <x:v>Success</x:v>
      </x:c>
      <x:c r="AA40"/>
      <x:c r="AB40"/>
      <x:c r="AC40" s="13"/>
      <x:c r="AD40" t="n">
        <x:v>0</x:v>
      </x:c>
      <x:c r="AE40" s="19" t="n">
        <x:v>87081</x:v>
      </x:c>
      <x:c r="AF40" t="str">
        <x:v>deepseek-v4-pro</x:v>
      </x:c>
      <x:c r="AG40" s="20" t="n">
        <x:v>46237.164136238425</x:v>
      </x:c>
      <x:c r="AH40" t="n">
        <x:v>200</x:v>
      </x:c>
      <x:c r="AI40" t="str">
        <x:v>0fbee57f4e89b9f93d0d57389ca8774533fbf2008bdbafb11751c73365fe7f13</x:v>
      </x:c>
      <x:c r="AJ40" t="str">
        <x:v>1fbc1da2672050b6b1a1ccd8c0cdb0c420d2f719bdeff82ba998509df8b0da41</x:v>
      </x:c>
    </x:row>
    <x:row r="41">
      <x:c r="A41" s="17" t="str">
        <x:v>040</x:v>
      </x:c>
      <x:c r="B41" t="str">
        <x:v>ZH-GOOD-010</x:v>
      </x:c>
      <x:c r="C41" s="17" t="str">
        <x:v>010</x:v>
      </x:c>
      <x:c r="D41" t="str">
        <x:v>Good</x:v>
      </x:c>
      <x:c r="E41" t="n">
        <x:v>70</x:v>
      </x:c>
      <x:c r="F41" t="n">
        <x:v>84</x:v>
      </x:c>
      <x:c r="G41" t="n">
        <x:v>1</x:v>
      </x:c>
      <x:c r="H41" s="18" t="n">
        <x:v>59</x:v>
      </x:c>
      <x:c r="I41" s="18" t="n">
        <x:v>70</x:v>
      </x:c>
      <x:c r="J41" s="18" t="n">
        <x:v>55</x:v>
      </x:c>
      <x:c r="K41" s="18" t="n">
        <x:v>65</x:v>
      </x:c>
      <x:c r="L41" s="18" t="n">
        <x:v>70</x:v>
      </x:c>
      <x:c r="M41" s="18" t="n">
        <x:v>75</x:v>
      </x:c>
      <x:c r="N41" s="18" t="n">
        <x:v>88</x:v>
      </x:c>
      <x:c r="O41" s="18" t="n">
        <x:v>69</x:v>
      </x:c>
      <x:c r="P41" s="18" t="n">
        <x:v>59</x:v>
      </x:c>
      <x:c r="Q41" t="str">
        <x:v>No</x:v>
      </x:c>
      <x:c r="R41" s="18" t="n">
        <x:v>11</x:v>
      </x:c>
      <x:c r="S41" s="18" t="n">
        <x:v>11</x:v>
      </x:c>
      <x:c r="T41" s="18" t="n">
        <x:v>0</x:v>
      </x:c>
      <x:c r="U41" t="str">
        <x:v>Normal</x:v>
      </x:c>
      <x:c r="V41" t="str">
        <x:v>No</x:v>
      </x:c>
      <x:c r="W41" t="str">
        <x:v>WEAK</x:v>
      </x:c>
      <x:c r="X41" t="str">
        <x:v>REWRITE_REQUIRED</x:v>
      </x:c>
      <x:c r="Y41" t="n">
        <x:v>80</x:v>
      </x:c>
      <x:c r="Z41" t="str">
        <x:v>Success</x:v>
      </x:c>
      <x:c r="AA41"/>
      <x:c r="AB41"/>
      <x:c r="AC41" s="13"/>
      <x:c r="AD41" t="n">
        <x:v>0</x:v>
      </x:c>
      <x:c r="AE41" s="19" t="n">
        <x:v>100585</x:v>
      </x:c>
      <x:c r="AF41" t="str">
        <x:v>deepseek-v4-pro</x:v>
      </x:c>
      <x:c r="AG41" s="20" t="n">
        <x:v>46237.16530042824</x:v>
      </x:c>
      <x:c r="AH41" t="n">
        <x:v>200</x:v>
      </x:c>
      <x:c r="AI41" t="str">
        <x:v>b6644d2cc5b51e7dc4bf66c346bbd52d6f112d7b883dfd1cba120fb5a035be48</x:v>
      </x:c>
      <x:c r="AJ41" t="str">
        <x:v>1fbc1da2672050b6b1a1ccd8c0cdb0c420d2f719bdeff82ba998509df8b0da41</x:v>
      </x:c>
    </x:row>
    <x:row r="42">
      <x:c r="A42" s="17" t="str">
        <x:v>041</x:v>
      </x:c>
      <x:c r="B42" t="str">
        <x:v>ZH-GOOD-011</x:v>
      </x:c>
      <x:c r="C42" s="17" t="str">
        <x:v>011</x:v>
      </x:c>
      <x:c r="D42" t="str">
        <x:v>Good</x:v>
      </x:c>
      <x:c r="E42" t="n">
        <x:v>70</x:v>
      </x:c>
      <x:c r="F42" t="n">
        <x:v>84</x:v>
      </x:c>
      <x:c r="G42" t="n">
        <x:v>1</x:v>
      </x:c>
      <x:c r="H42" s="18" t="n">
        <x:v>95</x:v>
      </x:c>
      <x:c r="I42" s="18" t="n">
        <x:v>95</x:v>
      </x:c>
      <x:c r="J42" s="18" t="n">
        <x:v>94</x:v>
      </x:c>
      <x:c r="K42" s="18" t="n">
        <x:v>95</x:v>
      </x:c>
      <x:c r="L42" s="18" t="n">
        <x:v>95</x:v>
      </x:c>
      <x:c r="M42" s="18" t="n">
        <x:v>95</x:v>
      </x:c>
      <x:c r="N42" s="18" t="n">
        <x:v>95</x:v>
      </x:c>
      <x:c r="O42" s="18" t="n">
        <x:v>95</x:v>
      </x:c>
      <x:c r="P42" s="18"/>
      <x:c r="Q42" t="str">
        <x:v>No</x:v>
      </x:c>
      <x:c r="R42" s="18" t="n">
        <x:v>11</x:v>
      </x:c>
      <x:c r="S42" s="18" t="n">
        <x:v>0</x:v>
      </x:c>
      <x:c r="T42" s="18" t="n">
        <x:v>11</x:v>
      </x:c>
      <x:c r="U42" t="str">
        <x:v>Excellent</x:v>
      </x:c>
      <x:c r="V42" t="str">
        <x:v>No</x:v>
      </x:c>
      <x:c r="W42" t="str">
        <x:v>PUBLICATION_READY</x:v>
      </x:c>
      <x:c r="X42" t="str">
        <x:v>PASS</x:v>
      </x:c>
      <x:c r="Y42" t="n">
        <x:v>80</x:v>
      </x:c>
      <x:c r="Z42" t="str">
        <x:v>Success</x:v>
      </x:c>
      <x:c r="AA42"/>
      <x:c r="AB42"/>
      <x:c r="AC42" s="13"/>
      <x:c r="AD42" t="n">
        <x:v>0</x:v>
      </x:c>
      <x:c r="AE42" s="19" t="n">
        <x:v>56859</x:v>
      </x:c>
      <x:c r="AF42" t="str">
        <x:v>deepseek-v4-pro</x:v>
      </x:c>
      <x:c r="AG42" s="20" t="n">
        <x:v>46237.16595855324</x:v>
      </x:c>
      <x:c r="AH42" t="n">
        <x:v>200</x:v>
      </x:c>
      <x:c r="AI42" t="str">
        <x:v>9191db16be2ed7127c612d3b5fb7fb48ae656a06198d4286e7a3e08f019c11f4</x:v>
      </x:c>
      <x:c r="AJ42" t="str">
        <x:v>1fbc1da2672050b6b1a1ccd8c0cdb0c420d2f719bdeff82ba998509df8b0da41</x:v>
      </x:c>
    </x:row>
    <x:row r="43">
      <x:c r="A43" s="17" t="str">
        <x:v>042</x:v>
      </x:c>
      <x:c r="B43" t="str">
        <x:v>ZH-GOOD-012</x:v>
      </x:c>
      <x:c r="C43" s="17" t="str">
        <x:v>012</x:v>
      </x:c>
      <x:c r="D43" t="str">
        <x:v>Good</x:v>
      </x:c>
      <x:c r="E43" t="n">
        <x:v>70</x:v>
      </x:c>
      <x:c r="F43" t="n">
        <x:v>84</x:v>
      </x:c>
      <x:c r="G43" t="n">
        <x:v>1</x:v>
      </x:c>
      <x:c r="H43" s="18" t="n">
        <x:v>89</x:v>
      </x:c>
      <x:c r="I43" s="18" t="n">
        <x:v>95</x:v>
      </x:c>
      <x:c r="J43" s="18" t="n">
        <x:v>88</x:v>
      </x:c>
      <x:c r="K43" s="18" t="n">
        <x:v>90</x:v>
      </x:c>
      <x:c r="L43" s="18" t="n">
        <x:v>95</x:v>
      </x:c>
      <x:c r="M43" s="18" t="n">
        <x:v>93</x:v>
      </x:c>
      <x:c r="N43" s="18" t="n">
        <x:v>95</x:v>
      </x:c>
      <x:c r="O43" s="18" t="n">
        <x:v>93</x:v>
      </x:c>
      <x:c r="P43" s="18" t="n">
        <x:v>89</x:v>
      </x:c>
      <x:c r="Q43" t="str">
        <x:v>No</x:v>
      </x:c>
      <x:c r="R43" s="18" t="n">
        <x:v>5</x:v>
      </x:c>
      <x:c r="S43" s="18" t="n">
        <x:v>0</x:v>
      </x:c>
      <x:c r="T43" s="18" t="n">
        <x:v>5</x:v>
      </x:c>
      <x:c r="U43" t="str">
        <x:v>Excellent</x:v>
      </x:c>
      <x:c r="V43" t="str">
        <x:v>No</x:v>
      </x:c>
      <x:c r="W43" t="str">
        <x:v>STRONG_LIMITED_EDITING</x:v>
      </x:c>
      <x:c r="X43" t="str">
        <x:v>PASS</x:v>
      </x:c>
      <x:c r="Y43" t="n">
        <x:v>80</x:v>
      </x:c>
      <x:c r="Z43" t="str">
        <x:v>Success</x:v>
      </x:c>
      <x:c r="AA43"/>
      <x:c r="AB43"/>
      <x:c r="AC43" s="13"/>
      <x:c r="AD43" t="n">
        <x:v>0</x:v>
      </x:c>
      <x:c r="AE43" s="19" t="n">
        <x:v>65993</x:v>
      </x:c>
      <x:c r="AF43" t="str">
        <x:v>deepseek-v4-pro</x:v>
      </x:c>
      <x:c r="AG43" s="20" t="n">
        <x:v>46237.16672238426</x:v>
      </x:c>
      <x:c r="AH43" t="n">
        <x:v>200</x:v>
      </x:c>
      <x:c r="AI43" t="str">
        <x:v>1548288159420225237f023821b2d58ac0d7d032c543b78a95e1918ba1b09981</x:v>
      </x:c>
      <x:c r="AJ43" t="str">
        <x:v>1fbc1da2672050b6b1a1ccd8c0cdb0c420d2f719bdeff82ba998509df8b0da41</x:v>
      </x:c>
    </x:row>
    <x:row r="44">
      <x:c r="A44" s="17" t="str">
        <x:v>043</x:v>
      </x:c>
      <x:c r="B44" t="str">
        <x:v>ZH-GOOD-013</x:v>
      </x:c>
      <x:c r="C44" s="17" t="str">
        <x:v>013</x:v>
      </x:c>
      <x:c r="D44" t="str">
        <x:v>Good</x:v>
      </x:c>
      <x:c r="E44" t="n">
        <x:v>70</x:v>
      </x:c>
      <x:c r="F44" t="n">
        <x:v>84</x:v>
      </x:c>
      <x:c r="G44" t="n">
        <x:v>1</x:v>
      </x:c>
      <x:c r="H44" s="18" t="n">
        <x:v>95</x:v>
      </x:c>
      <x:c r="I44" s="18" t="n">
        <x:v>95</x:v>
      </x:c>
      <x:c r="J44" s="18" t="n">
        <x:v>95</x:v>
      </x:c>
      <x:c r="K44" s="18" t="n">
        <x:v>95</x:v>
      </x:c>
      <x:c r="L44" s="18" t="n">
        <x:v>95</x:v>
      </x:c>
      <x:c r="M44" s="18" t="n">
        <x:v>95</x:v>
      </x:c>
      <x:c r="N44" s="18" t="n">
        <x:v>95</x:v>
      </x:c>
      <x:c r="O44" s="18" t="n">
        <x:v>95</x:v>
      </x:c>
      <x:c r="P44" s="18"/>
      <x:c r="Q44" t="str">
        <x:v>No</x:v>
      </x:c>
      <x:c r="R44" s="18" t="n">
        <x:v>11</x:v>
      </x:c>
      <x:c r="S44" s="18" t="n">
        <x:v>0</x:v>
      </x:c>
      <x:c r="T44" s="18" t="n">
        <x:v>11</x:v>
      </x:c>
      <x:c r="U44" t="str">
        <x:v>Excellent</x:v>
      </x:c>
      <x:c r="V44" t="str">
        <x:v>No</x:v>
      </x:c>
      <x:c r="W44" t="str">
        <x:v>PUBLICATION_READY</x:v>
      </x:c>
      <x:c r="X44" t="str">
        <x:v>PASS</x:v>
      </x:c>
      <x:c r="Y44" t="n">
        <x:v>80</x:v>
      </x:c>
      <x:c r="Z44" t="str">
        <x:v>Success</x:v>
      </x:c>
      <x:c r="AA44"/>
      <x:c r="AB44"/>
      <x:c r="AC44" s="13"/>
      <x:c r="AD44" t="n">
        <x:v>0</x:v>
      </x:c>
      <x:c r="AE44" s="19" t="n">
        <x:v>63773</x:v>
      </x:c>
      <x:c r="AF44" t="str">
        <x:v>deepseek-v4-pro</x:v>
      </x:c>
      <x:c r="AG44" s="20" t="n">
        <x:v>46237.167460509256</x:v>
      </x:c>
      <x:c r="AH44" t="n">
        <x:v>200</x:v>
      </x:c>
      <x:c r="AI44" t="str">
        <x:v>2ed6712b9ff5ae6b8b8e6db566dfb29009d3c39c85573916f3178cfd4243edab</x:v>
      </x:c>
      <x:c r="AJ44" t="str">
        <x:v>1fbc1da2672050b6b1a1ccd8c0cdb0c420d2f719bdeff82ba998509df8b0da41</x:v>
      </x:c>
    </x:row>
    <x:row r="45">
      <x:c r="A45" s="17" t="str">
        <x:v>044</x:v>
      </x:c>
      <x:c r="B45" t="str">
        <x:v>ZH-GOOD-014</x:v>
      </x:c>
      <x:c r="C45" s="17" t="str">
        <x:v>014</x:v>
      </x:c>
      <x:c r="D45" t="str">
        <x:v>Good</x:v>
      </x:c>
      <x:c r="E45" t="n">
        <x:v>70</x:v>
      </x:c>
      <x:c r="F45" t="n">
        <x:v>84</x:v>
      </x:c>
      <x:c r="G45" t="n">
        <x:v>1</x:v>
      </x:c>
      <x:c r="H45" s="18" t="n">
        <x:v>96</x:v>
      </x:c>
      <x:c r="I45" s="18" t="n">
        <x:v>98</x:v>
      </x:c>
      <x:c r="J45" s="18" t="n">
        <x:v>95</x:v>
      </x:c>
      <x:c r="K45" s="18" t="n">
        <x:v>95</x:v>
      </x:c>
      <x:c r="L45" s="18" t="n">
        <x:v>98</x:v>
      </x:c>
      <x:c r="M45" s="18" t="n">
        <x:v>95</x:v>
      </x:c>
      <x:c r="N45" s="18" t="n">
        <x:v>90</x:v>
      </x:c>
      <x:c r="O45" s="18" t="n">
        <x:v>96</x:v>
      </x:c>
      <x:c r="P45" s="18"/>
      <x:c r="Q45" t="str">
        <x:v>No</x:v>
      </x:c>
      <x:c r="R45" s="18" t="n">
        <x:v>12</x:v>
      </x:c>
      <x:c r="S45" s="18" t="n">
        <x:v>0</x:v>
      </x:c>
      <x:c r="T45" s="18" t="n">
        <x:v>12</x:v>
      </x:c>
      <x:c r="U45" t="str">
        <x:v>Excellent</x:v>
      </x:c>
      <x:c r="V45" t="str">
        <x:v>No</x:v>
      </x:c>
      <x:c r="W45" t="str">
        <x:v>PUBLICATION_READY</x:v>
      </x:c>
      <x:c r="X45" t="str">
        <x:v>PASS</x:v>
      </x:c>
      <x:c r="Y45" t="n">
        <x:v>80</x:v>
      </x:c>
      <x:c r="Z45" t="str">
        <x:v>Success</x:v>
      </x:c>
      <x:c r="AA45"/>
      <x:c r="AB45"/>
      <x:c r="AC45" s="13"/>
      <x:c r="AD45" t="n">
        <x:v>0</x:v>
      </x:c>
      <x:c r="AE45" s="19" t="n">
        <x:v>26239</x:v>
      </x:c>
      <x:c r="AF45" t="str">
        <x:v>deepseek-v4-pro</x:v>
      </x:c>
      <x:c r="AG45" s="20" t="n">
        <x:v>46237.167764247686</x:v>
      </x:c>
      <x:c r="AH45" t="n">
        <x:v>200</x:v>
      </x:c>
      <x:c r="AI45" t="str">
        <x:v>75e5f7dcf072759aec645d72709b39afd1feac8b97ce4d5850ee8e30754e54d0</x:v>
      </x:c>
      <x:c r="AJ45" t="str">
        <x:v>1fbc1da2672050b6b1a1ccd8c0cdb0c420d2f719bdeff82ba998509df8b0da41</x:v>
      </x:c>
    </x:row>
    <x:row r="46">
      <x:c r="A46" s="17" t="str">
        <x:v>045</x:v>
      </x:c>
      <x:c r="B46" t="str">
        <x:v>ZH-GOOD-015</x:v>
      </x:c>
      <x:c r="C46" s="17" t="str">
        <x:v>015</x:v>
      </x:c>
      <x:c r="D46" t="str">
        <x:v>Good</x:v>
      </x:c>
      <x:c r="E46" t="n">
        <x:v>70</x:v>
      </x:c>
      <x:c r="F46" t="n">
        <x:v>84</x:v>
      </x:c>
      <x:c r="G46" t="n">
        <x:v>1</x:v>
      </x:c>
      <x:c r="H46" s="18" t="n">
        <x:v>95</x:v>
      </x:c>
      <x:c r="I46" s="18" t="n">
        <x:v>95</x:v>
      </x:c>
      <x:c r="J46" s="18" t="n">
        <x:v>95</x:v>
      </x:c>
      <x:c r="K46" s="18" t="n">
        <x:v>95</x:v>
      </x:c>
      <x:c r="L46" s="18" t="n">
        <x:v>95</x:v>
      </x:c>
      <x:c r="M46" s="18" t="n">
        <x:v>95</x:v>
      </x:c>
      <x:c r="N46" s="18" t="n">
        <x:v>95</x:v>
      </x:c>
      <x:c r="O46" s="18" t="n">
        <x:v>95</x:v>
      </x:c>
      <x:c r="P46" s="18"/>
      <x:c r="Q46" t="str">
        <x:v>No</x:v>
      </x:c>
      <x:c r="R46" s="18" t="n">
        <x:v>11</x:v>
      </x:c>
      <x:c r="S46" s="18" t="n">
        <x:v>0</x:v>
      </x:c>
      <x:c r="T46" s="18" t="n">
        <x:v>11</x:v>
      </x:c>
      <x:c r="U46" t="str">
        <x:v>Excellent</x:v>
      </x:c>
      <x:c r="V46" t="str">
        <x:v>No</x:v>
      </x:c>
      <x:c r="W46" t="str">
        <x:v>PUBLICATION_READY</x:v>
      </x:c>
      <x:c r="X46" t="str">
        <x:v>PASS</x:v>
      </x:c>
      <x:c r="Y46" t="n">
        <x:v>80</x:v>
      </x:c>
      <x:c r="Z46" t="str">
        <x:v>Success</x:v>
      </x:c>
      <x:c r="AA46"/>
      <x:c r="AB46"/>
      <x:c r="AC46" s="13"/>
      <x:c r="AD46" t="n">
        <x:v>0</x:v>
      </x:c>
      <x:c r="AE46" s="19" t="n">
        <x:v>45647</x:v>
      </x:c>
      <x:c r="AF46" t="str">
        <x:v>deepseek-v4-pro</x:v>
      </x:c>
      <x:c r="AG46" s="20" t="n">
        <x:v>46237.16829259259</x:v>
      </x:c>
      <x:c r="AH46" t="n">
        <x:v>200</x:v>
      </x:c>
      <x:c r="AI46" t="str">
        <x:v>4b400049da7b6d129c1e8e9a85affe1a84d50b50b22abac06300715dfadb6595</x:v>
      </x:c>
      <x:c r="AJ46" t="str">
        <x:v>1fbc1da2672050b6b1a1ccd8c0cdb0c420d2f719bdeff82ba998509df8b0da41</x:v>
      </x:c>
    </x:row>
    <x:row r="47">
      <x:c r="A47" s="17" t="str">
        <x:v>046</x:v>
      </x:c>
      <x:c r="B47" t="str">
        <x:v>ZH-GOOD-016</x:v>
      </x:c>
      <x:c r="C47" s="17" t="str">
        <x:v>016</x:v>
      </x:c>
      <x:c r="D47" t="str">
        <x:v>Good</x:v>
      </x:c>
      <x:c r="E47" t="n">
        <x:v>70</x:v>
      </x:c>
      <x:c r="F47" t="n">
        <x:v>84</x:v>
      </x:c>
      <x:c r="G47" t="n">
        <x:v>1</x:v>
      </x:c>
      <x:c r="H47" s="18" t="n">
        <x:v>95</x:v>
      </x:c>
      <x:c r="I47" s="18" t="n">
        <x:v>95</x:v>
      </x:c>
      <x:c r="J47" s="18" t="n">
        <x:v>95</x:v>
      </x:c>
      <x:c r="K47" s="18" t="n">
        <x:v>95</x:v>
      </x:c>
      <x:c r="L47" s="18" t="n">
        <x:v>95</x:v>
      </x:c>
      <x:c r="M47" s="18" t="n">
        <x:v>95</x:v>
      </x:c>
      <x:c r="N47" s="18" t="n">
        <x:v>95</x:v>
      </x:c>
      <x:c r="O47" s="18" t="n">
        <x:v>95</x:v>
      </x:c>
      <x:c r="P47" s="18"/>
      <x:c r="Q47" t="str">
        <x:v>No</x:v>
      </x:c>
      <x:c r="R47" s="18" t="n">
        <x:v>11</x:v>
      </x:c>
      <x:c r="S47" s="18" t="n">
        <x:v>0</x:v>
      </x:c>
      <x:c r="T47" s="18" t="n">
        <x:v>11</x:v>
      </x:c>
      <x:c r="U47" t="str">
        <x:v>Excellent</x:v>
      </x:c>
      <x:c r="V47" t="str">
        <x:v>No</x:v>
      </x:c>
      <x:c r="W47" t="str">
        <x:v>PUBLICATION_READY</x:v>
      </x:c>
      <x:c r="X47" t="str">
        <x:v>PASS</x:v>
      </x:c>
      <x:c r="Y47" t="n">
        <x:v>80</x:v>
      </x:c>
      <x:c r="Z47" t="str">
        <x:v>Success</x:v>
      </x:c>
      <x:c r="AA47"/>
      <x:c r="AB47"/>
      <x:c r="AC47" s="13"/>
      <x:c r="AD47" t="n">
        <x:v>0</x:v>
      </x:c>
      <x:c r="AE47" s="19" t="n">
        <x:v>29480</x:v>
      </x:c>
      <x:c r="AF47" t="str">
        <x:v>deepseek-v4-pro</x:v>
      </x:c>
      <x:c r="AG47" s="20" t="n">
        <x:v>46237.16863383102</x:v>
      </x:c>
      <x:c r="AH47" t="n">
        <x:v>200</x:v>
      </x:c>
      <x:c r="AI47" t="str">
        <x:v>a53f1f2be31ace5cc9835bd551f77ac46dc388c8ada6d787aed6da232afcc9f1</x:v>
      </x:c>
      <x:c r="AJ47" t="str">
        <x:v>1fbc1da2672050b6b1a1ccd8c0cdb0c420d2f719bdeff82ba998509df8b0da41</x:v>
      </x:c>
    </x:row>
    <x:row r="48">
      <x:c r="A48" s="17" t="str">
        <x:v>047</x:v>
      </x:c>
      <x:c r="B48" t="str">
        <x:v>ZH-GOOD-017</x:v>
      </x:c>
      <x:c r="C48" s="17" t="str">
        <x:v>017</x:v>
      </x:c>
      <x:c r="D48" t="str">
        <x:v>Good</x:v>
      </x:c>
      <x:c r="E48" t="n">
        <x:v>70</x:v>
      </x:c>
      <x:c r="F48" t="n">
        <x:v>84</x:v>
      </x:c>
      <x:c r="G48" t="n">
        <x:v>1</x:v>
      </x:c>
      <x:c r="H48" s="18" t="n">
        <x:v>89</x:v>
      </x:c>
      <x:c r="I48" s="18" t="n">
        <x:v>95</x:v>
      </x:c>
      <x:c r="J48" s="18" t="n">
        <x:v>88</x:v>
      </x:c>
      <x:c r="K48" s="18" t="n">
        <x:v>95</x:v>
      </x:c>
      <x:c r="L48" s="18" t="n">
        <x:v>95</x:v>
      </x:c>
      <x:c r="M48" s="18" t="n">
        <x:v>95</x:v>
      </x:c>
      <x:c r="N48" s="18" t="n">
        <x:v>95</x:v>
      </x:c>
      <x:c r="O48" s="18" t="n">
        <x:v>94</x:v>
      </x:c>
      <x:c r="P48" s="18" t="n">
        <x:v>89</x:v>
      </x:c>
      <x:c r="Q48" t="str">
        <x:v>No</x:v>
      </x:c>
      <x:c r="R48" s="18" t="n">
        <x:v>5</x:v>
      </x:c>
      <x:c r="S48" s="18" t="n">
        <x:v>0</x:v>
      </x:c>
      <x:c r="T48" s="18" t="n">
        <x:v>5</x:v>
      </x:c>
      <x:c r="U48" t="str">
        <x:v>Excellent</x:v>
      </x:c>
      <x:c r="V48" t="str">
        <x:v>No</x:v>
      </x:c>
      <x:c r="W48" t="str">
        <x:v>STRONG_LIMITED_EDITING</x:v>
      </x:c>
      <x:c r="X48" t="str">
        <x:v>PASS</x:v>
      </x:c>
      <x:c r="Y48" t="n">
        <x:v>80</x:v>
      </x:c>
      <x:c r="Z48" t="str">
        <x:v>Success</x:v>
      </x:c>
      <x:c r="AA48"/>
      <x:c r="AB48"/>
      <x:c r="AC48" s="13"/>
      <x:c r="AD48" t="n">
        <x:v>0</x:v>
      </x:c>
      <x:c r="AE48" s="19" t="n">
        <x:v>60263</x:v>
      </x:c>
      <x:c r="AF48" t="str">
        <x:v>deepseek-v4-pro</x:v>
      </x:c>
      <x:c r="AG48" s="20" t="n">
        <x:v>46237.16933138889</x:v>
      </x:c>
      <x:c r="AH48" t="n">
        <x:v>200</x:v>
      </x:c>
      <x:c r="AI48" t="str">
        <x:v>27e30c2c2385322aac696624b7cc5dc1de8796a63d7d906b1dabcf4639f35e7c</x:v>
      </x:c>
      <x:c r="AJ48" t="str">
        <x:v>1fbc1da2672050b6b1a1ccd8c0cdb0c420d2f719bdeff82ba998509df8b0da41</x:v>
      </x:c>
    </x:row>
    <x:row r="49">
      <x:c r="A49" s="17" t="str">
        <x:v>048</x:v>
      </x:c>
      <x:c r="B49" t="str">
        <x:v>ZH-GOOD-018</x:v>
      </x:c>
      <x:c r="C49" s="17" t="str">
        <x:v>018</x:v>
      </x:c>
      <x:c r="D49" t="str">
        <x:v>Good</x:v>
      </x:c>
      <x:c r="E49" t="n">
        <x:v>70</x:v>
      </x:c>
      <x:c r="F49" t="n">
        <x:v>84</x:v>
      </x:c>
      <x:c r="G49" t="n">
        <x:v>1</x:v>
      </x:c>
      <x:c r="H49" s="18" t="n">
        <x:v>89</x:v>
      </x:c>
      <x:c r="I49" s="18" t="n">
        <x:v>95</x:v>
      </x:c>
      <x:c r="J49" s="18" t="n">
        <x:v>89</x:v>
      </x:c>
      <x:c r="K49" s="18" t="n">
        <x:v>95</x:v>
      </x:c>
      <x:c r="L49" s="18" t="n">
        <x:v>95</x:v>
      </x:c>
      <x:c r="M49" s="18" t="n">
        <x:v>95</x:v>
      </x:c>
      <x:c r="N49" s="18" t="n">
        <x:v>95</x:v>
      </x:c>
      <x:c r="O49" s="18" t="n">
        <x:v>94</x:v>
      </x:c>
      <x:c r="P49" s="18" t="n">
        <x:v>89</x:v>
      </x:c>
      <x:c r="Q49" t="str">
        <x:v>No</x:v>
      </x:c>
      <x:c r="R49" s="18" t="n">
        <x:v>5</x:v>
      </x:c>
      <x:c r="S49" s="18" t="n">
        <x:v>0</x:v>
      </x:c>
      <x:c r="T49" s="18" t="n">
        <x:v>5</x:v>
      </x:c>
      <x:c r="U49" t="str">
        <x:v>Excellent</x:v>
      </x:c>
      <x:c r="V49" t="str">
        <x:v>No</x:v>
      </x:c>
      <x:c r="W49" t="str">
        <x:v>STRONG_LIMITED_EDITING</x:v>
      </x:c>
      <x:c r="X49" t="str">
        <x:v>PASS</x:v>
      </x:c>
      <x:c r="Y49" t="n">
        <x:v>80</x:v>
      </x:c>
      <x:c r="Z49" t="str">
        <x:v>Success</x:v>
      </x:c>
      <x:c r="AA49"/>
      <x:c r="AB49"/>
      <x:c r="AC49" s="13"/>
      <x:c r="AD49" t="n">
        <x:v>0</x:v>
      </x:c>
      <x:c r="AE49" s="19" t="n">
        <x:v>30610</x:v>
      </x:c>
      <x:c r="AF49" t="str">
        <x:v>deepseek-v4-pro</x:v>
      </x:c>
      <x:c r="AG49" s="20" t="n">
        <x:v>46237.169685740744</x:v>
      </x:c>
      <x:c r="AH49" t="n">
        <x:v>200</x:v>
      </x:c>
      <x:c r="AI49" t="str">
        <x:v>dbf3d20e7407c001cde5c667a09b163d2147c6fd6cc4cbb31731bdc794510e80</x:v>
      </x:c>
      <x:c r="AJ49" t="str">
        <x:v>1fbc1da2672050b6b1a1ccd8c0cdb0c420d2f719bdeff82ba998509df8b0da41</x:v>
      </x:c>
    </x:row>
    <x:row r="50">
      <x:c r="A50" s="17" t="str">
        <x:v>049</x:v>
      </x:c>
      <x:c r="B50" t="str">
        <x:v>ZH-GOOD-019</x:v>
      </x:c>
      <x:c r="C50" s="17" t="str">
        <x:v>019</x:v>
      </x:c>
      <x:c r="D50" t="str">
        <x:v>Good</x:v>
      </x:c>
      <x:c r="E50" t="n">
        <x:v>70</x:v>
      </x:c>
      <x:c r="F50" t="n">
        <x:v>84</x:v>
      </x:c>
      <x:c r="G50" t="n">
        <x:v>1</x:v>
      </x:c>
      <x:c r="H50" s="18" t="n">
        <x:v>98</x:v>
      </x:c>
      <x:c r="I50" s="18" t="n">
        <x:v>98</x:v>
      </x:c>
      <x:c r="J50" s="18" t="n">
        <x:v>98</x:v>
      </x:c>
      <x:c r="K50" s="18" t="n">
        <x:v>98</x:v>
      </x:c>
      <x:c r="L50" s="18" t="n">
        <x:v>96</x:v>
      </x:c>
      <x:c r="M50" s="18" t="n">
        <x:v>98</x:v>
      </x:c>
      <x:c r="N50" s="18" t="n">
        <x:v>98</x:v>
      </x:c>
      <x:c r="O50" s="18" t="n">
        <x:v>98</x:v>
      </x:c>
      <x:c r="P50" s="18"/>
      <x:c r="Q50" t="str">
        <x:v>No</x:v>
      </x:c>
      <x:c r="R50" s="18" t="n">
        <x:v>14</x:v>
      </x:c>
      <x:c r="S50" s="18" t="n">
        <x:v>0</x:v>
      </x:c>
      <x:c r="T50" s="18" t="n">
        <x:v>14</x:v>
      </x:c>
      <x:c r="U50" t="str">
        <x:v>Excellent</x:v>
      </x:c>
      <x:c r="V50" t="str">
        <x:v>No</x:v>
      </x:c>
      <x:c r="W50" t="str">
        <x:v>PUBLICATION_READY</x:v>
      </x:c>
      <x:c r="X50" t="str">
        <x:v>PASS</x:v>
      </x:c>
      <x:c r="Y50" t="n">
        <x:v>80</x:v>
      </x:c>
      <x:c r="Z50" t="str">
        <x:v>Success</x:v>
      </x:c>
      <x:c r="AA50"/>
      <x:c r="AB50"/>
      <x:c r="AC50" s="13"/>
      <x:c r="AD50" t="n">
        <x:v>0</x:v>
      </x:c>
      <x:c r="AE50" s="19" t="n">
        <x:v>46342</x:v>
      </x:c>
      <x:c r="AF50" t="str">
        <x:v>deepseek-v4-pro</x:v>
      </x:c>
      <x:c r="AG50" s="20" t="n">
        <x:v>46237.17022212963</x:v>
      </x:c>
      <x:c r="AH50" t="n">
        <x:v>200</x:v>
      </x:c>
      <x:c r="AI50" t="str">
        <x:v>a72c16e0268c73d3958edbf99acb0e72afa031e7e1a0d31e383a1f9bd070cacb</x:v>
      </x:c>
      <x:c r="AJ50" t="str">
        <x:v>1fbc1da2672050b6b1a1ccd8c0cdb0c420d2f719bdeff82ba998509df8b0da41</x:v>
      </x:c>
    </x:row>
    <x:row r="51">
      <x:c r="A51" s="17" t="str">
        <x:v>050</x:v>
      </x:c>
      <x:c r="B51" t="str">
        <x:v>ZH-GOOD-020</x:v>
      </x:c>
      <x:c r="C51" s="17" t="str">
        <x:v>020</x:v>
      </x:c>
      <x:c r="D51" t="str">
        <x:v>Good</x:v>
      </x:c>
      <x:c r="E51" t="n">
        <x:v>70</x:v>
      </x:c>
      <x:c r="F51" t="n">
        <x:v>84</x:v>
      </x:c>
      <x:c r="G51" t="n">
        <x:v>1</x:v>
      </x:c>
      <x:c r="H51" s="18" t="n">
        <x:v>94</x:v>
      </x:c>
      <x:c r="I51" s="18" t="n">
        <x:v>95</x:v>
      </x:c>
      <x:c r="J51" s="18" t="n">
        <x:v>92</x:v>
      </x:c>
      <x:c r="K51" s="18" t="n">
        <x:v>95</x:v>
      </x:c>
      <x:c r="L51" s="18" t="n">
        <x:v>95</x:v>
      </x:c>
      <x:c r="M51" s="18" t="n">
        <x:v>95</x:v>
      </x:c>
      <x:c r="N51" s="18" t="n">
        <x:v>95</x:v>
      </x:c>
      <x:c r="O51" s="18" t="n">
        <x:v>94</x:v>
      </x:c>
      <x:c r="P51" s="18"/>
      <x:c r="Q51" t="str">
        <x:v>No</x:v>
      </x:c>
      <x:c r="R51" s="18" t="n">
        <x:v>10</x:v>
      </x:c>
      <x:c r="S51" s="18" t="n">
        <x:v>0</x:v>
      </x:c>
      <x:c r="T51" s="18" t="n">
        <x:v>10</x:v>
      </x:c>
      <x:c r="U51" t="str">
        <x:v>Excellent</x:v>
      </x:c>
      <x:c r="V51" t="str">
        <x:v>No</x:v>
      </x:c>
      <x:c r="W51" t="str">
        <x:v>PUBLICATION_READY</x:v>
      </x:c>
      <x:c r="X51" t="str">
        <x:v>PASS</x:v>
      </x:c>
      <x:c r="Y51" t="n">
        <x:v>80</x:v>
      </x:c>
      <x:c r="Z51" t="str">
        <x:v>Success</x:v>
      </x:c>
      <x:c r="AA51"/>
      <x:c r="AB51"/>
      <x:c r="AC51" s="13"/>
      <x:c r="AD51" t="n">
        <x:v>0</x:v>
      </x:c>
      <x:c r="AE51" s="19" t="n">
        <x:v>33857</x:v>
      </x:c>
      <x:c r="AF51" t="str">
        <x:v>deepseek-v4-pro</x:v>
      </x:c>
      <x:c r="AG51" s="20" t="n">
        <x:v>46237.17061400463</x:v>
      </x:c>
      <x:c r="AH51" t="n">
        <x:v>200</x:v>
      </x:c>
      <x:c r="AI51" t="str">
        <x:v>1f3ee04063cf5090107f60faa773fd45761b03c171c426d8755cb89eef57b3f7</x:v>
      </x:c>
      <x:c r="AJ51" t="str">
        <x:v>1fbc1da2672050b6b1a1ccd8c0cdb0c420d2f719bdeff82ba998509df8b0da41</x:v>
      </x:c>
    </x:row>
    <x:row r="52">
      <x:c r="A52" s="17" t="str">
        <x:v>051</x:v>
      </x:c>
      <x:c r="B52" t="str">
        <x:v>ZH-GOOD-021</x:v>
      </x:c>
      <x:c r="C52" s="17" t="str">
        <x:v>021</x:v>
      </x:c>
      <x:c r="D52" t="str">
        <x:v>Good</x:v>
      </x:c>
      <x:c r="E52" t="n">
        <x:v>70</x:v>
      </x:c>
      <x:c r="F52" t="n">
        <x:v>84</x:v>
      </x:c>
      <x:c r="G52" t="n">
        <x:v>1</x:v>
      </x:c>
      <x:c r="H52" s="18" t="n">
        <x:v>89</x:v>
      </x:c>
      <x:c r="I52" s="18" t="n">
        <x:v>95</x:v>
      </x:c>
      <x:c r="J52" s="18" t="n">
        <x:v>85</x:v>
      </x:c>
      <x:c r="K52" s="18" t="n">
        <x:v>95</x:v>
      </x:c>
      <x:c r="L52" s="18" t="n">
        <x:v>98</x:v>
      </x:c>
      <x:c r="M52" s="18" t="n">
        <x:v>95</x:v>
      </x:c>
      <x:c r="N52" s="18" t="n">
        <x:v>95</x:v>
      </x:c>
      <x:c r="O52" s="18" t="n">
        <x:v>93</x:v>
      </x:c>
      <x:c r="P52" s="18" t="n">
        <x:v>89</x:v>
      </x:c>
      <x:c r="Q52" t="str">
        <x:v>No</x:v>
      </x:c>
      <x:c r="R52" s="18" t="n">
        <x:v>5</x:v>
      </x:c>
      <x:c r="S52" s="18" t="n">
        <x:v>0</x:v>
      </x:c>
      <x:c r="T52" s="18" t="n">
        <x:v>5</x:v>
      </x:c>
      <x:c r="U52" t="str">
        <x:v>Excellent</x:v>
      </x:c>
      <x:c r="V52" t="str">
        <x:v>No</x:v>
      </x:c>
      <x:c r="W52" t="str">
        <x:v>STRONG_LIMITED_EDITING</x:v>
      </x:c>
      <x:c r="X52" t="str">
        <x:v>PASS</x:v>
      </x:c>
      <x:c r="Y52" t="n">
        <x:v>80</x:v>
      </x:c>
      <x:c r="Z52" t="str">
        <x:v>Success</x:v>
      </x:c>
      <x:c r="AA52"/>
      <x:c r="AB52"/>
      <x:c r="AC52" s="13"/>
      <x:c r="AD52" t="n">
        <x:v>0</x:v>
      </x:c>
      <x:c r="AE52" s="19" t="n">
        <x:v>42232</x:v>
      </x:c>
      <x:c r="AF52" t="str">
        <x:v>deepseek-v4-pro</x:v>
      </x:c>
      <x:c r="AG52" s="20" t="n">
        <x:v>46237.17110283565</x:v>
      </x:c>
      <x:c r="AH52" t="n">
        <x:v>200</x:v>
      </x:c>
      <x:c r="AI52" t="str">
        <x:v>470418709436430bf0a452d0ffc2c9dbb0049f3401adbd8de9a29e3e6329c664</x:v>
      </x:c>
      <x:c r="AJ52" t="str">
        <x:v>1fbc1da2672050b6b1a1ccd8c0cdb0c420d2f719bdeff82ba998509df8b0da41</x:v>
      </x:c>
    </x:row>
    <x:row r="53">
      <x:c r="A53" s="17" t="str">
        <x:v>052</x:v>
      </x:c>
      <x:c r="B53" t="str">
        <x:v>ZH-GOOD-022</x:v>
      </x:c>
      <x:c r="C53" s="17" t="str">
        <x:v>022</x:v>
      </x:c>
      <x:c r="D53" t="str">
        <x:v>Good</x:v>
      </x:c>
      <x:c r="E53" t="n">
        <x:v>70</x:v>
      </x:c>
      <x:c r="F53" t="n">
        <x:v>84</x:v>
      </x:c>
      <x:c r="G53" t="n">
        <x:v>1</x:v>
      </x:c>
      <x:c r="H53" s="18" t="n">
        <x:v>95</x:v>
      </x:c>
      <x:c r="I53" s="18" t="n">
        <x:v>95</x:v>
      </x:c>
      <x:c r="J53" s="18" t="n">
        <x:v>95</x:v>
      </x:c>
      <x:c r="K53" s="18" t="n">
        <x:v>95</x:v>
      </x:c>
      <x:c r="L53" s="18" t="n">
        <x:v>95</x:v>
      </x:c>
      <x:c r="M53" s="18" t="n">
        <x:v>95</x:v>
      </x:c>
      <x:c r="N53" s="18" t="n">
        <x:v>95</x:v>
      </x:c>
      <x:c r="O53" s="18" t="n">
        <x:v>95</x:v>
      </x:c>
      <x:c r="P53" s="18"/>
      <x:c r="Q53" t="str">
        <x:v>No</x:v>
      </x:c>
      <x:c r="R53" s="18" t="n">
        <x:v>11</x:v>
      </x:c>
      <x:c r="S53" s="18" t="n">
        <x:v>0</x:v>
      </x:c>
      <x:c r="T53" s="18" t="n">
        <x:v>11</x:v>
      </x:c>
      <x:c r="U53" t="str">
        <x:v>Excellent</x:v>
      </x:c>
      <x:c r="V53" t="str">
        <x:v>No</x:v>
      </x:c>
      <x:c r="W53" t="str">
        <x:v>PUBLICATION_READY</x:v>
      </x:c>
      <x:c r="X53" t="str">
        <x:v>PASS</x:v>
      </x:c>
      <x:c r="Y53" t="n">
        <x:v>80</x:v>
      </x:c>
      <x:c r="Z53" t="str">
        <x:v>Success</x:v>
      </x:c>
      <x:c r="AA53"/>
      <x:c r="AB53"/>
      <x:c r="AC53" s="13"/>
      <x:c r="AD53" t="n">
        <x:v>0</x:v>
      </x:c>
      <x:c r="AE53" s="19" t="n">
        <x:v>41487</x:v>
      </x:c>
      <x:c r="AF53" t="str">
        <x:v>deepseek-v4-pro</x:v>
      </x:c>
      <x:c r="AG53" s="20" t="n">
        <x:v>46237.17158303241</x:v>
      </x:c>
      <x:c r="AH53" t="n">
        <x:v>200</x:v>
      </x:c>
      <x:c r="AI53" t="str">
        <x:v>cee9bc76acf4b6497abbb96142abf0163298c19d6753ffa7f77ed4205947fc5f</x:v>
      </x:c>
      <x:c r="AJ53" t="str">
        <x:v>1fbc1da2672050b6b1a1ccd8c0cdb0c420d2f719bdeff82ba998509df8b0da41</x:v>
      </x:c>
    </x:row>
    <x:row r="54">
      <x:c r="A54" s="17" t="str">
        <x:v>053</x:v>
      </x:c>
      <x:c r="B54" t="str">
        <x:v>ZH-GOOD-023</x:v>
      </x:c>
      <x:c r="C54" s="17" t="str">
        <x:v>023</x:v>
      </x:c>
      <x:c r="D54" t="str">
        <x:v>Good</x:v>
      </x:c>
      <x:c r="E54" t="n">
        <x:v>70</x:v>
      </x:c>
      <x:c r="F54" t="n">
        <x:v>84</x:v>
      </x:c>
      <x:c r="G54" t="n">
        <x:v>1</x:v>
      </x:c>
      <x:c r="H54" s="18" t="n">
        <x:v>89</x:v>
      </x:c>
      <x:c r="I54" s="18" t="n">
        <x:v>90</x:v>
      </x:c>
      <x:c r="J54" s="18" t="n">
        <x:v>95</x:v>
      </x:c>
      <x:c r="K54" s="18" t="n">
        <x:v>89</x:v>
      </x:c>
      <x:c r="L54" s="18" t="n">
        <x:v>100</x:v>
      </x:c>
      <x:c r="M54" s="18" t="n">
        <x:v>100</x:v>
      </x:c>
      <x:c r="N54" s="18" t="n">
        <x:v>100</x:v>
      </x:c>
      <x:c r="O54" s="18" t="n">
        <x:v>95</x:v>
      </x:c>
      <x:c r="P54" s="18" t="n">
        <x:v>89</x:v>
      </x:c>
      <x:c r="Q54" t="str">
        <x:v>No</x:v>
      </x:c>
      <x:c r="R54" s="18" t="n">
        <x:v>5</x:v>
      </x:c>
      <x:c r="S54" s="18" t="n">
        <x:v>0</x:v>
      </x:c>
      <x:c r="T54" s="18" t="n">
        <x:v>5</x:v>
      </x:c>
      <x:c r="U54" t="str">
        <x:v>Excellent</x:v>
      </x:c>
      <x:c r="V54" t="str">
        <x:v>No</x:v>
      </x:c>
      <x:c r="W54" t="str">
        <x:v>STRONG_LIMITED_EDITING</x:v>
      </x:c>
      <x:c r="X54" t="str">
        <x:v>PASS</x:v>
      </x:c>
      <x:c r="Y54" t="n">
        <x:v>80</x:v>
      </x:c>
      <x:c r="Z54" t="str">
        <x:v>Success</x:v>
      </x:c>
      <x:c r="AA54"/>
      <x:c r="AB54"/>
      <x:c r="AC54" s="13"/>
      <x:c r="AD54" t="n">
        <x:v>0</x:v>
      </x:c>
      <x:c r="AE54" s="19" t="n">
        <x:v>86317</x:v>
      </x:c>
      <x:c r="AF54" t="str">
        <x:v>deepseek-v4-pro</x:v>
      </x:c>
      <x:c r="AG54" s="20" t="n">
        <x:v>46237.17258211806</x:v>
      </x:c>
      <x:c r="AH54" t="n">
        <x:v>200</x:v>
      </x:c>
      <x:c r="AI54" t="str">
        <x:v>666d23ca4112759e42a28f4743a5e0295b560660adf035ef254baf9017a2dfd6</x:v>
      </x:c>
      <x:c r="AJ54" t="str">
        <x:v>1fbc1da2672050b6b1a1ccd8c0cdb0c420d2f719bdeff82ba998509df8b0da41</x:v>
      </x:c>
    </x:row>
    <x:row r="55">
      <x:c r="A55" s="17" t="str">
        <x:v>054</x:v>
      </x:c>
      <x:c r="B55" t="str">
        <x:v>ZH-GOOD-024</x:v>
      </x:c>
      <x:c r="C55" s="17" t="str">
        <x:v>024</x:v>
      </x:c>
      <x:c r="D55" t="str">
        <x:v>Good</x:v>
      </x:c>
      <x:c r="E55" t="n">
        <x:v>70</x:v>
      </x:c>
      <x:c r="F55" t="n">
        <x:v>84</x:v>
      </x:c>
      <x:c r="G55" t="n">
        <x:v>1</x:v>
      </x:c>
      <x:c r="H55" s="18" t="n">
        <x:v>96</x:v>
      </x:c>
      <x:c r="I55" s="18" t="n">
        <x:v>95</x:v>
      </x:c>
      <x:c r="J55" s="18" t="n">
        <x:v>95</x:v>
      </x:c>
      <x:c r="K55" s="18" t="n">
        <x:v>95</x:v>
      </x:c>
      <x:c r="L55" s="18" t="n">
        <x:v>98</x:v>
      </x:c>
      <x:c r="M55" s="18" t="n">
        <x:v>98</x:v>
      </x:c>
      <x:c r="N55" s="18" t="n">
        <x:v>95</x:v>
      </x:c>
      <x:c r="O55" s="18" t="n">
        <x:v>96</x:v>
      </x:c>
      <x:c r="P55" s="18"/>
      <x:c r="Q55" t="str">
        <x:v>No</x:v>
      </x:c>
      <x:c r="R55" s="18" t="n">
        <x:v>12</x:v>
      </x:c>
      <x:c r="S55" s="18" t="n">
        <x:v>0</x:v>
      </x:c>
      <x:c r="T55" s="18" t="n">
        <x:v>12</x:v>
      </x:c>
      <x:c r="U55" t="str">
        <x:v>Excellent</x:v>
      </x:c>
      <x:c r="V55" t="str">
        <x:v>No</x:v>
      </x:c>
      <x:c r="W55" t="str">
        <x:v>PUBLICATION_READY</x:v>
      </x:c>
      <x:c r="X55" t="str">
        <x:v>PASS</x:v>
      </x:c>
      <x:c r="Y55" t="n">
        <x:v>80</x:v>
      </x:c>
      <x:c r="Z55" t="str">
        <x:v>Success</x:v>
      </x:c>
      <x:c r="AA55"/>
      <x:c r="AB55"/>
      <x:c r="AC55" s="13"/>
      <x:c r="AD55" t="n">
        <x:v>0</x:v>
      </x:c>
      <x:c r="AE55" s="19" t="n">
        <x:v>32933</x:v>
      </x:c>
      <x:c r="AF55" t="str">
        <x:v>deepseek-v4-pro</x:v>
      </x:c>
      <x:c r="AG55" s="20" t="n">
        <x:v>46237.17296335648</x:v>
      </x:c>
      <x:c r="AH55" t="n">
        <x:v>200</x:v>
      </x:c>
      <x:c r="AI55" t="str">
        <x:v>4c5c539cba3ff339c41036275e14a08864a81f542b66f2d20319592e52083e57</x:v>
      </x:c>
      <x:c r="AJ55" t="str">
        <x:v>1fbc1da2672050b6b1a1ccd8c0cdb0c420d2f719bdeff82ba998509df8b0da41</x:v>
      </x:c>
    </x:row>
    <x:row r="56">
      <x:c r="A56" s="17" t="str">
        <x:v>055</x:v>
      </x:c>
      <x:c r="B56" t="str">
        <x:v>ZH-GOOD-025</x:v>
      </x:c>
      <x:c r="C56" s="17" t="str">
        <x:v>025</x:v>
      </x:c>
      <x:c r="D56" t="str">
        <x:v>Good</x:v>
      </x:c>
      <x:c r="E56" t="n">
        <x:v>70</x:v>
      </x:c>
      <x:c r="F56" t="n">
        <x:v>84</x:v>
      </x:c>
      <x:c r="G56" t="n">
        <x:v>1</x:v>
      </x:c>
      <x:c r="H56" s="18" t="n">
        <x:v>89</x:v>
      </x:c>
      <x:c r="I56" s="18" t="n">
        <x:v>98</x:v>
      </x:c>
      <x:c r="J56" s="18" t="n">
        <x:v>89</x:v>
      </x:c>
      <x:c r="K56" s="18" t="n">
        <x:v>95</x:v>
      </x:c>
      <x:c r="L56" s="18" t="n">
        <x:v>98</x:v>
      </x:c>
      <x:c r="M56" s="18" t="n">
        <x:v>95</x:v>
      </x:c>
      <x:c r="N56" s="18" t="n">
        <x:v>95</x:v>
      </x:c>
      <x:c r="O56" s="18" t="n">
        <x:v>95</x:v>
      </x:c>
      <x:c r="P56" s="18" t="n">
        <x:v>89</x:v>
      </x:c>
      <x:c r="Q56" t="str">
        <x:v>No</x:v>
      </x:c>
      <x:c r="R56" s="18" t="n">
        <x:v>5</x:v>
      </x:c>
      <x:c r="S56" s="18" t="n">
        <x:v>0</x:v>
      </x:c>
      <x:c r="T56" s="18" t="n">
        <x:v>5</x:v>
      </x:c>
      <x:c r="U56" t="str">
        <x:v>Excellent</x:v>
      </x:c>
      <x:c r="V56" t="str">
        <x:v>No</x:v>
      </x:c>
      <x:c r="W56" t="str">
        <x:v>STRONG_LIMITED_EDITING</x:v>
      </x:c>
      <x:c r="X56" t="str">
        <x:v>PASS</x:v>
      </x:c>
      <x:c r="Y56" t="n">
        <x:v>80</x:v>
      </x:c>
      <x:c r="Z56" t="str">
        <x:v>Success</x:v>
      </x:c>
      <x:c r="AA56"/>
      <x:c r="AB56"/>
      <x:c r="AC56" s="13"/>
      <x:c r="AD56" t="n">
        <x:v>0</x:v>
      </x:c>
      <x:c r="AE56" s="19" t="n">
        <x:v>64697</x:v>
      </x:c>
      <x:c r="AF56" t="str">
        <x:v>deepseek-v4-pro</x:v>
      </x:c>
      <x:c r="AG56" s="20" t="n">
        <x:v>46237.17371219907</x:v>
      </x:c>
      <x:c r="AH56" t="n">
        <x:v>200</x:v>
      </x:c>
      <x:c r="AI56" t="str">
        <x:v>7715519a097215d7f60dc6309670aaf122338a728c842319a46ddfbed00759c9</x:v>
      </x:c>
      <x:c r="AJ56" t="str">
        <x:v>1fbc1da2672050b6b1a1ccd8c0cdb0c420d2f719bdeff82ba998509df8b0da41</x:v>
      </x:c>
    </x:row>
    <x:row r="57">
      <x:c r="A57" s="17" t="str">
        <x:v>056</x:v>
      </x:c>
      <x:c r="B57" t="str">
        <x:v>ZH-GOOD-026</x:v>
      </x:c>
      <x:c r="C57" s="17" t="str">
        <x:v>026</x:v>
      </x:c>
      <x:c r="D57" t="str">
        <x:v>Good</x:v>
      </x:c>
      <x:c r="E57" t="n">
        <x:v>70</x:v>
      </x:c>
      <x:c r="F57" t="n">
        <x:v>84</x:v>
      </x:c>
      <x:c r="G57" t="n">
        <x:v>1</x:v>
      </x:c>
      <x:c r="H57" s="18" t="n">
        <x:v>59</x:v>
      </x:c>
      <x:c r="I57" s="18" t="n">
        <x:v>95</x:v>
      </x:c>
      <x:c r="J57" s="18" t="n">
        <x:v>45</x:v>
      </x:c>
      <x:c r="K57" s="18" t="n">
        <x:v>90</x:v>
      </x:c>
      <x:c r="L57" s="18" t="n">
        <x:v>95</x:v>
      </x:c>
      <x:c r="M57" s="18" t="n">
        <x:v>90</x:v>
      </x:c>
      <x:c r="N57" s="18" t="n">
        <x:v>85</x:v>
      </x:c>
      <x:c r="O57" s="18" t="n">
        <x:v>83</x:v>
      </x:c>
      <x:c r="P57" s="18" t="n">
        <x:v>59</x:v>
      </x:c>
      <x:c r="Q57" t="str">
        <x:v>No</x:v>
      </x:c>
      <x:c r="R57" s="18" t="n">
        <x:v>11</x:v>
      </x:c>
      <x:c r="S57" s="18" t="n">
        <x:v>11</x:v>
      </x:c>
      <x:c r="T57" s="18" t="n">
        <x:v>0</x:v>
      </x:c>
      <x:c r="U57" t="str">
        <x:v>Normal</x:v>
      </x:c>
      <x:c r="V57" t="str">
        <x:v>No</x:v>
      </x:c>
      <x:c r="W57" t="str">
        <x:v>WEAK</x:v>
      </x:c>
      <x:c r="X57" t="str">
        <x:v>REWRITE_REQUIRED</x:v>
      </x:c>
      <x:c r="Y57" t="n">
        <x:v>80</x:v>
      </x:c>
      <x:c r="Z57" t="str">
        <x:v>Success</x:v>
      </x:c>
      <x:c r="AA57"/>
      <x:c r="AB57"/>
      <x:c r="AC57" s="13"/>
      <x:c r="AD57" t="n">
        <x:v>0</x:v>
      </x:c>
      <x:c r="AE57" s="19" t="n">
        <x:v>65833</x:v>
      </x:c>
      <x:c r="AF57" t="str">
        <x:v>deepseek-v4-pro</x:v>
      </x:c>
      <x:c r="AG57" s="20" t="n">
        <x:v>46237.174474189815</x:v>
      </x:c>
      <x:c r="AH57" t="n">
        <x:v>200</x:v>
      </x:c>
      <x:c r="AI57" t="str">
        <x:v>fd53e43b27b617f1092fbd0ba6f54e38bd8ded0fa8d1c74024b9b5ec615cb004</x:v>
      </x:c>
      <x:c r="AJ57" t="str">
        <x:v>1fbc1da2672050b6b1a1ccd8c0cdb0c420d2f719bdeff82ba998509df8b0da41</x:v>
      </x:c>
    </x:row>
    <x:row r="58">
      <x:c r="A58" s="17" t="str">
        <x:v>057</x:v>
      </x:c>
      <x:c r="B58" t="str">
        <x:v>ZH-GOOD-027</x:v>
      </x:c>
      <x:c r="C58" s="17" t="str">
        <x:v>027</x:v>
      </x:c>
      <x:c r="D58" t="str">
        <x:v>Good</x:v>
      </x:c>
      <x:c r="E58" t="n">
        <x:v>70</x:v>
      </x:c>
      <x:c r="F58" t="n">
        <x:v>84</x:v>
      </x:c>
      <x:c r="G58" t="n">
        <x:v>1</x:v>
      </x:c>
      <x:c r="H58" s="18" t="n">
        <x:v>89</x:v>
      </x:c>
      <x:c r="I58" s="18" t="n">
        <x:v>89</x:v>
      </x:c>
      <x:c r="J58" s="18" t="n">
        <x:v>89</x:v>
      </x:c>
      <x:c r="K58" s="18" t="n">
        <x:v>95</x:v>
      </x:c>
      <x:c r="L58" s="18" t="n">
        <x:v>98</x:v>
      </x:c>
      <x:c r="M58" s="18" t="n">
        <x:v>95</x:v>
      </x:c>
      <x:c r="N58" s="18" t="n">
        <x:v>98</x:v>
      </x:c>
      <x:c r="O58" s="18" t="n">
        <x:v>93</x:v>
      </x:c>
      <x:c r="P58" s="18" t="n">
        <x:v>89</x:v>
      </x:c>
      <x:c r="Q58" t="str">
        <x:v>No</x:v>
      </x:c>
      <x:c r="R58" s="18" t="n">
        <x:v>5</x:v>
      </x:c>
      <x:c r="S58" s="18" t="n">
        <x:v>0</x:v>
      </x:c>
      <x:c r="T58" s="18" t="n">
        <x:v>5</x:v>
      </x:c>
      <x:c r="U58" t="str">
        <x:v>Excellent</x:v>
      </x:c>
      <x:c r="V58" t="str">
        <x:v>No</x:v>
      </x:c>
      <x:c r="W58" t="str">
        <x:v>STRONG_LIMITED_EDITING</x:v>
      </x:c>
      <x:c r="X58" t="str">
        <x:v>PASS</x:v>
      </x:c>
      <x:c r="Y58" t="n">
        <x:v>80</x:v>
      </x:c>
      <x:c r="Z58" t="str">
        <x:v>Success</x:v>
      </x:c>
      <x:c r="AA58"/>
      <x:c r="AB58"/>
      <x:c r="AC58" s="13"/>
      <x:c r="AD58" t="n">
        <x:v>0</x:v>
      </x:c>
      <x:c r="AE58" s="19" t="n">
        <x:v>65526</x:v>
      </x:c>
      <x:c r="AF58" t="str">
        <x:v>deepseek-v4-pro</x:v>
      </x:c>
      <x:c r="AG58" s="20" t="n">
        <x:v>46237.175232615744</x:v>
      </x:c>
      <x:c r="AH58" t="n">
        <x:v>200</x:v>
      </x:c>
      <x:c r="AI58" t="str">
        <x:v>b7206696a341307bac7d93425782f9335b39616788937017a5f654d9515f908c</x:v>
      </x:c>
      <x:c r="AJ58" t="str">
        <x:v>1fbc1da2672050b6b1a1ccd8c0cdb0c420d2f719bdeff82ba998509df8b0da41</x:v>
      </x:c>
    </x:row>
    <x:row r="59">
      <x:c r="A59" s="17" t="str">
        <x:v>058</x:v>
      </x:c>
      <x:c r="B59" t="str">
        <x:v>ZH-GOOD-028</x:v>
      </x:c>
      <x:c r="C59" s="17" t="str">
        <x:v>028</x:v>
      </x:c>
      <x:c r="D59" t="str">
        <x:v>Good</x:v>
      </x:c>
      <x:c r="E59" t="n">
        <x:v>70</x:v>
      </x:c>
      <x:c r="F59" t="n">
        <x:v>84</x:v>
      </x:c>
      <x:c r="G59" t="n">
        <x:v>1</x:v>
      </x:c>
      <x:c r="H59" s="18" t="n">
        <x:v>95</x:v>
      </x:c>
      <x:c r="I59" s="18" t="n">
        <x:v>95</x:v>
      </x:c>
      <x:c r="J59" s="18" t="n">
        <x:v>95</x:v>
      </x:c>
      <x:c r="K59" s="18" t="n">
        <x:v>95</x:v>
      </x:c>
      <x:c r="L59" s="18" t="n">
        <x:v>95</x:v>
      </x:c>
      <x:c r="M59" s="18" t="n">
        <x:v>95</x:v>
      </x:c>
      <x:c r="N59" s="18" t="n">
        <x:v>95</x:v>
      </x:c>
      <x:c r="O59" s="18" t="n">
        <x:v>95</x:v>
      </x:c>
      <x:c r="P59" s="18"/>
      <x:c r="Q59" t="str">
        <x:v>No</x:v>
      </x:c>
      <x:c r="R59" s="18" t="n">
        <x:v>11</x:v>
      </x:c>
      <x:c r="S59" s="18" t="n">
        <x:v>0</x:v>
      </x:c>
      <x:c r="T59" s="18" t="n">
        <x:v>11</x:v>
      </x:c>
      <x:c r="U59" t="str">
        <x:v>Excellent</x:v>
      </x:c>
      <x:c r="V59" t="str">
        <x:v>No</x:v>
      </x:c>
      <x:c r="W59" t="str">
        <x:v>PUBLICATION_READY</x:v>
      </x:c>
      <x:c r="X59" t="str">
        <x:v>PASS</x:v>
      </x:c>
      <x:c r="Y59" t="n">
        <x:v>80</x:v>
      </x:c>
      <x:c r="Z59" t="str">
        <x:v>Success</x:v>
      </x:c>
      <x:c r="AA59"/>
      <x:c r="AB59"/>
      <x:c r="AC59" s="13"/>
      <x:c r="AD59" t="n">
        <x:v>0</x:v>
      </x:c>
      <x:c r="AE59" s="19" t="n">
        <x:v>27215</x:v>
      </x:c>
      <x:c r="AF59" t="str">
        <x:v>deepseek-v4-pro</x:v>
      </x:c>
      <x:c r="AG59" s="20" t="n">
        <x:v>46237.175547638886</x:v>
      </x:c>
      <x:c r="AH59" t="n">
        <x:v>200</x:v>
      </x:c>
      <x:c r="AI59" t="str">
        <x:v>5467d352cd6c2614d1506bd84b6bcef1f494036738cbcdac60ab33c8a8fe920a</x:v>
      </x:c>
      <x:c r="AJ59" t="str">
        <x:v>1fbc1da2672050b6b1a1ccd8c0cdb0c420d2f719bdeff82ba998509df8b0da41</x:v>
      </x:c>
    </x:row>
    <x:row r="60">
      <x:c r="A60" s="17" t="str">
        <x:v>059</x:v>
      </x:c>
      <x:c r="B60" t="str">
        <x:v>ZH-GOOD-029</x:v>
      </x:c>
      <x:c r="C60" s="17" t="str">
        <x:v>029</x:v>
      </x:c>
      <x:c r="D60" t="str">
        <x:v>Good</x:v>
      </x:c>
      <x:c r="E60" t="n">
        <x:v>70</x:v>
      </x:c>
      <x:c r="F60" t="n">
        <x:v>84</x:v>
      </x:c>
      <x:c r="G60" t="n">
        <x:v>1</x:v>
      </x:c>
      <x:c r="H60" s="18" t="n">
        <x:v>94</x:v>
      </x:c>
      <x:c r="I60" s="18" t="n">
        <x:v>95</x:v>
      </x:c>
      <x:c r="J60" s="18" t="n">
        <x:v>92</x:v>
      </x:c>
      <x:c r="K60" s="18" t="n">
        <x:v>95</x:v>
      </x:c>
      <x:c r="L60" s="18" t="n">
        <x:v>96</x:v>
      </x:c>
      <x:c r="M60" s="18" t="n">
        <x:v>95</x:v>
      </x:c>
      <x:c r="N60" s="18" t="n">
        <x:v>90</x:v>
      </x:c>
      <x:c r="O60" s="18" t="n">
        <x:v>94</x:v>
      </x:c>
      <x:c r="P60" s="18"/>
      <x:c r="Q60" t="str">
        <x:v>No</x:v>
      </x:c>
      <x:c r="R60" s="18" t="n">
        <x:v>10</x:v>
      </x:c>
      <x:c r="S60" s="18" t="n">
        <x:v>0</x:v>
      </x:c>
      <x:c r="T60" s="18" t="n">
        <x:v>10</x:v>
      </x:c>
      <x:c r="U60" t="str">
        <x:v>Excellent</x:v>
      </x:c>
      <x:c r="V60" t="str">
        <x:v>No</x:v>
      </x:c>
      <x:c r="W60" t="str">
        <x:v>PUBLICATION_READY</x:v>
      </x:c>
      <x:c r="X60" t="str">
        <x:v>PASS</x:v>
      </x:c>
      <x:c r="Y60" t="n">
        <x:v>80</x:v>
      </x:c>
      <x:c r="Z60" t="str">
        <x:v>Success</x:v>
      </x:c>
      <x:c r="AA60"/>
      <x:c r="AB60"/>
      <x:c r="AC60" s="13"/>
      <x:c r="AD60" t="n">
        <x:v>0</x:v>
      </x:c>
      <x:c r="AE60" s="19" t="n">
        <x:v>39940</x:v>
      </x:c>
      <x:c r="AF60" t="str">
        <x:v>deepseek-v4-pro</x:v>
      </x:c>
      <x:c r="AG60" s="20" t="n">
        <x:v>46237.17600994213</x:v>
      </x:c>
      <x:c r="AH60" t="n">
        <x:v>200</x:v>
      </x:c>
      <x:c r="AI60" t="str">
        <x:v>7fde57808be1473dcd9ebc22adeb671c360a5b8ae814e95d5955b4014ef19431</x:v>
      </x:c>
      <x:c r="AJ60" t="str">
        <x:v>1fbc1da2672050b6b1a1ccd8c0cdb0c420d2f719bdeff82ba998509df8b0da41</x:v>
      </x:c>
    </x:row>
    <x:row r="61">
      <x:c r="A61" s="17" t="str">
        <x:v>060</x:v>
      </x:c>
      <x:c r="B61" t="str">
        <x:v>ZH-GOOD-030</x:v>
      </x:c>
      <x:c r="C61" s="17" t="str">
        <x:v>030</x:v>
      </x:c>
      <x:c r="D61" t="str">
        <x:v>Good</x:v>
      </x:c>
      <x:c r="E61" t="n">
        <x:v>70</x:v>
      </x:c>
      <x:c r="F61" t="n">
        <x:v>84</x:v>
      </x:c>
      <x:c r="G61" t="n">
        <x:v>1</x:v>
      </x:c>
      <x:c r="H61" s="18" t="n">
        <x:v>74</x:v>
      </x:c>
      <x:c r="I61" s="18" t="n">
        <x:v>65</x:v>
      </x:c>
      <x:c r="J61" s="18" t="n">
        <x:v>90</x:v>
      </x:c>
      <x:c r="K61" s="18" t="n">
        <x:v>85</x:v>
      </x:c>
      <x:c r="L61" s="18" t="n">
        <x:v>95</x:v>
      </x:c>
      <x:c r="M61" s="18" t="n">
        <x:v>95</x:v>
      </x:c>
      <x:c r="N61" s="18" t="n">
        <x:v>90</x:v>
      </x:c>
      <x:c r="O61" s="18" t="n">
        <x:v>85</x:v>
      </x:c>
      <x:c r="P61" s="18" t="n">
        <x:v>74</x:v>
      </x:c>
      <x:c r="Q61" t="str">
        <x:v>Yes</x:v>
      </x:c>
      <x:c r="R61" s="18" t="n">
        <x:v>0</x:v>
      </x:c>
      <x:c r="S61" s="18" t="n">
        <x:v>0</x:v>
      </x:c>
      <x:c r="T61" s="18" t="n">
        <x:v>0</x:v>
      </x:c>
      <x:c r="U61" t="str">
        <x:v>Good</x:v>
      </x:c>
      <x:c r="V61" t="str">
        <x:v>Yes</x:v>
      </x:c>
      <x:c r="W61" t="str">
        <x:v>SUBSTANTIAL_REWRITE</x:v>
      </x:c>
      <x:c r="X61" t="str">
        <x:v>REWRITE_REQUIRED</x:v>
      </x:c>
      <x:c r="Y61" t="n">
        <x:v>80</x:v>
      </x:c>
      <x:c r="Z61" t="str">
        <x:v>Success</x:v>
      </x:c>
      <x:c r="AA61"/>
      <x:c r="AB61"/>
      <x:c r="AC61" s="13"/>
      <x:c r="AD61" t="n">
        <x:v>0</x:v>
      </x:c>
      <x:c r="AE61" s="19" t="n">
        <x:v>70005</x:v>
      </x:c>
      <x:c r="AF61" t="str">
        <x:v>deepseek-v4-pro</x:v>
      </x:c>
      <x:c r="AG61" s="20" t="n">
        <x:v>46237.17682021991</x:v>
      </x:c>
      <x:c r="AH61" t="n">
        <x:v>200</x:v>
      </x:c>
      <x:c r="AI61" t="str">
        <x:v>fc8feb969da2f505694a1db4c22117585c7e2a1a8b765bd71104264171988b54</x:v>
      </x:c>
      <x:c r="AJ61" t="str">
        <x:v>1fbc1da2672050b6b1a1ccd8c0cdb0c420d2f719bdeff82ba998509df8b0da41</x:v>
      </x:c>
    </x:row>
    <x:row r="62">
      <x:c r="A62" s="17" t="str">
        <x:v>061</x:v>
      </x:c>
      <x:c r="B62" t="str">
        <x:v>ZH-NORMAL-001</x:v>
      </x:c>
      <x:c r="C62" s="17" t="str">
        <x:v>001</x:v>
      </x:c>
      <x:c r="D62" t="str">
        <x:v>Normal</x:v>
      </x:c>
      <x:c r="E62" t="n">
        <x:v>50</x:v>
      </x:c>
      <x:c r="F62" t="n">
        <x:v>69</x:v>
      </x:c>
      <x:c r="G62" t="n">
        <x:v>1</x:v>
      </x:c>
      <x:c r="H62" s="18" t="n">
        <x:v>85</x:v>
      </x:c>
      <x:c r="I62" s="18" t="n">
        <x:v>82</x:v>
      </x:c>
      <x:c r="J62" s="18" t="n">
        <x:v>80</x:v>
      </x:c>
      <x:c r="K62" s="18" t="n">
        <x:v>78</x:v>
      </x:c>
      <x:c r="L62" s="18" t="n">
        <x:v>90</x:v>
      </x:c>
      <x:c r="M62" s="18" t="n">
        <x:v>92</x:v>
      </x:c>
      <x:c r="N62" s="18" t="n">
        <x:v>90</x:v>
      </x:c>
      <x:c r="O62" s="18" t="n">
        <x:v>85</x:v>
      </x:c>
      <x:c r="P62" s="18" t="n">
        <x:v>89</x:v>
      </x:c>
      <x:c r="Q62" t="str">
        <x:v>No</x:v>
      </x:c>
      <x:c r="R62" s="18" t="n">
        <x:v>16</x:v>
      </x:c>
      <x:c r="S62" s="18" t="n">
        <x:v>0</x:v>
      </x:c>
      <x:c r="T62" s="18" t="n">
        <x:v>16</x:v>
      </x:c>
      <x:c r="U62" t="str">
        <x:v>Excellent</x:v>
      </x:c>
      <x:c r="V62" t="str">
        <x:v>No</x:v>
      </x:c>
      <x:c r="W62" t="str">
        <x:v>STRONG_LIMITED_EDITING</x:v>
      </x:c>
      <x:c r="X62" t="str">
        <x:v>PASS</x:v>
      </x:c>
      <x:c r="Y62" t="n">
        <x:v>80</x:v>
      </x:c>
      <x:c r="Z62" t="str">
        <x:v>Success</x:v>
      </x:c>
      <x:c r="AA62"/>
      <x:c r="AB62"/>
      <x:c r="AC62" s="13"/>
      <x:c r="AD62" t="n">
        <x:v>0</x:v>
      </x:c>
      <x:c r="AE62" s="19" t="n">
        <x:v>60549</x:v>
      </x:c>
      <x:c r="AF62" t="str">
        <x:v>deepseek-v4-pro</x:v>
      </x:c>
      <x:c r="AG62" s="20" t="n">
        <x:v>46237.15786423611</x:v>
      </x:c>
      <x:c r="AH62" t="n">
        <x:v>200</x:v>
      </x:c>
      <x:c r="AI62" t="str">
        <x:v>55f84ac8de9477d3ac039c0fe4640756b6474dbd9a0310b179866480cbab0369</x:v>
      </x:c>
      <x:c r="AJ62" t="str">
        <x:v>1fbc1da2672050b6b1a1ccd8c0cdb0c420d2f719bdeff82ba998509df8b0da41</x:v>
      </x:c>
    </x:row>
    <x:row r="63">
      <x:c r="A63" s="17" t="str">
        <x:v>062</x:v>
      </x:c>
      <x:c r="B63" t="str">
        <x:v>ZH-NORMAL-002</x:v>
      </x:c>
      <x:c r="C63" s="17" t="str">
        <x:v>002</x:v>
      </x:c>
      <x:c r="D63" t="str">
        <x:v>Normal</x:v>
      </x:c>
      <x:c r="E63" t="n">
        <x:v>50</x:v>
      </x:c>
      <x:c r="F63" t="n">
        <x:v>69</x:v>
      </x:c>
      <x:c r="G63" t="n">
        <x:v>1</x:v>
      </x:c>
      <x:c r="H63" s="18" t="n">
        <x:v>89</x:v>
      </x:c>
      <x:c r="I63" s="18" t="n">
        <x:v>85</x:v>
      </x:c>
      <x:c r="J63" s="18" t="n">
        <x:v>90</x:v>
      </x:c>
      <x:c r="K63" s="18" t="n">
        <x:v>87</x:v>
      </x:c>
      <x:c r="L63" s="18" t="n">
        <x:v>92</x:v>
      </x:c>
      <x:c r="M63" s="18" t="n">
        <x:v>90</x:v>
      </x:c>
      <x:c r="N63" s="18" t="n">
        <x:v>90</x:v>
      </x:c>
      <x:c r="O63" s="18" t="n">
        <x:v>89</x:v>
      </x:c>
      <x:c r="P63" s="18" t="n">
        <x:v>89</x:v>
      </x:c>
      <x:c r="Q63" t="str">
        <x:v>No</x:v>
      </x:c>
      <x:c r="R63" s="18" t="n">
        <x:v>20</x:v>
      </x:c>
      <x:c r="S63" s="18" t="n">
        <x:v>0</x:v>
      </x:c>
      <x:c r="T63" s="18" t="n">
        <x:v>20</x:v>
      </x:c>
      <x:c r="U63" t="str">
        <x:v>Excellent</x:v>
      </x:c>
      <x:c r="V63" t="str">
        <x:v>No</x:v>
      </x:c>
      <x:c r="W63" t="str">
        <x:v>STRONG_LIMITED_EDITING</x:v>
      </x:c>
      <x:c r="X63" t="str">
        <x:v>PASS</x:v>
      </x:c>
      <x:c r="Y63" t="n">
        <x:v>80</x:v>
      </x:c>
      <x:c r="Z63" t="str">
        <x:v>Success</x:v>
      </x:c>
      <x:c r="AA63"/>
      <x:c r="AB63"/>
      <x:c r="AC63" s="13"/>
      <x:c r="AD63" t="n">
        <x:v>0</x:v>
      </x:c>
      <x:c r="AE63" s="19" t="n">
        <x:v>56581</x:v>
      </x:c>
      <x:c r="AF63" t="str">
        <x:v>deepseek-v4-pro</x:v>
      </x:c>
      <x:c r="AG63" s="20" t="n">
        <x:v>46237.15851913195</x:v>
      </x:c>
      <x:c r="AH63" t="n">
        <x:v>200</x:v>
      </x:c>
      <x:c r="AI63" t="str">
        <x:v>2e826f2d8c6707a12be3f85cfbefd0c7e13045a2b103505d0bfa5554191b3029</x:v>
      </x:c>
      <x:c r="AJ63" t="str">
        <x:v>1fbc1da2672050b6b1a1ccd8c0cdb0c420d2f719bdeff82ba998509df8b0da41</x:v>
      </x:c>
    </x:row>
    <x:row r="64">
      <x:c r="A64" s="17" t="str">
        <x:v>063</x:v>
      </x:c>
      <x:c r="B64" t="str">
        <x:v>ZH-NORMAL-003</x:v>
      </x:c>
      <x:c r="C64" s="17" t="str">
        <x:v>003</x:v>
      </x:c>
      <x:c r="D64" t="str">
        <x:v>Normal</x:v>
      </x:c>
      <x:c r="E64" t="n">
        <x:v>50</x:v>
      </x:c>
      <x:c r="F64" t="n">
        <x:v>69</x:v>
      </x:c>
      <x:c r="G64" t="n">
        <x:v>1</x:v>
      </x:c>
      <x:c r="H64" s="18" t="n">
        <x:v>87</x:v>
      </x:c>
      <x:c r="I64" s="18" t="n">
        <x:v>85</x:v>
      </x:c>
      <x:c r="J64" s="18" t="n">
        <x:v>80</x:v>
      </x:c>
      <x:c r="K64" s="18" t="n">
        <x:v>80</x:v>
      </x:c>
      <x:c r="L64" s="18" t="n">
        <x:v>95</x:v>
      </x:c>
      <x:c r="M64" s="18" t="n">
        <x:v>90</x:v>
      </x:c>
      <x:c r="N64" s="18" t="n">
        <x:v>95</x:v>
      </x:c>
      <x:c r="O64" s="18" t="n">
        <x:v>87</x:v>
      </x:c>
      <x:c r="P64" s="18" t="n">
        <x:v>89</x:v>
      </x:c>
      <x:c r="Q64" t="str">
        <x:v>No</x:v>
      </x:c>
      <x:c r="R64" s="18" t="n">
        <x:v>18</x:v>
      </x:c>
      <x:c r="S64" s="18" t="n">
        <x:v>0</x:v>
      </x:c>
      <x:c r="T64" s="18" t="n">
        <x:v>18</x:v>
      </x:c>
      <x:c r="U64" t="str">
        <x:v>Excellent</x:v>
      </x:c>
      <x:c r="V64" t="str">
        <x:v>No</x:v>
      </x:c>
      <x:c r="W64" t="str">
        <x:v>STRONG_LIMITED_EDITING</x:v>
      </x:c>
      <x:c r="X64" t="str">
        <x:v>PASS</x:v>
      </x:c>
      <x:c r="Y64" t="n">
        <x:v>80</x:v>
      </x:c>
      <x:c r="Z64" t="str">
        <x:v>Success</x:v>
      </x:c>
      <x:c r="AA64"/>
      <x:c r="AB64"/>
      <x:c r="AC64" s="13"/>
      <x:c r="AD64" t="n">
        <x:v>0</x:v>
      </x:c>
      <x:c r="AE64" s="19" t="n">
        <x:v>62540</x:v>
      </x:c>
      <x:c r="AF64" t="str">
        <x:v>deepseek-v4-pro</x:v>
      </x:c>
      <x:c r="AG64" s="20" t="n">
        <x:v>46237.15924298611</x:v>
      </x:c>
      <x:c r="AH64" t="n">
        <x:v>200</x:v>
      </x:c>
      <x:c r="AI64" t="str">
        <x:v>3e39fb2315b34971a4eaad5b65de5a71314d8fbc35991444c353d240fb1bdf6c</x:v>
      </x:c>
      <x:c r="AJ64" t="str">
        <x:v>1fbc1da2672050b6b1a1ccd8c0cdb0c420d2f719bdeff82ba998509df8b0da41</x:v>
      </x:c>
    </x:row>
    <x:row r="65">
      <x:c r="A65" s="17" t="str">
        <x:v>064</x:v>
      </x:c>
      <x:c r="B65" t="str">
        <x:v>ZH-NORMAL-004</x:v>
      </x:c>
      <x:c r="C65" s="17" t="str">
        <x:v>004</x:v>
      </x:c>
      <x:c r="D65" t="str">
        <x:v>Normal</x:v>
      </x:c>
      <x:c r="E65" t="n">
        <x:v>50</x:v>
      </x:c>
      <x:c r="F65" t="n">
        <x:v>69</x:v>
      </x:c>
      <x:c r="G65" t="n">
        <x:v>1</x:v>
      </x:c>
      <x:c r="H65" s="18" t="n">
        <x:v>94</x:v>
      </x:c>
      <x:c r="I65" s="18" t="n">
        <x:v>95</x:v>
      </x:c>
      <x:c r="J65" s="18" t="n">
        <x:v>95</x:v>
      </x:c>
      <x:c r="K65" s="18" t="n">
        <x:v>90</x:v>
      </x:c>
      <x:c r="L65" s="18" t="n">
        <x:v>95</x:v>
      </x:c>
      <x:c r="M65" s="18" t="n">
        <x:v>95</x:v>
      </x:c>
      <x:c r="N65" s="18" t="n">
        <x:v>95</x:v>
      </x:c>
      <x:c r="O65" s="18" t="n">
        <x:v>94</x:v>
      </x:c>
      <x:c r="P65" s="18"/>
      <x:c r="Q65" t="str">
        <x:v>No</x:v>
      </x:c>
      <x:c r="R65" s="18" t="n">
        <x:v>25</x:v>
      </x:c>
      <x:c r="S65" s="18" t="n">
        <x:v>0</x:v>
      </x:c>
      <x:c r="T65" s="18" t="n">
        <x:v>25</x:v>
      </x:c>
      <x:c r="U65" t="str">
        <x:v>Excellent</x:v>
      </x:c>
      <x:c r="V65" t="str">
        <x:v>No</x:v>
      </x:c>
      <x:c r="W65" t="str">
        <x:v>PUBLICATION_READY</x:v>
      </x:c>
      <x:c r="X65" t="str">
        <x:v>PASS</x:v>
      </x:c>
      <x:c r="Y65" t="n">
        <x:v>80</x:v>
      </x:c>
      <x:c r="Z65" t="str">
        <x:v>Success</x:v>
      </x:c>
      <x:c r="AA65"/>
      <x:c r="AB65"/>
      <x:c r="AC65" s="13"/>
      <x:c r="AD65" t="n">
        <x:v>1</x:v>
      </x:c>
      <x:c r="AE65" s="19" t="n">
        <x:v>98343</x:v>
      </x:c>
      <x:c r="AF65" t="str">
        <x:v>deepseek-v4-pro</x:v>
      </x:c>
      <x:c r="AG65" s="20" t="n">
        <x:v>46237.160381215275</x:v>
      </x:c>
      <x:c r="AH65" t="n">
        <x:v>200</x:v>
      </x:c>
      <x:c r="AI65" t="str">
        <x:v>aa5caaef6f6060e74396bb2b524faad39b703657a278246e94fd777ce1334315</x:v>
      </x:c>
      <x:c r="AJ65" t="str">
        <x:v>1fbc1da2672050b6b1a1ccd8c0cdb0c420d2f719bdeff82ba998509df8b0da41</x:v>
      </x:c>
    </x:row>
    <x:row r="66">
      <x:c r="A66" s="17" t="str">
        <x:v>065</x:v>
      </x:c>
      <x:c r="B66" t="str">
        <x:v>ZH-NORMAL-005</x:v>
      </x:c>
      <x:c r="C66" s="17" t="str">
        <x:v>005</x:v>
      </x:c>
      <x:c r="D66" t="str">
        <x:v>Normal</x:v>
      </x:c>
      <x:c r="E66" t="n">
        <x:v>50</x:v>
      </x:c>
      <x:c r="F66" t="n">
        <x:v>69</x:v>
      </x:c>
      <x:c r="G66" t="n">
        <x:v>1</x:v>
      </x:c>
      <x:c r="H66" s="18" t="n">
        <x:v>94</x:v>
      </x:c>
      <x:c r="I66" s="18" t="n">
        <x:v>92</x:v>
      </x:c>
      <x:c r="J66" s="18" t="n">
        <x:v>95</x:v>
      </x:c>
      <x:c r="K66" s="18" t="n">
        <x:v>92</x:v>
      </x:c>
      <x:c r="L66" s="18" t="n">
        <x:v>95</x:v>
      </x:c>
      <x:c r="M66" s="18" t="n">
        <x:v>95</x:v>
      </x:c>
      <x:c r="N66" s="18" t="n">
        <x:v>92</x:v>
      </x:c>
      <x:c r="O66" s="18" t="n">
        <x:v>94</x:v>
      </x:c>
      <x:c r="P66" s="18"/>
      <x:c r="Q66" t="str">
        <x:v>No</x:v>
      </x:c>
      <x:c r="R66" s="18" t="n">
        <x:v>25</x:v>
      </x:c>
      <x:c r="S66" s="18" t="n">
        <x:v>0</x:v>
      </x:c>
      <x:c r="T66" s="18" t="n">
        <x:v>25</x:v>
      </x:c>
      <x:c r="U66" t="str">
        <x:v>Excellent</x:v>
      </x:c>
      <x:c r="V66" t="str">
        <x:v>No</x:v>
      </x:c>
      <x:c r="W66" t="str">
        <x:v>PUBLICATION_READY</x:v>
      </x:c>
      <x:c r="X66" t="str">
        <x:v>PASS</x:v>
      </x:c>
      <x:c r="Y66" t="n">
        <x:v>80</x:v>
      </x:c>
      <x:c r="Z66" t="str">
        <x:v>Success</x:v>
      </x:c>
      <x:c r="AA66"/>
      <x:c r="AB66"/>
      <x:c r="AC66" s="13"/>
      <x:c r="AD66" t="n">
        <x:v>0</x:v>
      </x:c>
      <x:c r="AE66" s="19" t="n">
        <x:v>79056</x:v>
      </x:c>
      <x:c r="AF66" t="str">
        <x:v>deepseek-v4-pro</x:v>
      </x:c>
      <x:c r="AG66" s="20" t="n">
        <x:v>46237.161296261576</x:v>
      </x:c>
      <x:c r="AH66" t="n">
        <x:v>200</x:v>
      </x:c>
      <x:c r="AI66" t="str">
        <x:v>ecff398b679e1f54908a09234488e213d66da004fd4647663167c824fee75b80</x:v>
      </x:c>
      <x:c r="AJ66" t="str">
        <x:v>1fbc1da2672050b6b1a1ccd8c0cdb0c420d2f719bdeff82ba998509df8b0da41</x:v>
      </x:c>
    </x:row>
    <x:row r="67">
      <x:c r="A67" s="17" t="str">
        <x:v>066</x:v>
      </x:c>
      <x:c r="B67" t="str">
        <x:v>ZH-NORMAL-006</x:v>
      </x:c>
      <x:c r="C67" s="17" t="str">
        <x:v>006</x:v>
      </x:c>
      <x:c r="D67" t="str">
        <x:v>Normal</x:v>
      </x:c>
      <x:c r="E67" t="n">
        <x:v>50</x:v>
      </x:c>
      <x:c r="F67" t="n">
        <x:v>69</x:v>
      </x:c>
      <x:c r="G67" t="n">
        <x:v>1</x:v>
      </x:c>
      <x:c r="H67" s="18" t="n">
        <x:v>86</x:v>
      </x:c>
      <x:c r="I67" s="18" t="n">
        <x:v>85</x:v>
      </x:c>
      <x:c r="J67" s="18" t="n">
        <x:v>88</x:v>
      </x:c>
      <x:c r="K67" s="18" t="n">
        <x:v>78</x:v>
      </x:c>
      <x:c r="L67" s="18" t="n">
        <x:v>87</x:v>
      </x:c>
      <x:c r="M67" s="18" t="n">
        <x:v>88</x:v>
      </x:c>
      <x:c r="N67" s="18" t="n">
        <x:v>92</x:v>
      </x:c>
      <x:c r="O67" s="18" t="n">
        <x:v>86</x:v>
      </x:c>
      <x:c r="P67" s="18" t="n">
        <x:v>89</x:v>
      </x:c>
      <x:c r="Q67" t="str">
        <x:v>No</x:v>
      </x:c>
      <x:c r="R67" s="18" t="n">
        <x:v>17</x:v>
      </x:c>
      <x:c r="S67" s="18" t="n">
        <x:v>0</x:v>
      </x:c>
      <x:c r="T67" s="18" t="n">
        <x:v>17</x:v>
      </x:c>
      <x:c r="U67" t="str">
        <x:v>Excellent</x:v>
      </x:c>
      <x:c r="V67" t="str">
        <x:v>No</x:v>
      </x:c>
      <x:c r="W67" t="str">
        <x:v>STRONG_LIMITED_EDITING</x:v>
      </x:c>
      <x:c r="X67" t="str">
        <x:v>PASS</x:v>
      </x:c>
      <x:c r="Y67" t="n">
        <x:v>80</x:v>
      </x:c>
      <x:c r="Z67" t="str">
        <x:v>Success</x:v>
      </x:c>
      <x:c r="AA67"/>
      <x:c r="AB67"/>
      <x:c r="AC67" s="13"/>
      <x:c r="AD67" t="n">
        <x:v>0</x:v>
      </x:c>
      <x:c r="AE67" s="19" t="n">
        <x:v>57390</x:v>
      </x:c>
      <x:c r="AF67" t="str">
        <x:v>deepseek-v4-pro</x:v>
      </x:c>
      <x:c r="AG67" s="20" t="n">
        <x:v>46237.16196050926</x:v>
      </x:c>
      <x:c r="AH67" t="n">
        <x:v>200</x:v>
      </x:c>
      <x:c r="AI67" t="str">
        <x:v>25019324a0fc5b5c96de87e0c924fbb78001c8c45bf5e89bbad3fdd23920c9c0</x:v>
      </x:c>
      <x:c r="AJ67" t="str">
        <x:v>1fbc1da2672050b6b1a1ccd8c0cdb0c420d2f719bdeff82ba998509df8b0da41</x:v>
      </x:c>
    </x:row>
    <x:row r="68">
      <x:c r="A68" s="17" t="str">
        <x:v>067</x:v>
      </x:c>
      <x:c r="B68" t="str">
        <x:v>ZH-NORMAL-007</x:v>
      </x:c>
      <x:c r="C68" s="17" t="str">
        <x:v>007</x:v>
      </x:c>
      <x:c r="D68" t="str">
        <x:v>Normal</x:v>
      </x:c>
      <x:c r="E68" t="n">
        <x:v>50</x:v>
      </x:c>
      <x:c r="F68" t="n">
        <x:v>69</x:v>
      </x:c>
      <x:c r="G68" t="n">
        <x:v>1</x:v>
      </x:c>
      <x:c r="H68" s="18" t="n">
        <x:v>92</x:v>
      </x:c>
      <x:c r="I68" s="18" t="n">
        <x:v>90</x:v>
      </x:c>
      <x:c r="J68" s="18" t="n">
        <x:v>92</x:v>
      </x:c>
      <x:c r="K68" s="18" t="n">
        <x:v>90</x:v>
      </x:c>
      <x:c r="L68" s="18" t="n">
        <x:v>92</x:v>
      </x:c>
      <x:c r="M68" s="18" t="n">
        <x:v>95</x:v>
      </x:c>
      <x:c r="N68" s="18" t="n">
        <x:v>95</x:v>
      </x:c>
      <x:c r="O68" s="18" t="n">
        <x:v>92</x:v>
      </x:c>
      <x:c r="P68" s="18"/>
      <x:c r="Q68" t="str">
        <x:v>No</x:v>
      </x:c>
      <x:c r="R68" s="18" t="n">
        <x:v>23</x:v>
      </x:c>
      <x:c r="S68" s="18" t="n">
        <x:v>0</x:v>
      </x:c>
      <x:c r="T68" s="18" t="n">
        <x:v>23</x:v>
      </x:c>
      <x:c r="U68" t="str">
        <x:v>Excellent</x:v>
      </x:c>
      <x:c r="V68" t="str">
        <x:v>No</x:v>
      </x:c>
      <x:c r="W68" t="str">
        <x:v>PUBLICATION_READY</x:v>
      </x:c>
      <x:c r="X68" t="str">
        <x:v>PASS</x:v>
      </x:c>
      <x:c r="Y68" t="n">
        <x:v>80</x:v>
      </x:c>
      <x:c r="Z68" t="str">
        <x:v>Success</x:v>
      </x:c>
      <x:c r="AA68"/>
      <x:c r="AB68"/>
      <x:c r="AC68" s="13"/>
      <x:c r="AD68" t="n">
        <x:v>0</x:v>
      </x:c>
      <x:c r="AE68" s="19" t="n">
        <x:v>44058</x:v>
      </x:c>
      <x:c r="AF68" t="str">
        <x:v>deepseek-v4-pro</x:v>
      </x:c>
      <x:c r="AG68" s="20" t="n">
        <x:v>46237.162470462965</x:v>
      </x:c>
      <x:c r="AH68" t="n">
        <x:v>200</x:v>
      </x:c>
      <x:c r="AI68" t="str">
        <x:v>2c4343eed5805e39e190adeaa04f99f7997f5a951d045521dbc2575476160be2</x:v>
      </x:c>
      <x:c r="AJ68" t="str">
        <x:v>1fbc1da2672050b6b1a1ccd8c0cdb0c420d2f719bdeff82ba998509df8b0da41</x:v>
      </x:c>
    </x:row>
    <x:row r="69">
      <x:c r="A69" s="17" t="str">
        <x:v>068</x:v>
      </x:c>
      <x:c r="B69" t="str">
        <x:v>ZH-NORMAL-008</x:v>
      </x:c>
      <x:c r="C69" s="17" t="str">
        <x:v>008</x:v>
      </x:c>
      <x:c r="D69" t="str">
        <x:v>Normal</x:v>
      </x:c>
      <x:c r="E69" t="n">
        <x:v>50</x:v>
      </x:c>
      <x:c r="F69" t="n">
        <x:v>69</x:v>
      </x:c>
      <x:c r="G69" t="n">
        <x:v>1</x:v>
      </x:c>
      <x:c r="H69" s="18" t="n">
        <x:v>86</x:v>
      </x:c>
      <x:c r="I69" s="18" t="n">
        <x:v>88</x:v>
      </x:c>
      <x:c r="J69" s="18" t="n">
        <x:v>82</x:v>
      </x:c>
      <x:c r="K69" s="18" t="n">
        <x:v>84</x:v>
      </x:c>
      <x:c r="L69" s="18" t="n">
        <x:v>87</x:v>
      </x:c>
      <x:c r="M69" s="18" t="n">
        <x:v>86</x:v>
      </x:c>
      <x:c r="N69" s="18" t="n">
        <x:v>90</x:v>
      </x:c>
      <x:c r="O69" s="18" t="n">
        <x:v>86</x:v>
      </x:c>
      <x:c r="P69" s="18" t="n">
        <x:v>89</x:v>
      </x:c>
      <x:c r="Q69" t="str">
        <x:v>No</x:v>
      </x:c>
      <x:c r="R69" s="18" t="n">
        <x:v>17</x:v>
      </x:c>
      <x:c r="S69" s="18" t="n">
        <x:v>0</x:v>
      </x:c>
      <x:c r="T69" s="18" t="n">
        <x:v>17</x:v>
      </x:c>
      <x:c r="U69" t="str">
        <x:v>Excellent</x:v>
      </x:c>
      <x:c r="V69" t="str">
        <x:v>No</x:v>
      </x:c>
      <x:c r="W69" t="str">
        <x:v>STRONG_LIMITED_EDITING</x:v>
      </x:c>
      <x:c r="X69" t="str">
        <x:v>PASS</x:v>
      </x:c>
      <x:c r="Y69" t="n">
        <x:v>80</x:v>
      </x:c>
      <x:c r="Z69" t="str">
        <x:v>Success</x:v>
      </x:c>
      <x:c r="AA69"/>
      <x:c r="AB69"/>
      <x:c r="AC69" s="13"/>
      <x:c r="AD69" t="n">
        <x:v>0</x:v>
      </x:c>
      <x:c r="AE69" s="19" t="n">
        <x:v>44779</x:v>
      </x:c>
      <x:c r="AF69" t="str">
        <x:v>deepseek-v4-pro</x:v>
      </x:c>
      <x:c r="AG69" s="20" t="n">
        <x:v>46237.16298876157</x:v>
      </x:c>
      <x:c r="AH69" t="n">
        <x:v>200</x:v>
      </x:c>
      <x:c r="AI69" t="str">
        <x:v>7a6c21de350f7b896cbd0fc869bfc4116c67b1a4a84c85ccd6fe9db0c00c4535</x:v>
      </x:c>
      <x:c r="AJ69" t="str">
        <x:v>1fbc1da2672050b6b1a1ccd8c0cdb0c420d2f719bdeff82ba998509df8b0da41</x:v>
      </x:c>
    </x:row>
    <x:row r="70">
      <x:c r="A70" s="17" t="str">
        <x:v>069</x:v>
      </x:c>
      <x:c r="B70" t="str">
        <x:v>ZH-NORMAL-009</x:v>
      </x:c>
      <x:c r="C70" s="17" t="str">
        <x:v>009</x:v>
      </x:c>
      <x:c r="D70" t="str">
        <x:v>Normal</x:v>
      </x:c>
      <x:c r="E70" t="n">
        <x:v>50</x:v>
      </x:c>
      <x:c r="F70" t="n">
        <x:v>69</x:v>
      </x:c>
      <x:c r="G70" t="n">
        <x:v>1</x:v>
      </x:c>
      <x:c r="H70" s="18" t="n">
        <x:v>59</x:v>
      </x:c>
      <x:c r="I70" s="18" t="n">
        <x:v>78</x:v>
      </x:c>
      <x:c r="J70" s="18" t="n">
        <x:v>55</x:v>
      </x:c>
      <x:c r="K70" s="18" t="n">
        <x:v>70</x:v>
      </x:c>
      <x:c r="L70" s="18" t="n">
        <x:v>85</x:v>
      </x:c>
      <x:c r="M70" s="18" t="n">
        <x:v>85</x:v>
      </x:c>
      <x:c r="N70" s="18" t="n">
        <x:v>90</x:v>
      </x:c>
      <x:c r="O70" s="18" t="n">
        <x:v>76</x:v>
      </x:c>
      <x:c r="P70" s="18" t="n">
        <x:v>59</x:v>
      </x:c>
      <x:c r="Q70" t="str">
        <x:v>Yes</x:v>
      </x:c>
      <x:c r="R70" s="18" t="n">
        <x:v>0</x:v>
      </x:c>
      <x:c r="S70" s="18" t="n">
        <x:v>0</x:v>
      </x:c>
      <x:c r="T70" s="18" t="n">
        <x:v>0</x:v>
      </x:c>
      <x:c r="U70" t="str">
        <x:v>Normal</x:v>
      </x:c>
      <x:c r="V70" t="str">
        <x:v>Yes</x:v>
      </x:c>
      <x:c r="W70" t="str">
        <x:v>WEAK</x:v>
      </x:c>
      <x:c r="X70" t="str">
        <x:v>REWRITE_REQUIRED</x:v>
      </x:c>
      <x:c r="Y70" t="n">
        <x:v>80</x:v>
      </x:c>
      <x:c r="Z70" t="str">
        <x:v>Success</x:v>
      </x:c>
      <x:c r="AA70"/>
      <x:c r="AB70"/>
      <x:c r="AC70" s="13"/>
      <x:c r="AD70" t="n">
        <x:v>0</x:v>
      </x:c>
      <x:c r="AE70" s="19" t="n">
        <x:v>86955</x:v>
      </x:c>
      <x:c r="AF70" t="str">
        <x:v>deepseek-v4-pro</x:v>
      </x:c>
      <x:c r="AG70" s="20" t="n">
        <x:v>46237.163995208335</x:v>
      </x:c>
      <x:c r="AH70" t="n">
        <x:v>200</x:v>
      </x:c>
      <x:c r="AI70" t="str">
        <x:v>9156b817c2d809b5d225df3ecce38cae92b500faabd7dbc0958483f7710db5e5</x:v>
      </x:c>
      <x:c r="AJ70" t="str">
        <x:v>1fbc1da2672050b6b1a1ccd8c0cdb0c420d2f719bdeff82ba998509df8b0da41</x:v>
      </x:c>
    </x:row>
    <x:row r="71">
      <x:c r="A71" s="17" t="str">
        <x:v>070</x:v>
      </x:c>
      <x:c r="B71" t="str">
        <x:v>ZH-NORMAL-010</x:v>
      </x:c>
      <x:c r="C71" s="17" t="str">
        <x:v>010</x:v>
      </x:c>
      <x:c r="D71" t="str">
        <x:v>Normal</x:v>
      </x:c>
      <x:c r="E71" t="n">
        <x:v>50</x:v>
      </x:c>
      <x:c r="F71" t="n">
        <x:v>69</x:v>
      </x:c>
      <x:c r="G71" t="n">
        <x:v>1</x:v>
      </x:c>
      <x:c r="H71" s="18" t="n">
        <x:v>74</x:v>
      </x:c>
      <x:c r="I71" s="18" t="n">
        <x:v>72</x:v>
      </x:c>
      <x:c r="J71" s="18" t="n">
        <x:v>68</x:v>
      </x:c>
      <x:c r="K71" s="18" t="n">
        <x:v>75</x:v>
      </x:c>
      <x:c r="L71" s="18" t="n">
        <x:v>92</x:v>
      </x:c>
      <x:c r="M71" s="18" t="n">
        <x:v>90</x:v>
      </x:c>
      <x:c r="N71" s="18" t="n">
        <x:v>88</x:v>
      </x:c>
      <x:c r="O71" s="18" t="n">
        <x:v>79</x:v>
      </x:c>
      <x:c r="P71" s="18" t="n">
        <x:v>74</x:v>
      </x:c>
      <x:c r="Q71" t="str">
        <x:v>No</x:v>
      </x:c>
      <x:c r="R71" s="18" t="n">
        <x:v>5</x:v>
      </x:c>
      <x:c r="S71" s="18" t="n">
        <x:v>0</x:v>
      </x:c>
      <x:c r="T71" s="18" t="n">
        <x:v>5</x:v>
      </x:c>
      <x:c r="U71" t="str">
        <x:v>Good</x:v>
      </x:c>
      <x:c r="V71" t="str">
        <x:v>No</x:v>
      </x:c>
      <x:c r="W71" t="str">
        <x:v>SUBSTANTIAL_REWRITE</x:v>
      </x:c>
      <x:c r="X71" t="str">
        <x:v>REWRITE_REQUIRED</x:v>
      </x:c>
      <x:c r="Y71" t="n">
        <x:v>80</x:v>
      </x:c>
      <x:c r="Z71" t="str">
        <x:v>Success</x:v>
      </x:c>
      <x:c r="AA71"/>
      <x:c r="AB71"/>
      <x:c r="AC71" s="13"/>
      <x:c r="AD71" t="n">
        <x:v>0</x:v>
      </x:c>
      <x:c r="AE71" s="19" t="n">
        <x:v>61176</x:v>
      </x:c>
      <x:c r="AF71" t="str">
        <x:v>deepseek-v4-pro</x:v>
      </x:c>
      <x:c r="AG71" s="20" t="n">
        <x:v>46237.16470328704</x:v>
      </x:c>
      <x:c r="AH71" t="n">
        <x:v>200</x:v>
      </x:c>
      <x:c r="AI71" t="str">
        <x:v>d49952b562a1d03598ccf89e0bf2fde7b986aeb5103041478163183ee090e7e4</x:v>
      </x:c>
      <x:c r="AJ71" t="str">
        <x:v>1fbc1da2672050b6b1a1ccd8c0cdb0c420d2f719bdeff82ba998509df8b0da41</x:v>
      </x:c>
    </x:row>
    <x:row r="72">
      <x:c r="A72" s="17" t="str">
        <x:v>071</x:v>
      </x:c>
      <x:c r="B72" t="str">
        <x:v>ZH-NORMAL-011</x:v>
      </x:c>
      <x:c r="C72" s="17" t="str">
        <x:v>011</x:v>
      </x:c>
      <x:c r="D72" t="str">
        <x:v>Normal</x:v>
      </x:c>
      <x:c r="E72" t="n">
        <x:v>50</x:v>
      </x:c>
      <x:c r="F72" t="n">
        <x:v>69</x:v>
      </x:c>
      <x:c r="G72" t="n">
        <x:v>1</x:v>
      </x:c>
      <x:c r="H72" s="18" t="n">
        <x:v>82</x:v>
      </x:c>
      <x:c r="I72" s="18" t="n">
        <x:v>82</x:v>
      </x:c>
      <x:c r="J72" s="18" t="n">
        <x:v>78</x:v>
      </x:c>
      <x:c r="K72" s="18" t="n">
        <x:v>80</x:v>
      </x:c>
      <x:c r="L72" s="18" t="n">
        <x:v>82</x:v>
      </x:c>
      <x:c r="M72" s="18" t="n">
        <x:v>85</x:v>
      </x:c>
      <x:c r="N72" s="18" t="n">
        <x:v>90</x:v>
      </x:c>
      <x:c r="O72" s="18" t="n">
        <x:v>82</x:v>
      </x:c>
      <x:c r="P72" s="18" t="n">
        <x:v>89</x:v>
      </x:c>
      <x:c r="Q72" t="str">
        <x:v>No</x:v>
      </x:c>
      <x:c r="R72" s="18" t="n">
        <x:v>13</x:v>
      </x:c>
      <x:c r="S72" s="18" t="n">
        <x:v>0</x:v>
      </x:c>
      <x:c r="T72" s="18" t="n">
        <x:v>13</x:v>
      </x:c>
      <x:c r="U72" t="str">
        <x:v>Good</x:v>
      </x:c>
      <x:c r="V72" t="str">
        <x:v>No</x:v>
      </x:c>
      <x:c r="W72" t="str">
        <x:v>STRONG_LIMITED_EDITING</x:v>
      </x:c>
      <x:c r="X72" t="str">
        <x:v>PASS</x:v>
      </x:c>
      <x:c r="Y72" t="n">
        <x:v>80</x:v>
      </x:c>
      <x:c r="Z72" t="str">
        <x:v>Success</x:v>
      </x:c>
      <x:c r="AA72"/>
      <x:c r="AB72"/>
      <x:c r="AC72" s="13"/>
      <x:c r="AD72" t="n">
        <x:v>0</x:v>
      </x:c>
      <x:c r="AE72" s="19" t="n">
        <x:v>65837</x:v>
      </x:c>
      <x:c r="AF72" t="str">
        <x:v>deepseek-v4-pro</x:v>
      </x:c>
      <x:c r="AG72" s="20" t="n">
        <x:v>46237.16546532408</x:v>
      </x:c>
      <x:c r="AH72" t="n">
        <x:v>200</x:v>
      </x:c>
      <x:c r="AI72" t="str">
        <x:v>5e33dbdba9741075415df9ba7a1a91063b60797c2ff9b7cbd31b3c0d6fe5e685</x:v>
      </x:c>
      <x:c r="AJ72" t="str">
        <x:v>1fbc1da2672050b6b1a1ccd8c0cdb0c420d2f719bdeff82ba998509df8b0da41</x:v>
      </x:c>
    </x:row>
    <x:row r="73">
      <x:c r="A73" s="17" t="str">
        <x:v>072</x:v>
      </x:c>
      <x:c r="B73" t="str">
        <x:v>ZH-NORMAL-012</x:v>
      </x:c>
      <x:c r="C73" s="17" t="str">
        <x:v>012</x:v>
      </x:c>
      <x:c r="D73" t="str">
        <x:v>Normal</x:v>
      </x:c>
      <x:c r="E73" t="n">
        <x:v>50</x:v>
      </x:c>
      <x:c r="F73" t="n">
        <x:v>69</x:v>
      </x:c>
      <x:c r="G73" t="n">
        <x:v>1</x:v>
      </x:c>
      <x:c r="H73" s="18" t="n">
        <x:v>59</x:v>
      </x:c>
      <x:c r="I73" s="18" t="n">
        <x:v>75</x:v>
      </x:c>
      <x:c r="J73" s="18" t="n">
        <x:v>55</x:v>
      </x:c>
      <x:c r="K73" s="18" t="n">
        <x:v>68</x:v>
      </x:c>
      <x:c r="L73" s="18" t="n">
        <x:v>62</x:v>
      </x:c>
      <x:c r="M73" s="18" t="n">
        <x:v>78</x:v>
      </x:c>
      <x:c r="N73" s="18" t="n">
        <x:v>95</x:v>
      </x:c>
      <x:c r="O73" s="18" t="n">
        <x:v>70</x:v>
      </x:c>
      <x:c r="P73" s="18" t="n">
        <x:v>59</x:v>
      </x:c>
      <x:c r="Q73" t="str">
        <x:v>Yes</x:v>
      </x:c>
      <x:c r="R73" s="18" t="n">
        <x:v>0</x:v>
      </x:c>
      <x:c r="S73" s="18" t="n">
        <x:v>0</x:v>
      </x:c>
      <x:c r="T73" s="18" t="n">
        <x:v>0</x:v>
      </x:c>
      <x:c r="U73" t="str">
        <x:v>Normal</x:v>
      </x:c>
      <x:c r="V73" t="str">
        <x:v>Yes</x:v>
      </x:c>
      <x:c r="W73" t="str">
        <x:v>WEAK</x:v>
      </x:c>
      <x:c r="X73" t="str">
        <x:v>REWRITE_REQUIRED</x:v>
      </x:c>
      <x:c r="Y73" t="n">
        <x:v>80</x:v>
      </x:c>
      <x:c r="Z73" t="str">
        <x:v>Success</x:v>
      </x:c>
      <x:c r="AA73"/>
      <x:c r="AB73"/>
      <x:c r="AC73" s="13"/>
      <x:c r="AD73" t="n">
        <x:v>0</x:v>
      </x:c>
      <x:c r="AE73" s="19" t="n">
        <x:v>98418</x:v>
      </x:c>
      <x:c r="AF73" t="str">
        <x:v>deepseek-v4-pro</x:v>
      </x:c>
      <x:c r="AG73" s="20" t="n">
        <x:v>46237.16660445602</x:v>
      </x:c>
      <x:c r="AH73" t="n">
        <x:v>200</x:v>
      </x:c>
      <x:c r="AI73" t="str">
        <x:v>a18aca76b49aa41352cd83e3f8e32032189088ecbb646887d84e4c36fdaa5dd4</x:v>
      </x:c>
      <x:c r="AJ73" t="str">
        <x:v>1fbc1da2672050b6b1a1ccd8c0cdb0c420d2f719bdeff82ba998509df8b0da41</x:v>
      </x:c>
    </x:row>
    <x:row r="74">
      <x:c r="A74" s="17" t="str">
        <x:v>073</x:v>
      </x:c>
      <x:c r="B74" t="str">
        <x:v>ZH-NORMAL-013</x:v>
      </x:c>
      <x:c r="C74" s="17" t="str">
        <x:v>013</x:v>
      </x:c>
      <x:c r="D74" t="str">
        <x:v>Normal</x:v>
      </x:c>
      <x:c r="E74" t="n">
        <x:v>50</x:v>
      </x:c>
      <x:c r="F74" t="n">
        <x:v>69</x:v>
      </x:c>
      <x:c r="G74" t="n">
        <x:v>1</x:v>
      </x:c>
      <x:c r="H74" s="18" t="n">
        <x:v>59</x:v>
      </x:c>
      <x:c r="I74" s="18" t="n">
        <x:v>78</x:v>
      </x:c>
      <x:c r="J74" s="18" t="n">
        <x:v>48</x:v>
      </x:c>
      <x:c r="K74" s="18" t="n">
        <x:v>65</x:v>
      </x:c>
      <x:c r="L74" s="18" t="n">
        <x:v>92</x:v>
      </x:c>
      <x:c r="M74" s="18" t="n">
        <x:v>65</x:v>
      </x:c>
      <x:c r="N74" s="18" t="n">
        <x:v>75</x:v>
      </x:c>
      <x:c r="O74" s="18" t="n">
        <x:v>70</x:v>
      </x:c>
      <x:c r="P74" s="18" t="n">
        <x:v>59</x:v>
      </x:c>
      <x:c r="Q74" t="str">
        <x:v>Yes</x:v>
      </x:c>
      <x:c r="R74" s="18" t="n">
        <x:v>0</x:v>
      </x:c>
      <x:c r="S74" s="18" t="n">
        <x:v>0</x:v>
      </x:c>
      <x:c r="T74" s="18" t="n">
        <x:v>0</x:v>
      </x:c>
      <x:c r="U74" t="str">
        <x:v>Normal</x:v>
      </x:c>
      <x:c r="V74" t="str">
        <x:v>Yes</x:v>
      </x:c>
      <x:c r="W74" t="str">
        <x:v>WEAK</x:v>
      </x:c>
      <x:c r="X74" t="str">
        <x:v>REWRITE_REQUIRED</x:v>
      </x:c>
      <x:c r="Y74" t="n">
        <x:v>80</x:v>
      </x:c>
      <x:c r="Z74" t="str">
        <x:v>Success</x:v>
      </x:c>
      <x:c r="AA74"/>
      <x:c r="AB74"/>
      <x:c r="AC74" s="13"/>
      <x:c r="AD74" t="n">
        <x:v>0</x:v>
      </x:c>
      <x:c r="AE74" s="19" t="n">
        <x:v>65011</x:v>
      </x:c>
      <x:c r="AF74" t="str">
        <x:v>deepseek-v4-pro</x:v>
      </x:c>
      <x:c r="AG74" s="20" t="n">
        <x:v>46237.167356909726</x:v>
      </x:c>
      <x:c r="AH74" t="n">
        <x:v>200</x:v>
      </x:c>
      <x:c r="AI74" t="str">
        <x:v>7e3ca42df39eda438fe39a696645efdb149981b43325e27570a194518be629be</x:v>
      </x:c>
      <x:c r="AJ74" t="str">
        <x:v>1fbc1da2672050b6b1a1ccd8c0cdb0c420d2f719bdeff82ba998509df8b0da41</x:v>
      </x:c>
    </x:row>
    <x:row r="75">
      <x:c r="A75" s="17" t="str">
        <x:v>074</x:v>
      </x:c>
      <x:c r="B75" t="str">
        <x:v>ZH-NORMAL-014</x:v>
      </x:c>
      <x:c r="C75" s="17" t="str">
        <x:v>014</x:v>
      </x:c>
      <x:c r="D75" t="str">
        <x:v>Normal</x:v>
      </x:c>
      <x:c r="E75" t="n">
        <x:v>50</x:v>
      </x:c>
      <x:c r="F75" t="n">
        <x:v>69</x:v>
      </x:c>
      <x:c r="G75" t="n">
        <x:v>1</x:v>
      </x:c>
      <x:c r="H75" s="18" t="n">
        <x:v>95</x:v>
      </x:c>
      <x:c r="I75" s="18" t="n">
        <x:v>95</x:v>
      </x:c>
      <x:c r="J75" s="18" t="n">
        <x:v>90</x:v>
      </x:c>
      <x:c r="K75" s="18" t="n">
        <x:v>95</x:v>
      </x:c>
      <x:c r="L75" s="18" t="n">
        <x:v>95</x:v>
      </x:c>
      <x:c r="M75" s="18" t="n">
        <x:v>95</x:v>
      </x:c>
      <x:c r="N75" s="18" t="n">
        <x:v>100</x:v>
      </x:c>
      <x:c r="O75" s="18" t="n">
        <x:v>95</x:v>
      </x:c>
      <x:c r="P75" s="18"/>
      <x:c r="Q75" t="str">
        <x:v>No</x:v>
      </x:c>
      <x:c r="R75" s="18" t="n">
        <x:v>26</x:v>
      </x:c>
      <x:c r="S75" s="18" t="n">
        <x:v>0</x:v>
      </x:c>
      <x:c r="T75" s="18" t="n">
        <x:v>26</x:v>
      </x:c>
      <x:c r="U75" t="str">
        <x:v>Excellent</x:v>
      </x:c>
      <x:c r="V75" t="str">
        <x:v>No</x:v>
      </x:c>
      <x:c r="W75" t="str">
        <x:v>PUBLICATION_READY</x:v>
      </x:c>
      <x:c r="X75" t="str">
        <x:v>PASS</x:v>
      </x:c>
      <x:c r="Y75" t="n">
        <x:v>80</x:v>
      </x:c>
      <x:c r="Z75" t="str">
        <x:v>Success</x:v>
      </x:c>
      <x:c r="AA75"/>
      <x:c r="AB75"/>
      <x:c r="AC75" s="13"/>
      <x:c r="AD75" t="n">
        <x:v>0</x:v>
      </x:c>
      <x:c r="AE75" s="19" t="n">
        <x:v>48428</x:v>
      </x:c>
      <x:c r="AF75" t="str">
        <x:v>deepseek-v4-pro</x:v>
      </x:c>
      <x:c r="AG75" s="20" t="n">
        <x:v>46237.167917465275</x:v>
      </x:c>
      <x:c r="AH75" t="n">
        <x:v>200</x:v>
      </x:c>
      <x:c r="AI75" t="str">
        <x:v>e95abcfa143c236aaba0818e9ce18084b459f5649ccf52644302a1bcfae2e2b2</x:v>
      </x:c>
      <x:c r="AJ75" t="str">
        <x:v>1fbc1da2672050b6b1a1ccd8c0cdb0c420d2f719bdeff82ba998509df8b0da41</x:v>
      </x:c>
    </x:row>
    <x:row r="76">
      <x:c r="A76" s="17" t="str">
        <x:v>075</x:v>
      </x:c>
      <x:c r="B76" t="str">
        <x:v>ZH-NORMAL-015</x:v>
      </x:c>
      <x:c r="C76" s="17" t="str">
        <x:v>015</x:v>
      </x:c>
      <x:c r="D76" t="str">
        <x:v>Normal</x:v>
      </x:c>
      <x:c r="E76" t="n">
        <x:v>50</x:v>
      </x:c>
      <x:c r="F76" t="n">
        <x:v>69</x:v>
      </x:c>
      <x:c r="G76" t="n">
        <x:v>1</x:v>
      </x:c>
      <x:c r="H76" s="18" t="n">
        <x:v>83</x:v>
      </x:c>
      <x:c r="I76" s="18" t="n">
        <x:v>82</x:v>
      </x:c>
      <x:c r="J76" s="18" t="n">
        <x:v>75</x:v>
      </x:c>
      <x:c r="K76" s="18" t="n">
        <x:v>78</x:v>
      </x:c>
      <x:c r="L76" s="18" t="n">
        <x:v>85</x:v>
      </x:c>
      <x:c r="M76" s="18" t="n">
        <x:v>90</x:v>
      </x:c>
      <x:c r="N76" s="18" t="n">
        <x:v>95</x:v>
      </x:c>
      <x:c r="O76" s="18" t="n">
        <x:v>83</x:v>
      </x:c>
      <x:c r="P76" s="18" t="n">
        <x:v>89</x:v>
      </x:c>
      <x:c r="Q76" t="str">
        <x:v>No</x:v>
      </x:c>
      <x:c r="R76" s="18" t="n">
        <x:v>14</x:v>
      </x:c>
      <x:c r="S76" s="18" t="n">
        <x:v>0</x:v>
      </x:c>
      <x:c r="T76" s="18" t="n">
        <x:v>14</x:v>
      </x:c>
      <x:c r="U76" t="str">
        <x:v>Good</x:v>
      </x:c>
      <x:c r="V76" t="str">
        <x:v>No</x:v>
      </x:c>
      <x:c r="W76" t="str">
        <x:v>STRONG_LIMITED_EDITING</x:v>
      </x:c>
      <x:c r="X76" t="str">
        <x:v>PASS</x:v>
      </x:c>
      <x:c r="Y76" t="n">
        <x:v>80</x:v>
      </x:c>
      <x:c r="Z76" t="str">
        <x:v>Success</x:v>
      </x:c>
      <x:c r="AA76"/>
      <x:c r="AB76"/>
      <x:c r="AC76" s="13"/>
      <x:c r="AD76" t="n">
        <x:v>0</x:v>
      </x:c>
      <x:c r="AE76" s="19" t="n">
        <x:v>80713</x:v>
      </x:c>
      <x:c r="AF76" t="str">
        <x:v>deepseek-v4-pro</x:v>
      </x:c>
      <x:c r="AG76" s="20" t="n">
        <x:v>46237.16885166667</x:v>
      </x:c>
      <x:c r="AH76" t="n">
        <x:v>200</x:v>
      </x:c>
      <x:c r="AI76" t="str">
        <x:v>fc13d00cd81994f4796a743229a1cbe43df66cedb1c1441153e2e0ab4d98d0b4</x:v>
      </x:c>
      <x:c r="AJ76" t="str">
        <x:v>1fbc1da2672050b6b1a1ccd8c0cdb0c420d2f719bdeff82ba998509df8b0da41</x:v>
      </x:c>
    </x:row>
    <x:row r="77">
      <x:c r="A77" s="17" t="str">
        <x:v>076</x:v>
      </x:c>
      <x:c r="B77" t="str">
        <x:v>ZH-NORMAL-016</x:v>
      </x:c>
      <x:c r="C77" s="17" t="str">
        <x:v>016</x:v>
      </x:c>
      <x:c r="D77" t="str">
        <x:v>Normal</x:v>
      </x:c>
      <x:c r="E77" t="n">
        <x:v>50</x:v>
      </x:c>
      <x:c r="F77" t="n">
        <x:v>69</x:v>
      </x:c>
      <x:c r="G77" t="n">
        <x:v>1</x:v>
      </x:c>
      <x:c r="H77" s="18" t="n">
        <x:v>89</x:v>
      </x:c>
      <x:c r="I77" s="18" t="n">
        <x:v>85</x:v>
      </x:c>
      <x:c r="J77" s="18" t="n">
        <x:v>78</x:v>
      </x:c>
      <x:c r="K77" s="18" t="n">
        <x:v>91</x:v>
      </x:c>
      <x:c r="L77" s="18" t="n">
        <x:v>97</x:v>
      </x:c>
      <x:c r="M77" s="18" t="n">
        <x:v>96</x:v>
      </x:c>
      <x:c r="N77" s="18" t="n">
        <x:v>92</x:v>
      </x:c>
      <x:c r="O77" s="18" t="n">
        <x:v>89</x:v>
      </x:c>
      <x:c r="P77" s="18" t="n">
        <x:v>89</x:v>
      </x:c>
      <x:c r="Q77" t="str">
        <x:v>No</x:v>
      </x:c>
      <x:c r="R77" s="18" t="n">
        <x:v>20</x:v>
      </x:c>
      <x:c r="S77" s="18" t="n">
        <x:v>0</x:v>
      </x:c>
      <x:c r="T77" s="18" t="n">
        <x:v>20</x:v>
      </x:c>
      <x:c r="U77" t="str">
        <x:v>Excellent</x:v>
      </x:c>
      <x:c r="V77" t="str">
        <x:v>No</x:v>
      </x:c>
      <x:c r="W77" t="str">
        <x:v>STRONG_LIMITED_EDITING</x:v>
      </x:c>
      <x:c r="X77" t="str">
        <x:v>PASS</x:v>
      </x:c>
      <x:c r="Y77" t="n">
        <x:v>80</x:v>
      </x:c>
      <x:c r="Z77" t="str">
        <x:v>Success</x:v>
      </x:c>
      <x:c r="AA77"/>
      <x:c r="AB77"/>
      <x:c r="AC77" s="13"/>
      <x:c r="AD77" t="n">
        <x:v>0</x:v>
      </x:c>
      <x:c r="AE77" s="19" t="n">
        <x:v>93468</x:v>
      </x:c>
      <x:c r="AF77" t="str">
        <x:v>deepseek-v4-pro</x:v>
      </x:c>
      <x:c r="AG77" s="20" t="n">
        <x:v>46237.16993350694</x:v>
      </x:c>
      <x:c r="AH77" t="n">
        <x:v>200</x:v>
      </x:c>
      <x:c r="AI77" t="str">
        <x:v>eeef9769bc9212306b447432ed1e33f2e682a7f98e74657c2b15920993173f98</x:v>
      </x:c>
      <x:c r="AJ77" t="str">
        <x:v>1fbc1da2672050b6b1a1ccd8c0cdb0c420d2f719bdeff82ba998509df8b0da41</x:v>
      </x:c>
    </x:row>
    <x:row r="78">
      <x:c r="A78" s="17" t="str">
        <x:v>077</x:v>
      </x:c>
      <x:c r="B78" t="str">
        <x:v>ZH-NORMAL-017</x:v>
      </x:c>
      <x:c r="C78" s="17" t="str">
        <x:v>017</x:v>
      </x:c>
      <x:c r="D78" t="str">
        <x:v>Normal</x:v>
      </x:c>
      <x:c r="E78" t="n">
        <x:v>50</x:v>
      </x:c>
      <x:c r="F78" t="n">
        <x:v>69</x:v>
      </x:c>
      <x:c r="G78" t="n">
        <x:v>1</x:v>
      </x:c>
      <x:c r="H78" s="18" t="n">
        <x:v>59</x:v>
      </x:c>
      <x:c r="I78" s="18" t="n">
        <x:v>90</x:v>
      </x:c>
      <x:c r="J78" s="18" t="n">
        <x:v>50</x:v>
      </x:c>
      <x:c r="K78" s="18" t="n">
        <x:v>72</x:v>
      </x:c>
      <x:c r="L78" s="18" t="n">
        <x:v>92</x:v>
      </x:c>
      <x:c r="M78" s="18" t="n">
        <x:v>90</x:v>
      </x:c>
      <x:c r="N78" s="18" t="n">
        <x:v>100</x:v>
      </x:c>
      <x:c r="O78" s="18" t="n">
        <x:v>81</x:v>
      </x:c>
      <x:c r="P78" s="18" t="n">
        <x:v>59</x:v>
      </x:c>
      <x:c r="Q78" t="str">
        <x:v>Yes</x:v>
      </x:c>
      <x:c r="R78" s="18" t="n">
        <x:v>0</x:v>
      </x:c>
      <x:c r="S78" s="18" t="n">
        <x:v>0</x:v>
      </x:c>
      <x:c r="T78" s="18" t="n">
        <x:v>0</x:v>
      </x:c>
      <x:c r="U78" t="str">
        <x:v>Normal</x:v>
      </x:c>
      <x:c r="V78" t="str">
        <x:v>Yes</x:v>
      </x:c>
      <x:c r="W78" t="str">
        <x:v>WEAK</x:v>
      </x:c>
      <x:c r="X78" t="str">
        <x:v>REWRITE_REQUIRED</x:v>
      </x:c>
      <x:c r="Y78" t="n">
        <x:v>80</x:v>
      </x:c>
      <x:c r="Z78" t="str">
        <x:v>Success</x:v>
      </x:c>
      <x:c r="AA78"/>
      <x:c r="AB78"/>
      <x:c r="AC78" s="13"/>
      <x:c r="AD78" t="n">
        <x:v>0</x:v>
      </x:c>
      <x:c r="AE78" s="19" t="n">
        <x:v>105143</x:v>
      </x:c>
      <x:c r="AF78" t="str">
        <x:v>deepseek-v4-pro</x:v>
      </x:c>
      <x:c r="AG78" s="20" t="n">
        <x:v>46237.171150462964</x:v>
      </x:c>
      <x:c r="AH78" t="n">
        <x:v>200</x:v>
      </x:c>
      <x:c r="AI78" t="str">
        <x:v>339b862fd5377a4509965c37c5d572628b0b1dbfd4ed1de241ea0549fdd573d9</x:v>
      </x:c>
      <x:c r="AJ78" t="str">
        <x:v>1fbc1da2672050b6b1a1ccd8c0cdb0c420d2f719bdeff82ba998509df8b0da41</x:v>
      </x:c>
    </x:row>
    <x:row r="79">
      <x:c r="A79" s="17" t="str">
        <x:v>078</x:v>
      </x:c>
      <x:c r="B79" t="str">
        <x:v>ZH-NORMAL-018</x:v>
      </x:c>
      <x:c r="C79" s="17" t="str">
        <x:v>018</x:v>
      </x:c>
      <x:c r="D79" t="str">
        <x:v>Normal</x:v>
      </x:c>
      <x:c r="E79" t="n">
        <x:v>50</x:v>
      </x:c>
      <x:c r="F79" t="n">
        <x:v>69</x:v>
      </x:c>
      <x:c r="G79" t="n">
        <x:v>1</x:v>
      </x:c>
      <x:c r="H79" s="18" t="n">
        <x:v>74</x:v>
      </x:c>
      <x:c r="I79" s="18" t="n">
        <x:v>78</x:v>
      </x:c>
      <x:c r="J79" s="18" t="n">
        <x:v>70</x:v>
      </x:c>
      <x:c r="K79" s="18" t="n">
        <x:v>70</x:v>
      </x:c>
      <x:c r="L79" s="18" t="n">
        <x:v>82</x:v>
      </x:c>
      <x:c r="M79" s="18" t="n">
        <x:v>78</x:v>
      </x:c>
      <x:c r="N79" s="18" t="n">
        <x:v>78</x:v>
      </x:c>
      <x:c r="O79" s="18" t="n">
        <x:v>76</x:v>
      </x:c>
      <x:c r="P79" s="18" t="n">
        <x:v>74</x:v>
      </x:c>
      <x:c r="Q79" t="str">
        <x:v>No</x:v>
      </x:c>
      <x:c r="R79" s="18" t="n">
        <x:v>5</x:v>
      </x:c>
      <x:c r="S79" s="18" t="n">
        <x:v>0</x:v>
      </x:c>
      <x:c r="T79" s="18" t="n">
        <x:v>5</x:v>
      </x:c>
      <x:c r="U79" t="str">
        <x:v>Good</x:v>
      </x:c>
      <x:c r="V79" t="str">
        <x:v>No</x:v>
      </x:c>
      <x:c r="W79" t="str">
        <x:v>SUBSTANTIAL_REWRITE</x:v>
      </x:c>
      <x:c r="X79" t="str">
        <x:v>REWRITE_REQUIRED</x:v>
      </x:c>
      <x:c r="Y79" t="n">
        <x:v>80</x:v>
      </x:c>
      <x:c r="Z79" t="str">
        <x:v>Success</x:v>
      </x:c>
      <x:c r="AA79"/>
      <x:c r="AB79"/>
      <x:c r="AC79" s="13"/>
      <x:c r="AD79" t="n">
        <x:v>0</x:v>
      </x:c>
      <x:c r="AE79" s="19" t="n">
        <x:v>107316</x:v>
      </x:c>
      <x:c r="AF79" t="str">
        <x:v>deepseek-v4-pro</x:v>
      </x:c>
      <x:c r="AG79" s="20" t="n">
        <x:v>46237.17239259259</x:v>
      </x:c>
      <x:c r="AH79" t="n">
        <x:v>200</x:v>
      </x:c>
      <x:c r="AI79" t="str">
        <x:v>7d35196c2b4112b4615f0911f375b7b31dcebb5a0d2d54c6ebacf6f6676aa8c7</x:v>
      </x:c>
      <x:c r="AJ79" t="str">
        <x:v>1fbc1da2672050b6b1a1ccd8c0cdb0c420d2f719bdeff82ba998509df8b0da41</x:v>
      </x:c>
    </x:row>
    <x:row r="80">
      <x:c r="A80" s="17" t="str">
        <x:v>079</x:v>
      </x:c>
      <x:c r="B80" t="str">
        <x:v>ZH-NORMAL-019</x:v>
      </x:c>
      <x:c r="C80" s="17" t="str">
        <x:v>019</x:v>
      </x:c>
      <x:c r="D80" t="str">
        <x:v>Normal</x:v>
      </x:c>
      <x:c r="E80" t="n">
        <x:v>50</x:v>
      </x:c>
      <x:c r="F80" t="n">
        <x:v>69</x:v>
      </x:c>
      <x:c r="G80" t="n">
        <x:v>1</x:v>
      </x:c>
      <x:c r="H80" s="18" t="n">
        <x:v>72</x:v>
      </x:c>
      <x:c r="I80" s="18" t="n">
        <x:v>72</x:v>
      </x:c>
      <x:c r="J80" s="18" t="n">
        <x:v>65</x:v>
      </x:c>
      <x:c r="K80" s="18" t="n">
        <x:v>70</x:v>
      </x:c>
      <x:c r="L80" s="18" t="n">
        <x:v>75</x:v>
      </x:c>
      <x:c r="M80" s="18" t="n">
        <x:v>80</x:v>
      </x:c>
      <x:c r="N80" s="18" t="n">
        <x:v>70</x:v>
      </x:c>
      <x:c r="O80" s="18" t="n">
        <x:v>72</x:v>
      </x:c>
      <x:c r="P80" s="18" t="n">
        <x:v>74</x:v>
      </x:c>
      <x:c r="Q80" t="str">
        <x:v>No</x:v>
      </x:c>
      <x:c r="R80" s="18" t="n">
        <x:v>3</x:v>
      </x:c>
      <x:c r="S80" s="18" t="n">
        <x:v>0</x:v>
      </x:c>
      <x:c r="T80" s="18" t="n">
        <x:v>3</x:v>
      </x:c>
      <x:c r="U80" t="str">
        <x:v>Good</x:v>
      </x:c>
      <x:c r="V80" t="str">
        <x:v>No</x:v>
      </x:c>
      <x:c r="W80" t="str">
        <x:v>SUBSTANTIAL_REWRITE</x:v>
      </x:c>
      <x:c r="X80" t="str">
        <x:v>REWRITE_REQUIRED</x:v>
      </x:c>
      <x:c r="Y80" t="n">
        <x:v>80</x:v>
      </x:c>
      <x:c r="Z80" t="str">
        <x:v>Success</x:v>
      </x:c>
      <x:c r="AA80"/>
      <x:c r="AB80"/>
      <x:c r="AC80" s="13"/>
      <x:c r="AD80" t="n">
        <x:v>0</x:v>
      </x:c>
      <x:c r="AE80" s="19" t="n">
        <x:v>80112</x:v>
      </x:c>
      <x:c r="AF80" t="str">
        <x:v>deepseek-v4-pro</x:v>
      </x:c>
      <x:c r="AG80" s="20" t="n">
        <x:v>46237.173319837966</x:v>
      </x:c>
      <x:c r="AH80" t="n">
        <x:v>200</x:v>
      </x:c>
      <x:c r="AI80" t="str">
        <x:v>ce5f6aa931f4f7883f1218d65f9d56259da3c83740522ab1bf2df67169a62f78</x:v>
      </x:c>
      <x:c r="AJ80" t="str">
        <x:v>1fbc1da2672050b6b1a1ccd8c0cdb0c420d2f719bdeff82ba998509df8b0da41</x:v>
      </x:c>
    </x:row>
    <x:row r="81">
      <x:c r="A81" s="17" t="str">
        <x:v>080</x:v>
      </x:c>
      <x:c r="B81" t="str">
        <x:v>ZH-NORMAL-020</x:v>
      </x:c>
      <x:c r="C81" s="17" t="str">
        <x:v>020</x:v>
      </x:c>
      <x:c r="D81" t="str">
        <x:v>Normal</x:v>
      </x:c>
      <x:c r="E81" t="n">
        <x:v>50</x:v>
      </x:c>
      <x:c r="F81" t="n">
        <x:v>69</x:v>
      </x:c>
      <x:c r="G81" t="n">
        <x:v>1</x:v>
      </x:c>
      <x:c r="H81" s="18" t="n">
        <x:v>74</x:v>
      </x:c>
      <x:c r="I81" s="18" t="n">
        <x:v>70</x:v>
      </x:c>
      <x:c r="J81" s="18" t="n">
        <x:v>72</x:v>
      </x:c>
      <x:c r="K81" s="18" t="n">
        <x:v>70</x:v>
      </x:c>
      <x:c r="L81" s="18" t="n">
        <x:v>90</x:v>
      </x:c>
      <x:c r="M81" s="18" t="n">
        <x:v>90</x:v>
      </x:c>
      <x:c r="N81" s="18" t="n">
        <x:v>100</x:v>
      </x:c>
      <x:c r="O81" s="18" t="n">
        <x:v>79</x:v>
      </x:c>
      <x:c r="P81" s="18" t="n">
        <x:v>74</x:v>
      </x:c>
      <x:c r="Q81" t="str">
        <x:v>No</x:v>
      </x:c>
      <x:c r="R81" s="18" t="n">
        <x:v>5</x:v>
      </x:c>
      <x:c r="S81" s="18" t="n">
        <x:v>0</x:v>
      </x:c>
      <x:c r="T81" s="18" t="n">
        <x:v>5</x:v>
      </x:c>
      <x:c r="U81" t="str">
        <x:v>Good</x:v>
      </x:c>
      <x:c r="V81" t="str">
        <x:v>No</x:v>
      </x:c>
      <x:c r="W81" t="str">
        <x:v>SUBSTANTIAL_REWRITE</x:v>
      </x:c>
      <x:c r="X81" t="str">
        <x:v>REWRITE_REQUIRED</x:v>
      </x:c>
      <x:c r="Y81" t="n">
        <x:v>80</x:v>
      </x:c>
      <x:c r="Z81" t="str">
        <x:v>Success</x:v>
      </x:c>
      <x:c r="AA81"/>
      <x:c r="AB81"/>
      <x:c r="AC81" s="13"/>
      <x:c r="AD81" t="n">
        <x:v>0</x:v>
      </x:c>
      <x:c r="AE81" s="19" t="n">
        <x:v>83915</x:v>
      </x:c>
      <x:c r="AF81" t="str">
        <x:v>deepseek-v4-pro</x:v>
      </x:c>
      <x:c r="AG81" s="20" t="n">
        <x:v>46237.174291076386</x:v>
      </x:c>
      <x:c r="AH81" t="n">
        <x:v>200</x:v>
      </x:c>
      <x:c r="AI81" t="str">
        <x:v>68476c51752c396c86204663257285abc85201f9169f731eda2e4c6ed2f609fa</x:v>
      </x:c>
      <x:c r="AJ81" t="str">
        <x:v>1fbc1da2672050b6b1a1ccd8c0cdb0c420d2f719bdeff82ba998509df8b0da41</x:v>
      </x:c>
    </x:row>
    <x:row r="82">
      <x:c r="A82" s="17" t="str">
        <x:v>081</x:v>
      </x:c>
      <x:c r="B82" t="str">
        <x:v>ZH-NORMAL-021</x:v>
      </x:c>
      <x:c r="C82" s="17" t="str">
        <x:v>021</x:v>
      </x:c>
      <x:c r="D82" t="str">
        <x:v>Normal</x:v>
      </x:c>
      <x:c r="E82" t="n">
        <x:v>50</x:v>
      </x:c>
      <x:c r="F82" t="n">
        <x:v>69</x:v>
      </x:c>
      <x:c r="G82" t="n">
        <x:v>1</x:v>
      </x:c>
      <x:c r="H82" s="18" t="n">
        <x:v>74</x:v>
      </x:c>
      <x:c r="I82" s="18" t="n">
        <x:v>82</x:v>
      </x:c>
      <x:c r="J82" s="18" t="n">
        <x:v>78</x:v>
      </x:c>
      <x:c r="K82" s="18" t="n">
        <x:v>72</x:v>
      </x:c>
      <x:c r="L82" s="18" t="n">
        <x:v>70</x:v>
      </x:c>
      <x:c r="M82" s="18" t="n">
        <x:v>70</x:v>
      </x:c>
      <x:c r="N82" s="18" t="n">
        <x:v>90</x:v>
      </x:c>
      <x:c r="O82" s="18" t="n">
        <x:v>77</x:v>
      </x:c>
      <x:c r="P82" s="18" t="n">
        <x:v>74</x:v>
      </x:c>
      <x:c r="Q82" t="str">
        <x:v>No</x:v>
      </x:c>
      <x:c r="R82" s="18" t="n">
        <x:v>5</x:v>
      </x:c>
      <x:c r="S82" s="18" t="n">
        <x:v>0</x:v>
      </x:c>
      <x:c r="T82" s="18" t="n">
        <x:v>5</x:v>
      </x:c>
      <x:c r="U82" t="str">
        <x:v>Good</x:v>
      </x:c>
      <x:c r="V82" t="str">
        <x:v>No</x:v>
      </x:c>
      <x:c r="W82" t="str">
        <x:v>SUBSTANTIAL_REWRITE</x:v>
      </x:c>
      <x:c r="X82" t="str">
        <x:v>REWRITE_REQUIRED</x:v>
      </x:c>
      <x:c r="Y82" t="n">
        <x:v>80</x:v>
      </x:c>
      <x:c r="Z82" t="str">
        <x:v>Success</x:v>
      </x:c>
      <x:c r="AA82"/>
      <x:c r="AB82"/>
      <x:c r="AC82" s="13"/>
      <x:c r="AD82" t="n">
        <x:v>0</x:v>
      </x:c>
      <x:c r="AE82" s="19" t="n">
        <x:v>110417</x:v>
      </x:c>
      <x:c r="AF82" t="str">
        <x:v>deepseek-v4-pro</x:v>
      </x:c>
      <x:c r="AG82" s="20" t="n">
        <x:v>46237.17556909722</x:v>
      </x:c>
      <x:c r="AH82" t="n">
        <x:v>200</x:v>
      </x:c>
      <x:c r="AI82" t="str">
        <x:v>22803a4a2d1ec9e750d0f10cc7c65a9f4606158360c90f406f5993273c0f25b8</x:v>
      </x:c>
      <x:c r="AJ82" t="str">
        <x:v>1fbc1da2672050b6b1a1ccd8c0cdb0c420d2f719bdeff82ba998509df8b0da41</x:v>
      </x:c>
    </x:row>
    <x:row r="83">
      <x:c r="A83" s="17" t="str">
        <x:v>082</x:v>
      </x:c>
      <x:c r="B83" t="str">
        <x:v>ZH-NORMAL-022</x:v>
      </x:c>
      <x:c r="C83" s="17" t="str">
        <x:v>022</x:v>
      </x:c>
      <x:c r="D83" t="str">
        <x:v>Normal</x:v>
      </x:c>
      <x:c r="E83" t="n">
        <x:v>50</x:v>
      </x:c>
      <x:c r="F83" t="n">
        <x:v>69</x:v>
      </x:c>
      <x:c r="G83" t="n">
        <x:v>1</x:v>
      </x:c>
      <x:c r="H83" s="18" t="n">
        <x:v>89</x:v>
      </x:c>
      <x:c r="I83" s="18" t="n">
        <x:v>92</x:v>
      </x:c>
      <x:c r="J83" s="18" t="n">
        <x:v>90</x:v>
      </x:c>
      <x:c r="K83" s="18" t="n">
        <x:v>88</x:v>
      </x:c>
      <x:c r="L83" s="18" t="n">
        <x:v>95</x:v>
      </x:c>
      <x:c r="M83" s="18" t="n">
        <x:v>90</x:v>
      </x:c>
      <x:c r="N83" s="18" t="n">
        <x:v>90</x:v>
      </x:c>
      <x:c r="O83" s="18" t="n">
        <x:v>91</x:v>
      </x:c>
      <x:c r="P83" s="18" t="n">
        <x:v>89</x:v>
      </x:c>
      <x:c r="Q83" t="str">
        <x:v>No</x:v>
      </x:c>
      <x:c r="R83" s="18" t="n">
        <x:v>20</x:v>
      </x:c>
      <x:c r="S83" s="18" t="n">
        <x:v>0</x:v>
      </x:c>
      <x:c r="T83" s="18" t="n">
        <x:v>20</x:v>
      </x:c>
      <x:c r="U83" t="str">
        <x:v>Excellent</x:v>
      </x:c>
      <x:c r="V83" t="str">
        <x:v>No</x:v>
      </x:c>
      <x:c r="W83" t="str">
        <x:v>STRONG_LIMITED_EDITING</x:v>
      </x:c>
      <x:c r="X83" t="str">
        <x:v>PASS</x:v>
      </x:c>
      <x:c r="Y83" t="n">
        <x:v>80</x:v>
      </x:c>
      <x:c r="Z83" t="str">
        <x:v>Success</x:v>
      </x:c>
      <x:c r="AA83"/>
      <x:c r="AB83"/>
      <x:c r="AC83" s="13"/>
      <x:c r="AD83" t="n">
        <x:v>0</x:v>
      </x:c>
      <x:c r="AE83" s="19" t="n">
        <x:v>39856</x:v>
      </x:c>
      <x:c r="AF83" t="str">
        <x:v>deepseek-v4-pro</x:v>
      </x:c>
      <x:c r="AG83" s="20" t="n">
        <x:v>46237.17603048611</x:v>
      </x:c>
      <x:c r="AH83" t="n">
        <x:v>200</x:v>
      </x:c>
      <x:c r="AI83" t="str">
        <x:v>f4f5fbbc7fd6d9207f80b56846a57038ff677793ae741ef6a6191d2fc94b09be</x:v>
      </x:c>
      <x:c r="AJ83" t="str">
        <x:v>1fbc1da2672050b6b1a1ccd8c0cdb0c420d2f719bdeff82ba998509df8b0da41</x:v>
      </x:c>
    </x:row>
    <x:row r="84">
      <x:c r="A84" s="17" t="str">
        <x:v>083</x:v>
      </x:c>
      <x:c r="B84" t="str">
        <x:v>ZH-NORMAL-023</x:v>
      </x:c>
      <x:c r="C84" s="17" t="str">
        <x:v>023</x:v>
      </x:c>
      <x:c r="D84" t="str">
        <x:v>Normal</x:v>
      </x:c>
      <x:c r="E84" t="n">
        <x:v>50</x:v>
      </x:c>
      <x:c r="F84" t="n">
        <x:v>69</x:v>
      </x:c>
      <x:c r="G84" t="n">
        <x:v>1</x:v>
      </x:c>
      <x:c r="H84" s="18" t="n">
        <x:v>95</x:v>
      </x:c>
      <x:c r="I84" s="18" t="n">
        <x:v>95</x:v>
      </x:c>
      <x:c r="J84" s="18" t="n">
        <x:v>95</x:v>
      </x:c>
      <x:c r="K84" s="18" t="n">
        <x:v>95</x:v>
      </x:c>
      <x:c r="L84" s="18" t="n">
        <x:v>95</x:v>
      </x:c>
      <x:c r="M84" s="18" t="n">
        <x:v>95</x:v>
      </x:c>
      <x:c r="N84" s="18" t="n">
        <x:v>95</x:v>
      </x:c>
      <x:c r="O84" s="18" t="n">
        <x:v>95</x:v>
      </x:c>
      <x:c r="P84" s="18"/>
      <x:c r="Q84" t="str">
        <x:v>No</x:v>
      </x:c>
      <x:c r="R84" s="18" t="n">
        <x:v>26</x:v>
      </x:c>
      <x:c r="S84" s="18" t="n">
        <x:v>0</x:v>
      </x:c>
      <x:c r="T84" s="18" t="n">
        <x:v>26</x:v>
      </x:c>
      <x:c r="U84" t="str">
        <x:v>Excellent</x:v>
      </x:c>
      <x:c r="V84" t="str">
        <x:v>No</x:v>
      </x:c>
      <x:c r="W84" t="str">
        <x:v>PUBLICATION_READY</x:v>
      </x:c>
      <x:c r="X84" t="str">
        <x:v>PASS</x:v>
      </x:c>
      <x:c r="Y84" t="n">
        <x:v>80</x:v>
      </x:c>
      <x:c r="Z84" t="str">
        <x:v>Success</x:v>
      </x:c>
      <x:c r="AA84"/>
      <x:c r="AB84"/>
      <x:c r="AC84" s="13"/>
      <x:c r="AD84" t="n">
        <x:v>0</x:v>
      </x:c>
      <x:c r="AE84" s="19" t="n">
        <x:v>43280</x:v>
      </x:c>
      <x:c r="AF84" t="str">
        <x:v>deepseek-v4-pro</x:v>
      </x:c>
      <x:c r="AG84" s="20" t="n">
        <x:v>46237.17653145833</x:v>
      </x:c>
      <x:c r="AH84" t="n">
        <x:v>200</x:v>
      </x:c>
      <x:c r="AI84" t="str">
        <x:v>d45151b059698dde29c71020e9c40e2e7350559eab765a9890216e7bc1340798</x:v>
      </x:c>
      <x:c r="AJ84" t="str">
        <x:v>1fbc1da2672050b6b1a1ccd8c0cdb0c420d2f719bdeff82ba998509df8b0da41</x:v>
      </x:c>
    </x:row>
    <x:row r="85">
      <x:c r="A85" s="17" t="str">
        <x:v>084</x:v>
      </x:c>
      <x:c r="B85" t="str">
        <x:v>ZH-NORMAL-024</x:v>
      </x:c>
      <x:c r="C85" s="17" t="str">
        <x:v>024</x:v>
      </x:c>
      <x:c r="D85" t="str">
        <x:v>Normal</x:v>
      </x:c>
      <x:c r="E85" t="n">
        <x:v>50</x:v>
      </x:c>
      <x:c r="F85" t="n">
        <x:v>69</x:v>
      </x:c>
      <x:c r="G85" t="n">
        <x:v>1</x:v>
      </x:c>
      <x:c r="H85" s="18" t="n">
        <x:v>87</x:v>
      </x:c>
      <x:c r="I85" s="18" t="n">
        <x:v>80</x:v>
      </x:c>
      <x:c r="J85" s="18" t="n">
        <x:v>82</x:v>
      </x:c>
      <x:c r="K85" s="18" t="n">
        <x:v>88</x:v>
      </x:c>
      <x:c r="L85" s="18" t="n">
        <x:v>92</x:v>
      </x:c>
      <x:c r="M85" s="18" t="n">
        <x:v>92</x:v>
      </x:c>
      <x:c r="N85" s="18" t="n">
        <x:v>95</x:v>
      </x:c>
      <x:c r="O85" s="18" t="n">
        <x:v>87</x:v>
      </x:c>
      <x:c r="P85" s="18" t="n">
        <x:v>89</x:v>
      </x:c>
      <x:c r="Q85" t="str">
        <x:v>No</x:v>
      </x:c>
      <x:c r="R85" s="18" t="n">
        <x:v>18</x:v>
      </x:c>
      <x:c r="S85" s="18" t="n">
        <x:v>0</x:v>
      </x:c>
      <x:c r="T85" s="18" t="n">
        <x:v>18</x:v>
      </x:c>
      <x:c r="U85" t="str">
        <x:v>Excellent</x:v>
      </x:c>
      <x:c r="V85" t="str">
        <x:v>No</x:v>
      </x:c>
      <x:c r="W85" t="str">
        <x:v>STRONG_LIMITED_EDITING</x:v>
      </x:c>
      <x:c r="X85" t="str">
        <x:v>PASS</x:v>
      </x:c>
      <x:c r="Y85" t="n">
        <x:v>80</x:v>
      </x:c>
      <x:c r="Z85" t="str">
        <x:v>Success</x:v>
      </x:c>
      <x:c r="AA85"/>
      <x:c r="AB85"/>
      <x:c r="AC85" s="13"/>
      <x:c r="AD85" t="n">
        <x:v>0</x:v>
      </x:c>
      <x:c r="AE85" s="19" t="n">
        <x:v>35498</x:v>
      </x:c>
      <x:c r="AF85" t="str">
        <x:v>deepseek-v4-pro</x:v>
      </x:c>
      <x:c r="AG85" s="20" t="n">
        <x:v>46237.17694233797</x:v>
      </x:c>
      <x:c r="AH85" t="n">
        <x:v>200</x:v>
      </x:c>
      <x:c r="AI85" t="str">
        <x:v>4a568c847ce1762f7e497ac513db36cfe6d0df7010e5db0ea886ff969384bbd2</x:v>
      </x:c>
      <x:c r="AJ85" t="str">
        <x:v>1fbc1da2672050b6b1a1ccd8c0cdb0c420d2f719bdeff82ba998509df8b0da41</x:v>
      </x:c>
    </x:row>
    <x:row r="86">
      <x:c r="A86" s="17" t="str">
        <x:v>085</x:v>
      </x:c>
      <x:c r="B86" t="str">
        <x:v>ZH-NORMAL-025</x:v>
      </x:c>
      <x:c r="C86" s="17" t="str">
        <x:v>025</x:v>
      </x:c>
      <x:c r="D86" t="str">
        <x:v>Normal</x:v>
      </x:c>
      <x:c r="E86" t="n">
        <x:v>50</x:v>
      </x:c>
      <x:c r="F86" t="n">
        <x:v>69</x:v>
      </x:c>
      <x:c r="G86" t="n">
        <x:v>1</x:v>
      </x:c>
      <x:c r="H86" s="18" t="n">
        <x:v>83</x:v>
      </x:c>
      <x:c r="I86" s="18" t="n">
        <x:v>82</x:v>
      </x:c>
      <x:c r="J86" s="18" t="n">
        <x:v>75</x:v>
      </x:c>
      <x:c r="K86" s="18" t="n">
        <x:v>85</x:v>
      </x:c>
      <x:c r="L86" s="18" t="n">
        <x:v>88</x:v>
      </x:c>
      <x:c r="M86" s="18" t="n">
        <x:v>78</x:v>
      </x:c>
      <x:c r="N86" s="18" t="n">
        <x:v>95</x:v>
      </x:c>
      <x:c r="O86" s="18" t="n">
        <x:v>83</x:v>
      </x:c>
      <x:c r="P86" s="18" t="n">
        <x:v>89</x:v>
      </x:c>
      <x:c r="Q86" t="str">
        <x:v>No</x:v>
      </x:c>
      <x:c r="R86" s="18" t="n">
        <x:v>14</x:v>
      </x:c>
      <x:c r="S86" s="18" t="n">
        <x:v>0</x:v>
      </x:c>
      <x:c r="T86" s="18" t="n">
        <x:v>14</x:v>
      </x:c>
      <x:c r="U86" t="str">
        <x:v>Good</x:v>
      </x:c>
      <x:c r="V86" t="str">
        <x:v>No</x:v>
      </x:c>
      <x:c r="W86" t="str">
        <x:v>STRONG_LIMITED_EDITING</x:v>
      </x:c>
      <x:c r="X86" t="str">
        <x:v>PASS</x:v>
      </x:c>
      <x:c r="Y86" t="n">
        <x:v>80</x:v>
      </x:c>
      <x:c r="Z86" t="str">
        <x:v>Success</x:v>
      </x:c>
      <x:c r="AA86"/>
      <x:c r="AB86"/>
      <x:c r="AC86" s="13"/>
      <x:c r="AD86" t="n">
        <x:v>0</x:v>
      </x:c>
      <x:c r="AE86" s="19" t="n">
        <x:v>46602</x:v>
      </x:c>
      <x:c r="AF86" t="str">
        <x:v>deepseek-v4-pro</x:v>
      </x:c>
      <x:c r="AG86" s="20" t="n">
        <x:v>46237.17748175926</x:v>
      </x:c>
      <x:c r="AH86" t="n">
        <x:v>200</x:v>
      </x:c>
      <x:c r="AI86" t="str">
        <x:v>eefc031c7d39b75cdc9db8db84ce3381b5c3d86b989cf14d568f8f20ceb6471b</x:v>
      </x:c>
      <x:c r="AJ86" t="str">
        <x:v>1fbc1da2672050b6b1a1ccd8c0cdb0c420d2f719bdeff82ba998509df8b0da41</x:v>
      </x:c>
    </x:row>
    <x:row r="87">
      <x:c r="A87" s="17" t="str">
        <x:v>086</x:v>
      </x:c>
      <x:c r="B87" t="str">
        <x:v>ZH-NORMAL-026</x:v>
      </x:c>
      <x:c r="C87" s="17" t="str">
        <x:v>026</x:v>
      </x:c>
      <x:c r="D87" t="str">
        <x:v>Normal</x:v>
      </x:c>
      <x:c r="E87" t="n">
        <x:v>50</x:v>
      </x:c>
      <x:c r="F87" t="n">
        <x:v>69</x:v>
      </x:c>
      <x:c r="G87" t="n">
        <x:v>1</x:v>
      </x:c>
      <x:c r="H87" s="18" t="n">
        <x:v>87</x:v>
      </x:c>
      <x:c r="I87" s="18" t="n">
        <x:v>85</x:v>
      </x:c>
      <x:c r="J87" s="18" t="n">
        <x:v>88</x:v>
      </x:c>
      <x:c r="K87" s="18" t="n">
        <x:v>85</x:v>
      </x:c>
      <x:c r="L87" s="18" t="n">
        <x:v>90</x:v>
      </x:c>
      <x:c r="M87" s="18" t="n">
        <x:v>85</x:v>
      </x:c>
      <x:c r="N87" s="18" t="n">
        <x:v>95</x:v>
      </x:c>
      <x:c r="O87" s="18" t="n">
        <x:v>87</x:v>
      </x:c>
      <x:c r="P87" s="18" t="n">
        <x:v>89</x:v>
      </x:c>
      <x:c r="Q87" t="str">
        <x:v>No</x:v>
      </x:c>
      <x:c r="R87" s="18" t="n">
        <x:v>18</x:v>
      </x:c>
      <x:c r="S87" s="18" t="n">
        <x:v>0</x:v>
      </x:c>
      <x:c r="T87" s="18" t="n">
        <x:v>18</x:v>
      </x:c>
      <x:c r="U87" t="str">
        <x:v>Excellent</x:v>
      </x:c>
      <x:c r="V87" t="str">
        <x:v>No</x:v>
      </x:c>
      <x:c r="W87" t="str">
        <x:v>STRONG_LIMITED_EDITING</x:v>
      </x:c>
      <x:c r="X87" t="str">
        <x:v>PASS</x:v>
      </x:c>
      <x:c r="Y87" t="n">
        <x:v>80</x:v>
      </x:c>
      <x:c r="Z87" t="str">
        <x:v>Success</x:v>
      </x:c>
      <x:c r="AA87"/>
      <x:c r="AB87"/>
      <x:c r="AC87" s="13"/>
      <x:c r="AD87" t="n">
        <x:v>0</x:v>
      </x:c>
      <x:c r="AE87" s="19" t="n">
        <x:v>53231</x:v>
      </x:c>
      <x:c r="AF87" t="str">
        <x:v>deepseek-v4-pro</x:v>
      </x:c>
      <x:c r="AG87" s="20" t="n">
        <x:v>46237.17809789352</x:v>
      </x:c>
      <x:c r="AH87" t="n">
        <x:v>200</x:v>
      </x:c>
      <x:c r="AI87" t="str">
        <x:v>c098c650a819afb14de6e6486083ad7cfe34eac249cb865ce69395ca65bc4a35</x:v>
      </x:c>
      <x:c r="AJ87" t="str">
        <x:v>1fbc1da2672050b6b1a1ccd8c0cdb0c420d2f719bdeff82ba998509df8b0da41</x:v>
      </x:c>
    </x:row>
    <x:row r="88">
      <x:c r="A88" s="17" t="str">
        <x:v>087</x:v>
      </x:c>
      <x:c r="B88" t="str">
        <x:v>ZH-NORMAL-027</x:v>
      </x:c>
      <x:c r="C88" s="17" t="str">
        <x:v>027</x:v>
      </x:c>
      <x:c r="D88" t="str">
        <x:v>Normal</x:v>
      </x:c>
      <x:c r="E88" t="n">
        <x:v>50</x:v>
      </x:c>
      <x:c r="F88" t="n">
        <x:v>69</x:v>
      </x:c>
      <x:c r="G88" t="n">
        <x:v>1</x:v>
      </x:c>
      <x:c r="H88" s="18" t="n">
        <x:v>89</x:v>
      </x:c>
      <x:c r="I88" s="18" t="n">
        <x:v>90</x:v>
      </x:c>
      <x:c r="J88" s="18" t="n">
        <x:v>87</x:v>
      </x:c>
      <x:c r="K88" s="18" t="n">
        <x:v>83</x:v>
      </x:c>
      <x:c r="L88" s="18" t="n">
        <x:v>92</x:v>
      </x:c>
      <x:c r="M88" s="18" t="n">
        <x:v>88</x:v>
      </x:c>
      <x:c r="N88" s="18" t="n">
        <x:v>95</x:v>
      </x:c>
      <x:c r="O88" s="18" t="n">
        <x:v>89</x:v>
      </x:c>
      <x:c r="P88" s="18" t="n">
        <x:v>89</x:v>
      </x:c>
      <x:c r="Q88" t="str">
        <x:v>No</x:v>
      </x:c>
      <x:c r="R88" s="18" t="n">
        <x:v>20</x:v>
      </x:c>
      <x:c r="S88" s="18" t="n">
        <x:v>0</x:v>
      </x:c>
      <x:c r="T88" s="18" t="n">
        <x:v>20</x:v>
      </x:c>
      <x:c r="U88" t="str">
        <x:v>Excellent</x:v>
      </x:c>
      <x:c r="V88" t="str">
        <x:v>No</x:v>
      </x:c>
      <x:c r="W88" t="str">
        <x:v>STRONG_LIMITED_EDITING</x:v>
      </x:c>
      <x:c r="X88" t="str">
        <x:v>PASS</x:v>
      </x:c>
      <x:c r="Y88" t="n">
        <x:v>80</x:v>
      </x:c>
      <x:c r="Z88" t="str">
        <x:v>Success</x:v>
      </x:c>
      <x:c r="AA88"/>
      <x:c r="AB88"/>
      <x:c r="AC88" s="13"/>
      <x:c r="AD88" t="n">
        <x:v>0</x:v>
      </x:c>
      <x:c r="AE88" s="19" t="n">
        <x:v>60207</x:v>
      </x:c>
      <x:c r="AF88" t="str">
        <x:v>deepseek-v4-pro</x:v>
      </x:c>
      <x:c r="AG88" s="20" t="n">
        <x:v>46237.17879475695</x:v>
      </x:c>
      <x:c r="AH88" t="n">
        <x:v>200</x:v>
      </x:c>
      <x:c r="AI88" t="str">
        <x:v>b47f8542fcef4f8233381328b98ff9c5eaeefb1fd73a804a76658a147e7e839c</x:v>
      </x:c>
      <x:c r="AJ88" t="str">
        <x:v>1fbc1da2672050b6b1a1ccd8c0cdb0c420d2f719bdeff82ba998509df8b0da41</x:v>
      </x:c>
    </x:row>
    <x:row r="89">
      <x:c r="A89" s="17" t="str">
        <x:v>088</x:v>
      </x:c>
      <x:c r="B89" t="str">
        <x:v>ZH-NORMAL-028</x:v>
      </x:c>
      <x:c r="C89" s="17" t="str">
        <x:v>028</x:v>
      </x:c>
      <x:c r="D89" t="str">
        <x:v>Normal</x:v>
      </x:c>
      <x:c r="E89" t="n">
        <x:v>50</x:v>
      </x:c>
      <x:c r="F89" t="n">
        <x:v>69</x:v>
      </x:c>
      <x:c r="G89" t="n">
        <x:v>1</x:v>
      </x:c>
      <x:c r="H89" s="18" t="n">
        <x:v>88</x:v>
      </x:c>
      <x:c r="I89" s="18" t="n">
        <x:v>88</x:v>
      </x:c>
      <x:c r="J89" s="18" t="n">
        <x:v>85</x:v>
      </x:c>
      <x:c r="K89" s="18" t="n">
        <x:v>82</x:v>
      </x:c>
      <x:c r="L89" s="18" t="n">
        <x:v>90</x:v>
      </x:c>
      <x:c r="M89" s="18" t="n">
        <x:v>90</x:v>
      </x:c>
      <x:c r="N89" s="18" t="n">
        <x:v>95</x:v>
      </x:c>
      <x:c r="O89" s="18" t="n">
        <x:v>88</x:v>
      </x:c>
      <x:c r="P89" s="18" t="n">
        <x:v>89</x:v>
      </x:c>
      <x:c r="Q89" t="str">
        <x:v>No</x:v>
      </x:c>
      <x:c r="R89" s="18" t="n">
        <x:v>19</x:v>
      </x:c>
      <x:c r="S89" s="18" t="n">
        <x:v>0</x:v>
      </x:c>
      <x:c r="T89" s="18" t="n">
        <x:v>19</x:v>
      </x:c>
      <x:c r="U89" t="str">
        <x:v>Excellent</x:v>
      </x:c>
      <x:c r="V89" t="str">
        <x:v>No</x:v>
      </x:c>
      <x:c r="W89" t="str">
        <x:v>STRONG_LIMITED_EDITING</x:v>
      </x:c>
      <x:c r="X89" t="str">
        <x:v>PASS</x:v>
      </x:c>
      <x:c r="Y89" t="n">
        <x:v>80</x:v>
      </x:c>
      <x:c r="Z89" t="str">
        <x:v>Success</x:v>
      </x:c>
      <x:c r="AA89"/>
      <x:c r="AB89"/>
      <x:c r="AC89" s="13"/>
      <x:c r="AD89" t="n">
        <x:v>0</x:v>
      </x:c>
      <x:c r="AE89" s="19" t="n">
        <x:v>43764</x:v>
      </x:c>
      <x:c r="AF89" t="str">
        <x:v>deepseek-v4-pro</x:v>
      </x:c>
      <x:c r="AG89" s="20" t="n">
        <x:v>46237.17930131945</x:v>
      </x:c>
      <x:c r="AH89" t="n">
        <x:v>200</x:v>
      </x:c>
      <x:c r="AI89" t="str">
        <x:v>2a9746db96295420c48229adc4904ca35c0897101607970f158fe6765c81b18b</x:v>
      </x:c>
      <x:c r="AJ89" t="str">
        <x:v>1fbc1da2672050b6b1a1ccd8c0cdb0c420d2f719bdeff82ba998509df8b0da41</x:v>
      </x:c>
    </x:row>
    <x:row r="90">
      <x:c r="A90" s="17" t="str">
        <x:v>089</x:v>
      </x:c>
      <x:c r="B90" t="str">
        <x:v>ZH-NORMAL-029</x:v>
      </x:c>
      <x:c r="C90" s="17" t="str">
        <x:v>029</x:v>
      </x:c>
      <x:c r="D90" t="str">
        <x:v>Normal</x:v>
      </x:c>
      <x:c r="E90" t="n">
        <x:v>50</x:v>
      </x:c>
      <x:c r="F90" t="n">
        <x:v>69</x:v>
      </x:c>
      <x:c r="G90" t="n">
        <x:v>1</x:v>
      </x:c>
      <x:c r="H90" s="18" t="n">
        <x:v>72</x:v>
      </x:c>
      <x:c r="I90" s="18" t="n">
        <x:v>72</x:v>
      </x:c>
      <x:c r="J90" s="18" t="n">
        <x:v>65</x:v>
      </x:c>
      <x:c r="K90" s="18" t="n">
        <x:v>68</x:v>
      </x:c>
      <x:c r="L90" s="18" t="n">
        <x:v>80</x:v>
      </x:c>
      <x:c r="M90" s="18" t="n">
        <x:v>68</x:v>
      </x:c>
      <x:c r="N90" s="18" t="n">
        <x:v>90</x:v>
      </x:c>
      <x:c r="O90" s="18" t="n">
        <x:v>72</x:v>
      </x:c>
      <x:c r="P90" s="18" t="n">
        <x:v>74</x:v>
      </x:c>
      <x:c r="Q90" t="str">
        <x:v>No</x:v>
      </x:c>
      <x:c r="R90" s="18" t="n">
        <x:v>3</x:v>
      </x:c>
      <x:c r="S90" s="18" t="n">
        <x:v>0</x:v>
      </x:c>
      <x:c r="T90" s="18" t="n">
        <x:v>3</x:v>
      </x:c>
      <x:c r="U90" t="str">
        <x:v>Good</x:v>
      </x:c>
      <x:c r="V90" t="str">
        <x:v>No</x:v>
      </x:c>
      <x:c r="W90" t="str">
        <x:v>SUBSTANTIAL_REWRITE</x:v>
      </x:c>
      <x:c r="X90" t="str">
        <x:v>REWRITE_REQUIRED</x:v>
      </x:c>
      <x:c r="Y90" t="n">
        <x:v>80</x:v>
      </x:c>
      <x:c r="Z90" t="str">
        <x:v>Success</x:v>
      </x:c>
      <x:c r="AA90"/>
      <x:c r="AB90"/>
      <x:c r="AC90" s="13"/>
      <x:c r="AD90" t="n">
        <x:v>0</x:v>
      </x:c>
      <x:c r="AE90" s="19" t="n">
        <x:v>101450</x:v>
      </x:c>
      <x:c r="AF90" t="str">
        <x:v>deepseek-v4-pro</x:v>
      </x:c>
      <x:c r="AG90" s="20" t="n">
        <x:v>46237.180475532405</x:v>
      </x:c>
      <x:c r="AH90" t="n">
        <x:v>200</x:v>
      </x:c>
      <x:c r="AI90" t="str">
        <x:v>6d69c49b55489cb257e5956a5b161b3ce6ff64bba355a4b9a1e5a97f78766ea2</x:v>
      </x:c>
      <x:c r="AJ90" t="str">
        <x:v>1fbc1da2672050b6b1a1ccd8c0cdb0c420d2f719bdeff82ba998509df8b0da41</x:v>
      </x:c>
    </x:row>
    <x:row r="91">
      <x:c r="A91" s="17" t="str">
        <x:v>090</x:v>
      </x:c>
      <x:c r="B91" t="str">
        <x:v>ZH-NORMAL-030</x:v>
      </x:c>
      <x:c r="C91" s="17" t="str">
        <x:v>030</x:v>
      </x:c>
      <x:c r="D91" t="str">
        <x:v>Normal</x:v>
      </x:c>
      <x:c r="E91" t="n">
        <x:v>50</x:v>
      </x:c>
      <x:c r="F91" t="n">
        <x:v>69</x:v>
      </x:c>
      <x:c r="G91" t="n">
        <x:v>1</x:v>
      </x:c>
      <x:c r="H91" s="18" t="n">
        <x:v>89</x:v>
      </x:c>
      <x:c r="I91" s="18" t="n">
        <x:v>90</x:v>
      </x:c>
      <x:c r="J91" s="18" t="n">
        <x:v>85</x:v>
      </x:c>
      <x:c r="K91" s="18" t="n">
        <x:v>85</x:v>
      </x:c>
      <x:c r="L91" s="18" t="n">
        <x:v>90</x:v>
      </x:c>
      <x:c r="M91" s="18" t="n">
        <x:v>90</x:v>
      </x:c>
      <x:c r="N91" s="18" t="n">
        <x:v>95</x:v>
      </x:c>
      <x:c r="O91" s="18" t="n">
        <x:v>89</x:v>
      </x:c>
      <x:c r="P91" s="18" t="n">
        <x:v>89</x:v>
      </x:c>
      <x:c r="Q91" t="str">
        <x:v>No</x:v>
      </x:c>
      <x:c r="R91" s="18" t="n">
        <x:v>20</x:v>
      </x:c>
      <x:c r="S91" s="18" t="n">
        <x:v>0</x:v>
      </x:c>
      <x:c r="T91" s="18" t="n">
        <x:v>20</x:v>
      </x:c>
      <x:c r="U91" t="str">
        <x:v>Excellent</x:v>
      </x:c>
      <x:c r="V91" t="str">
        <x:v>No</x:v>
      </x:c>
      <x:c r="W91" t="str">
        <x:v>STRONG_LIMITED_EDITING</x:v>
      </x:c>
      <x:c r="X91" t="str">
        <x:v>PASS</x:v>
      </x:c>
      <x:c r="Y91" t="n">
        <x:v>80</x:v>
      </x:c>
      <x:c r="Z91" t="str">
        <x:v>Success</x:v>
      </x:c>
      <x:c r="AA91"/>
      <x:c r="AB91"/>
      <x:c r="AC91" s="13"/>
      <x:c r="AD91" t="n">
        <x:v>0</x:v>
      </x:c>
      <x:c r="AE91" s="19" t="n">
        <x:v>53705</x:v>
      </x:c>
      <x:c r="AF91" t="str">
        <x:v>deepseek-v4-pro</x:v>
      </x:c>
      <x:c r="AG91" s="20" t="n">
        <x:v>46237.181097256944</x:v>
      </x:c>
      <x:c r="AH91" t="n">
        <x:v>200</x:v>
      </x:c>
      <x:c r="AI91" t="str">
        <x:v>f21eb7325528b253a3a901d089a99e59df2623d41434d665c8b2884b7b3fa7ff</x:v>
      </x:c>
      <x:c r="AJ91" t="str">
        <x:v>1fbc1da2672050b6b1a1ccd8c0cdb0c420d2f719bdeff82ba998509df8b0da41</x:v>
      </x:c>
    </x:row>
    <x:row r="92">
      <x:c r="A92" s="17" t="str">
        <x:v>091</x:v>
      </x:c>
      <x:c r="B92" t="str">
        <x:v>ZH-BAD-001</x:v>
      </x:c>
      <x:c r="C92" s="17" t="str">
        <x:v>001</x:v>
      </x:c>
      <x:c r="D92" t="str">
        <x:v>Bad</x:v>
      </x:c>
      <x:c r="E92" t="n">
        <x:v>30</x:v>
      </x:c>
      <x:c r="F92" t="n">
        <x:v>49</x:v>
      </x:c>
      <x:c r="G92" t="n">
        <x:v>1</x:v>
      </x:c>
      <x:c r="H92" s="18" t="n">
        <x:v>40</x:v>
      </x:c>
      <x:c r="I92" s="18" t="n">
        <x:v>45</x:v>
      </x:c>
      <x:c r="J92" s="18" t="n">
        <x:v>35</x:v>
      </x:c>
      <x:c r="K92" s="18" t="n">
        <x:v>40</x:v>
      </x:c>
      <x:c r="L92" s="18" t="n">
        <x:v>40</x:v>
      </x:c>
      <x:c r="M92" s="18" t="n">
        <x:v>30</x:v>
      </x:c>
      <x:c r="N92" s="18" t="n">
        <x:v>55</x:v>
      </x:c>
      <x:c r="O92" s="18" t="n">
        <x:v>40</x:v>
      </x:c>
      <x:c r="P92" s="18" t="n">
        <x:v>59</x:v>
      </x:c>
      <x:c r="Q92" t="str">
        <x:v>Yes</x:v>
      </x:c>
      <x:c r="R92" s="18" t="n">
        <x:v>0</x:v>
      </x:c>
      <x:c r="S92" s="18" t="n">
        <x:v>0</x:v>
      </x:c>
      <x:c r="T92" s="18" t="n">
        <x:v>0</x:v>
      </x:c>
      <x:c r="U92" t="str">
        <x:v>Bad</x:v>
      </x:c>
      <x:c r="V92" t="str">
        <x:v>Yes</x:v>
      </x:c>
      <x:c r="W92" t="str">
        <x:v>WEAK</x:v>
      </x:c>
      <x:c r="X92" t="str">
        <x:v>REWRITE_REQUIRED</x:v>
      </x:c>
      <x:c r="Y92" t="n">
        <x:v>80</x:v>
      </x:c>
      <x:c r="Z92" t="str">
        <x:v>Success</x:v>
      </x:c>
      <x:c r="AA92"/>
      <x:c r="AB92"/>
      <x:c r="AC92" s="13"/>
      <x:c r="AD92" t="n">
        <x:v>0</x:v>
      </x:c>
      <x:c r="AE92" s="19" t="n">
        <x:v>91568</x:v>
      </x:c>
      <x:c r="AF92" t="str">
        <x:v>deepseek-v4-pro</x:v>
      </x:c>
      <x:c r="AG92" s="20" t="n">
        <x:v>46237.158223252314</x:v>
      </x:c>
      <x:c r="AH92" t="n">
        <x:v>200</x:v>
      </x:c>
      <x:c r="AI92" t="str">
        <x:v>cb99f8e07b5b858383fea6b4eb2ab4bdae52b7f43a1a08345cf02bd8885526dc</x:v>
      </x:c>
      <x:c r="AJ92" t="str">
        <x:v>1fbc1da2672050b6b1a1ccd8c0cdb0c420d2f719bdeff82ba998509df8b0da41</x:v>
      </x:c>
    </x:row>
    <x:row r="93">
      <x:c r="A93" s="17" t="str">
        <x:v>092</x:v>
      </x:c>
      <x:c r="B93" t="str">
        <x:v>ZH-BAD-002</x:v>
      </x:c>
      <x:c r="C93" s="17" t="str">
        <x:v>002</x:v>
      </x:c>
      <x:c r="D93" t="str">
        <x:v>Bad</x:v>
      </x:c>
      <x:c r="E93" t="n">
        <x:v>30</x:v>
      </x:c>
      <x:c r="F93" t="n">
        <x:v>49</x:v>
      </x:c>
      <x:c r="G93" t="n">
        <x:v>1</x:v>
      </x:c>
      <x:c r="H93" s="18" t="n">
        <x:v>74</x:v>
      </x:c>
      <x:c r="I93" s="18" t="n">
        <x:v>85</x:v>
      </x:c>
      <x:c r="J93" s="18" t="n">
        <x:v>72</x:v>
      </x:c>
      <x:c r="K93" s="18" t="n">
        <x:v>80</x:v>
      </x:c>
      <x:c r="L93" s="18" t="n">
        <x:v>82</x:v>
      </x:c>
      <x:c r="M93" s="18" t="n">
        <x:v>68</x:v>
      </x:c>
      <x:c r="N93" s="18" t="n">
        <x:v>90</x:v>
      </x:c>
      <x:c r="O93" s="18" t="n">
        <x:v>79</x:v>
      </x:c>
      <x:c r="P93" s="18" t="n">
        <x:v>74</x:v>
      </x:c>
      <x:c r="Q93" t="str">
        <x:v>No</x:v>
      </x:c>
      <x:c r="R93" s="18" t="n">
        <x:v>25</x:v>
      </x:c>
      <x:c r="S93" s="18" t="n">
        <x:v>0</x:v>
      </x:c>
      <x:c r="T93" s="18" t="n">
        <x:v>25</x:v>
      </x:c>
      <x:c r="U93" t="str">
        <x:v>Good</x:v>
      </x:c>
      <x:c r="V93" t="str">
        <x:v>No</x:v>
      </x:c>
      <x:c r="W93" t="str">
        <x:v>SUBSTANTIAL_REWRITE</x:v>
      </x:c>
      <x:c r="X93" t="str">
        <x:v>REWRITE_REQUIRED</x:v>
      </x:c>
      <x:c r="Y93" t="n">
        <x:v>80</x:v>
      </x:c>
      <x:c r="Z93" t="str">
        <x:v>Success</x:v>
      </x:c>
      <x:c r="AA93"/>
      <x:c r="AB93"/>
      <x:c r="AC93" s="13"/>
      <x:c r="AD93" t="n">
        <x:v>0</x:v>
      </x:c>
      <x:c r="AE93" s="19" t="n">
        <x:v>82804</x:v>
      </x:c>
      <x:c r="AF93" t="str">
        <x:v>deepseek-v4-pro</x:v>
      </x:c>
      <x:c r="AG93" s="20" t="n">
        <x:v>46237.15918164352</x:v>
      </x:c>
      <x:c r="AH93" t="n">
        <x:v>200</x:v>
      </x:c>
      <x:c r="AI93" t="str">
        <x:v>4e3a73618feea74808a4757469eb93754de5bab33032f89c04dfc70d40abfd4c</x:v>
      </x:c>
      <x:c r="AJ93" t="str">
        <x:v>1fbc1da2672050b6b1a1ccd8c0cdb0c420d2f719bdeff82ba998509df8b0da41</x:v>
      </x:c>
    </x:row>
    <x:row r="94">
      <x:c r="A94" s="17" t="str">
        <x:v>093</x:v>
      </x:c>
      <x:c r="B94" t="str">
        <x:v>ZH-BAD-003</x:v>
      </x:c>
      <x:c r="C94" s="17" t="str">
        <x:v>003</x:v>
      </x:c>
      <x:c r="D94" t="str">
        <x:v>Bad</x:v>
      </x:c>
      <x:c r="E94" t="n">
        <x:v>30</x:v>
      </x:c>
      <x:c r="F94" t="n">
        <x:v>49</x:v>
      </x:c>
      <x:c r="G94" t="n">
        <x:v>1</x:v>
      </x:c>
      <x:c r="H94" s="18" t="n">
        <x:v>71</x:v>
      </x:c>
      <x:c r="I94" s="18" t="n">
        <x:v>85</x:v>
      </x:c>
      <x:c r="J94" s="18" t="n">
        <x:v>65</x:v>
      </x:c>
      <x:c r="K94" s="18" t="n">
        <x:v>70</x:v>
      </x:c>
      <x:c r="L94" s="18" t="n">
        <x:v>60</x:v>
      </x:c>
      <x:c r="M94" s="18" t="n">
        <x:v>60</x:v>
      </x:c>
      <x:c r="N94" s="18" t="n">
        <x:v>80</x:v>
      </x:c>
      <x:c r="O94" s="18" t="n">
        <x:v>71</x:v>
      </x:c>
      <x:c r="P94" s="18" t="n">
        <x:v>74</x:v>
      </x:c>
      <x:c r="Q94" t="str">
        <x:v>No</x:v>
      </x:c>
      <x:c r="R94" s="18" t="n">
        <x:v>22</x:v>
      </x:c>
      <x:c r="S94" s="18" t="n">
        <x:v>0</x:v>
      </x:c>
      <x:c r="T94" s="18" t="n">
        <x:v>22</x:v>
      </x:c>
      <x:c r="U94" t="str">
        <x:v>Good</x:v>
      </x:c>
      <x:c r="V94" t="str">
        <x:v>No</x:v>
      </x:c>
      <x:c r="W94" t="str">
        <x:v>SUBSTANTIAL_REWRITE</x:v>
      </x:c>
      <x:c r="X94" t="str">
        <x:v>REWRITE_REQUIRED</x:v>
      </x:c>
      <x:c r="Y94" t="n">
        <x:v>80</x:v>
      </x:c>
      <x:c r="Z94" t="str">
        <x:v>Success</x:v>
      </x:c>
      <x:c r="AA94"/>
      <x:c r="AB94"/>
      <x:c r="AC94" s="13"/>
      <x:c r="AD94" t="n">
        <x:v>1</x:v>
      </x:c>
      <x:c r="AE94" s="19" t="n">
        <x:v>164590</x:v>
      </x:c>
      <x:c r="AF94" t="str">
        <x:v>deepseek-v4-pro</x:v>
      </x:c>
      <x:c r="AG94" s="20" t="n">
        <x:v>46237.161086631946</x:v>
      </x:c>
      <x:c r="AH94" t="n">
        <x:v>200</x:v>
      </x:c>
      <x:c r="AI94" t="str">
        <x:v>1772ae22edf1e1e5fb7487b69efbe34089900f9da305a7f8b5197ae2e26b1ef3</x:v>
      </x:c>
      <x:c r="AJ94" t="str">
        <x:v>1fbc1da2672050b6b1a1ccd8c0cdb0c420d2f719bdeff82ba998509df8b0da41</x:v>
      </x:c>
    </x:row>
    <x:row r="95">
      <x:c r="A95" s="17" t="str">
        <x:v>094</x:v>
      </x:c>
      <x:c r="B95" t="str">
        <x:v>ZH-BAD-004</x:v>
      </x:c>
      <x:c r="C95" s="17" t="str">
        <x:v>004</x:v>
      </x:c>
      <x:c r="D95" t="str">
        <x:v>Bad</x:v>
      </x:c>
      <x:c r="E95" t="n">
        <x:v>30</x:v>
      </x:c>
      <x:c r="F95" t="n">
        <x:v>49</x:v>
      </x:c>
      <x:c r="G95" t="n">
        <x:v>1</x:v>
      </x:c>
      <x:c r="H95" s="18" t="n">
        <x:v>51</x:v>
      </x:c>
      <x:c r="I95" s="18" t="n">
        <x:v>50</x:v>
      </x:c>
      <x:c r="J95" s="18" t="n">
        <x:v>40</x:v>
      </x:c>
      <x:c r="K95" s="18" t="n">
        <x:v>50</x:v>
      </x:c>
      <x:c r="L95" s="18" t="n">
        <x:v>45</x:v>
      </x:c>
      <x:c r="M95" s="18" t="n">
        <x:v>45</x:v>
      </x:c>
      <x:c r="N95" s="18" t="n">
        <x:v>95</x:v>
      </x:c>
      <x:c r="O95" s="18" t="n">
        <x:v>51</x:v>
      </x:c>
      <x:c r="P95" s="18" t="n">
        <x:v>59</x:v>
      </x:c>
      <x:c r="Q95" t="str">
        <x:v>No</x:v>
      </x:c>
      <x:c r="R95" s="18" t="n">
        <x:v>2</x:v>
      </x:c>
      <x:c r="S95" s="18" t="n">
        <x:v>0</x:v>
      </x:c>
      <x:c r="T95" s="18" t="n">
        <x:v>2</x:v>
      </x:c>
      <x:c r="U95" t="str">
        <x:v>Normal</x:v>
      </x:c>
      <x:c r="V95" t="str">
        <x:v>No</x:v>
      </x:c>
      <x:c r="W95" t="str">
        <x:v>WEAK</x:v>
      </x:c>
      <x:c r="X95" t="str">
        <x:v>REWRITE_REQUIRED</x:v>
      </x:c>
      <x:c r="Y95" t="n">
        <x:v>80</x:v>
      </x:c>
      <x:c r="Z95" t="str">
        <x:v>Success</x:v>
      </x:c>
      <x:c r="AA95"/>
      <x:c r="AB95"/>
      <x:c r="AC95" s="13"/>
      <x:c r="AD95" t="n">
        <x:v>0</x:v>
      </x:c>
      <x:c r="AE95" s="19" t="n">
        <x:v>103854</x:v>
      </x:c>
      <x:c r="AF95" t="str">
        <x:v>deepseek-v4-pro</x:v>
      </x:c>
      <x:c r="AG95" s="20" t="n">
        <x:v>46237.162288680556</x:v>
      </x:c>
      <x:c r="AH95" t="n">
        <x:v>200</x:v>
      </x:c>
      <x:c r="AI95" t="str">
        <x:v>a5c9b197b53b91b28f3edb8def1618e2d7d48efff86796fa3606a9c05ab94e0c</x:v>
      </x:c>
      <x:c r="AJ95" t="str">
        <x:v>1fbc1da2672050b6b1a1ccd8c0cdb0c420d2f719bdeff82ba998509df8b0da41</x:v>
      </x:c>
    </x:row>
    <x:row r="96">
      <x:c r="A96" s="17" t="str">
        <x:v>095</x:v>
      </x:c>
      <x:c r="B96" t="str">
        <x:v>ZH-BAD-005</x:v>
      </x:c>
      <x:c r="C96" s="17" t="str">
        <x:v>005</x:v>
      </x:c>
      <x:c r="D96" t="str">
        <x:v>Bad</x:v>
      </x:c>
      <x:c r="E96" t="n">
        <x:v>30</x:v>
      </x:c>
      <x:c r="F96" t="n">
        <x:v>49</x:v>
      </x:c>
      <x:c r="G96" t="n">
        <x:v>1</x:v>
      </x:c>
      <x:c r="H96" s="18" t="n">
        <x:v>59</x:v>
      </x:c>
      <x:c r="I96" s="18" t="n">
        <x:v>75</x:v>
      </x:c>
      <x:c r="J96" s="18" t="n">
        <x:v>70</x:v>
      </x:c>
      <x:c r="K96" s="18" t="n">
        <x:v>60</x:v>
      </x:c>
      <x:c r="L96" s="18" t="n">
        <x:v>68</x:v>
      </x:c>
      <x:c r="M96" s="18" t="n">
        <x:v>50</x:v>
      </x:c>
      <x:c r="N96" s="18" t="n">
        <x:v>45</x:v>
      </x:c>
      <x:c r="O96" s="18" t="n">
        <x:v>64</x:v>
      </x:c>
      <x:c r="P96" s="18" t="n">
        <x:v>59</x:v>
      </x:c>
      <x:c r="Q96" t="str">
        <x:v>No</x:v>
      </x:c>
      <x:c r="R96" s="18" t="n">
        <x:v>10</x:v>
      </x:c>
      <x:c r="S96" s="18" t="n">
        <x:v>0</x:v>
      </x:c>
      <x:c r="T96" s="18" t="n">
        <x:v>10</x:v>
      </x:c>
      <x:c r="U96" t="str">
        <x:v>Normal</x:v>
      </x:c>
      <x:c r="V96" t="str">
        <x:v>No</x:v>
      </x:c>
      <x:c r="W96" t="str">
        <x:v>WEAK</x:v>
      </x:c>
      <x:c r="X96" t="str">
        <x:v>REWRITE_REQUIRED</x:v>
      </x:c>
      <x:c r="Y96" t="n">
        <x:v>80</x:v>
      </x:c>
      <x:c r="Z96" t="str">
        <x:v>Success</x:v>
      </x:c>
      <x:c r="AA96"/>
      <x:c r="AB96"/>
      <x:c r="AC96" s="13"/>
      <x:c r="AD96" t="n">
        <x:v>0</x:v>
      </x:c>
      <x:c r="AE96" s="19" t="n">
        <x:v>103635</x:v>
      </x:c>
      <x:c r="AF96" t="str">
        <x:v>deepseek-v4-pro</x:v>
      </x:c>
      <x:c r="AG96" s="20" t="n">
        <x:v>46237.163488171296</x:v>
      </x:c>
      <x:c r="AH96" t="n">
        <x:v>200</x:v>
      </x:c>
      <x:c r="AI96" t="str">
        <x:v>da485c9d55c28cea9c11999f26d041a36b375dfb52e2b9ef615297df6f2cbf0e</x:v>
      </x:c>
      <x:c r="AJ96" t="str">
        <x:v>1fbc1da2672050b6b1a1ccd8c0cdb0c420d2f719bdeff82ba998509df8b0da41</x:v>
      </x:c>
    </x:row>
    <x:row r="97">
      <x:c r="A97" s="17" t="str">
        <x:v>096</x:v>
      </x:c>
      <x:c r="B97" t="str">
        <x:v>ZH-BAD-006</x:v>
      </x:c>
      <x:c r="C97" s="17" t="str">
        <x:v>006</x:v>
      </x:c>
      <x:c r="D97" t="str">
        <x:v>Bad</x:v>
      </x:c>
      <x:c r="E97" t="n">
        <x:v>30</x:v>
      </x:c>
      <x:c r="F97" t="n">
        <x:v>49</x:v>
      </x:c>
      <x:c r="G97" t="n">
        <x:v>1</x:v>
      </x:c>
      <x:c r="H97" s="18" t="n">
        <x:v>59</x:v>
      </x:c>
      <x:c r="I97" s="18" t="n">
        <x:v>68</x:v>
      </x:c>
      <x:c r="J97" s="18" t="n">
        <x:v>50</x:v>
      </x:c>
      <x:c r="K97" s="18" t="n">
        <x:v>55</x:v>
      </x:c>
      <x:c r="L97" s="18" t="n">
        <x:v>50</x:v>
      </x:c>
      <x:c r="M97" s="18" t="n">
        <x:v>45</x:v>
      </x:c>
      <x:c r="N97" s="18" t="n">
        <x:v>90</x:v>
      </x:c>
      <x:c r="O97" s="18" t="n">
        <x:v>59</x:v>
      </x:c>
      <x:c r="P97" s="18" t="n">
        <x:v>59</x:v>
      </x:c>
      <x:c r="Q97" t="str">
        <x:v>No</x:v>
      </x:c>
      <x:c r="R97" s="18" t="n">
        <x:v>10</x:v>
      </x:c>
      <x:c r="S97" s="18" t="n">
        <x:v>0</x:v>
      </x:c>
      <x:c r="T97" s="18" t="n">
        <x:v>10</x:v>
      </x:c>
      <x:c r="U97" t="str">
        <x:v>Normal</x:v>
      </x:c>
      <x:c r="V97" t="str">
        <x:v>No</x:v>
      </x:c>
      <x:c r="W97" t="str">
        <x:v>WEAK</x:v>
      </x:c>
      <x:c r="X97" t="str">
        <x:v>REWRITE_REQUIRED</x:v>
      </x:c>
      <x:c r="Y97" t="n">
        <x:v>80</x:v>
      </x:c>
      <x:c r="Z97" t="str">
        <x:v>Success</x:v>
      </x:c>
      <x:c r="AA97"/>
      <x:c r="AB97"/>
      <x:c r="AC97" s="13"/>
      <x:c r="AD97" t="n">
        <x:v>0</x:v>
      </x:c>
      <x:c r="AE97" s="19" t="n">
        <x:v>62795</x:v>
      </x:c>
      <x:c r="AF97" t="str">
        <x:v>deepseek-v4-pro</x:v>
      </x:c>
      <x:c r="AG97" s="20" t="n">
        <x:v>46237.16421497685</x:v>
      </x:c>
      <x:c r="AH97" t="n">
        <x:v>200</x:v>
      </x:c>
      <x:c r="AI97" t="str">
        <x:v>9c8c1bebfc261e1e69df4e1119453268d35773f05acc4bab0ca2195a6399f030</x:v>
      </x:c>
      <x:c r="AJ97" t="str">
        <x:v>1fbc1da2672050b6b1a1ccd8c0cdb0c420d2f719bdeff82ba998509df8b0da41</x:v>
      </x:c>
    </x:row>
    <x:row r="98">
      <x:c r="A98" s="17" t="str">
        <x:v>097</x:v>
      </x:c>
      <x:c r="B98" t="str">
        <x:v>ZH-BAD-007</x:v>
      </x:c>
      <x:c r="C98" s="17" t="str">
        <x:v>007</x:v>
      </x:c>
      <x:c r="D98" t="str">
        <x:v>Bad</x:v>
      </x:c>
      <x:c r="E98" t="n">
        <x:v>30</x:v>
      </x:c>
      <x:c r="F98" t="n">
        <x:v>49</x:v>
      </x:c>
      <x:c r="G98" t="n">
        <x:v>1</x:v>
      </x:c>
      <x:c r="H98" s="18" t="n">
        <x:v>58</x:v>
      </x:c>
      <x:c r="I98" s="18" t="n">
        <x:v>65</x:v>
      </x:c>
      <x:c r="J98" s="18" t="n">
        <x:v>45</x:v>
      </x:c>
      <x:c r="K98" s="18" t="n">
        <x:v>60</x:v>
      </x:c>
      <x:c r="L98" s="18" t="n">
        <x:v>62</x:v>
      </x:c>
      <x:c r="M98" s="18" t="n">
        <x:v>55</x:v>
      </x:c>
      <x:c r="N98" s="18" t="n">
        <x:v>65</x:v>
      </x:c>
      <x:c r="O98" s="18" t="n">
        <x:v>58</x:v>
      </x:c>
      <x:c r="P98" s="18" t="n">
        <x:v>59</x:v>
      </x:c>
      <x:c r="Q98" t="str">
        <x:v>No</x:v>
      </x:c>
      <x:c r="R98" s="18" t="n">
        <x:v>9</x:v>
      </x:c>
      <x:c r="S98" s="18" t="n">
        <x:v>0</x:v>
      </x:c>
      <x:c r="T98" s="18" t="n">
        <x:v>9</x:v>
      </x:c>
      <x:c r="U98" t="str">
        <x:v>Normal</x:v>
      </x:c>
      <x:c r="V98" t="str">
        <x:v>No</x:v>
      </x:c>
      <x:c r="W98" t="str">
        <x:v>WEAK</x:v>
      </x:c>
      <x:c r="X98" t="str">
        <x:v>REWRITE_REQUIRED</x:v>
      </x:c>
      <x:c r="Y98" t="n">
        <x:v>80</x:v>
      </x:c>
      <x:c r="Z98" t="str">
        <x:v>Success</x:v>
      </x:c>
      <x:c r="AA98"/>
      <x:c r="AB98"/>
      <x:c r="AC98" s="13"/>
      <x:c r="AD98" t="n">
        <x:v>0</x:v>
      </x:c>
      <x:c r="AE98" s="19" t="n">
        <x:v>81776</x:v>
      </x:c>
      <x:c r="AF98" t="str">
        <x:v>deepseek-v4-pro</x:v>
      </x:c>
      <x:c r="AG98" s="20" t="n">
        <x:v>46237.165161481484</x:v>
      </x:c>
      <x:c r="AH98" t="n">
        <x:v>200</x:v>
      </x:c>
      <x:c r="AI98" t="str">
        <x:v>9acb3c6e79e2192fd2f124b14abb1385c9f3cc6e4ce809b46e51a29739fbc826</x:v>
      </x:c>
      <x:c r="AJ98" t="str">
        <x:v>1fbc1da2672050b6b1a1ccd8c0cdb0c420d2f719bdeff82ba998509df8b0da41</x:v>
      </x:c>
    </x:row>
    <x:row r="99">
      <x:c r="A99" s="17" t="str">
        <x:v>098</x:v>
      </x:c>
      <x:c r="B99" t="str">
        <x:v>ZH-BAD-008</x:v>
      </x:c>
      <x:c r="C99" s="17" t="str">
        <x:v>008</x:v>
      </x:c>
      <x:c r="D99" t="str">
        <x:v>Bad</x:v>
      </x:c>
      <x:c r="E99" t="n">
        <x:v>30</x:v>
      </x:c>
      <x:c r="F99" t="n">
        <x:v>49</x:v>
      </x:c>
      <x:c r="G99" t="n">
        <x:v>1</x:v>
      </x:c>
      <x:c r="H99" s="18" t="n">
        <x:v>50</x:v>
      </x:c>
      <x:c r="I99" s="18" t="n">
        <x:v>55</x:v>
      </x:c>
      <x:c r="J99" s="18" t="n">
        <x:v>40</x:v>
      </x:c>
      <x:c r="K99" s="18" t="n">
        <x:v>45</x:v>
      </x:c>
      <x:c r="L99" s="18" t="n">
        <x:v>45</x:v>
      </x:c>
      <x:c r="M99" s="18" t="n">
        <x:v>45</x:v>
      </x:c>
      <x:c r="N99" s="18" t="n">
        <x:v>80</x:v>
      </x:c>
      <x:c r="O99" s="18" t="n">
        <x:v>50</x:v>
      </x:c>
      <x:c r="P99" s="18" t="n">
        <x:v>59</x:v>
      </x:c>
      <x:c r="Q99" t="str">
        <x:v>No</x:v>
      </x:c>
      <x:c r="R99" s="18" t="n">
        <x:v>1</x:v>
      </x:c>
      <x:c r="S99" s="18" t="n">
        <x:v>0</x:v>
      </x:c>
      <x:c r="T99" s="18" t="n">
        <x:v>1</x:v>
      </x:c>
      <x:c r="U99" t="str">
        <x:v>Normal</x:v>
      </x:c>
      <x:c r="V99" t="str">
        <x:v>No</x:v>
      </x:c>
      <x:c r="W99" t="str">
        <x:v>WEAK</x:v>
      </x:c>
      <x:c r="X99" t="str">
        <x:v>REWRITE_REQUIRED</x:v>
      </x:c>
      <x:c r="Y99" t="n">
        <x:v>80</x:v>
      </x:c>
      <x:c r="Z99" t="str">
        <x:v>Success</x:v>
      </x:c>
      <x:c r="AA99"/>
      <x:c r="AB99"/>
      <x:c r="AC99" s="13"/>
      <x:c r="AD99" t="n">
        <x:v>0</x:v>
      </x:c>
      <x:c r="AE99" s="19" t="n">
        <x:v>86693</x:v>
      </x:c>
      <x:c r="AF99" t="str">
        <x:v>deepseek-v4-pro</x:v>
      </x:c>
      <x:c r="AG99" s="20" t="n">
        <x:v>46237.16616489583</x:v>
      </x:c>
      <x:c r="AH99" t="n">
        <x:v>200</x:v>
      </x:c>
      <x:c r="AI99" t="str">
        <x:v>ff1ac7ecbc391cf772935ed422ed25c621e1c9f95bff55c15d87855c19d3b25d</x:v>
      </x:c>
      <x:c r="AJ99" t="str">
        <x:v>1fbc1da2672050b6b1a1ccd8c0cdb0c420d2f719bdeff82ba998509df8b0da41</x:v>
      </x:c>
    </x:row>
    <x:row r="100">
      <x:c r="A100" s="17" t="str">
        <x:v>099</x:v>
      </x:c>
      <x:c r="B100" t="str">
        <x:v>ZH-BAD-009</x:v>
      </x:c>
      <x:c r="C100" s="17" t="str">
        <x:v>009</x:v>
      </x:c>
      <x:c r="D100" t="str">
        <x:v>Bad</x:v>
      </x:c>
      <x:c r="E100" t="n">
        <x:v>30</x:v>
      </x:c>
      <x:c r="F100" t="n">
        <x:v>49</x:v>
      </x:c>
      <x:c r="G100" t="n">
        <x:v>1</x:v>
      </x:c>
      <x:c r="H100" s="18" t="n">
        <x:v>74</x:v>
      </x:c>
      <x:c r="I100" s="18" t="n">
        <x:v>78</x:v>
      </x:c>
      <x:c r="J100" s="18" t="n">
        <x:v>70</x:v>
      </x:c>
      <x:c r="K100" s="18" t="n">
        <x:v>68</x:v>
      </x:c>
      <x:c r="L100" s="18" t="n">
        <x:v>72</x:v>
      </x:c>
      <x:c r="M100" s="18" t="n">
        <x:v>65</x:v>
      </x:c>
      <x:c r="N100" s="18" t="n">
        <x:v>95</x:v>
      </x:c>
      <x:c r="O100" s="18" t="n">
        <x:v>74</x:v>
      </x:c>
      <x:c r="P100" s="18" t="n">
        <x:v>74</x:v>
      </x:c>
      <x:c r="Q100" t="str">
        <x:v>No</x:v>
      </x:c>
      <x:c r="R100" s="18" t="n">
        <x:v>25</x:v>
      </x:c>
      <x:c r="S100" s="18" t="n">
        <x:v>0</x:v>
      </x:c>
      <x:c r="T100" s="18" t="n">
        <x:v>25</x:v>
      </x:c>
      <x:c r="U100" t="str">
        <x:v>Good</x:v>
      </x:c>
      <x:c r="V100" t="str">
        <x:v>No</x:v>
      </x:c>
      <x:c r="W100" t="str">
        <x:v>SUBSTANTIAL_REWRITE</x:v>
      </x:c>
      <x:c r="X100" t="str">
        <x:v>REWRITE_REQUIRED</x:v>
      </x:c>
      <x:c r="Y100" t="n">
        <x:v>80</x:v>
      </x:c>
      <x:c r="Z100" t="str">
        <x:v>Success</x:v>
      </x:c>
      <x:c r="AA100"/>
      <x:c r="AB100"/>
      <x:c r="AC100" s="13"/>
      <x:c r="AD100" t="n">
        <x:v>0</x:v>
      </x:c>
      <x:c r="AE100" s="19" t="n">
        <x:v>90381</x:v>
      </x:c>
      <x:c r="AF100" t="str">
        <x:v>deepseek-v4-pro</x:v>
      </x:c>
      <x:c r="AG100" s="20" t="n">
        <x:v>46237.16721099537</x:v>
      </x:c>
      <x:c r="AH100" t="n">
        <x:v>200</x:v>
      </x:c>
      <x:c r="AI100" t="str">
        <x:v>38dc52ecec6a932e1d849f7a9379c0aad8c35450e164c53c30c61826d8e0e0d6</x:v>
      </x:c>
      <x:c r="AJ100" t="str">
        <x:v>1fbc1da2672050b6b1a1ccd8c0cdb0c420d2f719bdeff82ba998509df8b0da41</x:v>
      </x:c>
    </x:row>
    <x:row r="101">
      <x:c r="A101" s="17" t="str">
        <x:v>100</x:v>
      </x:c>
      <x:c r="B101" t="str">
        <x:v>ZH-BAD-010</x:v>
      </x:c>
      <x:c r="C101" s="17" t="str">
        <x:v>010</x:v>
      </x:c>
      <x:c r="D101" t="str">
        <x:v>Bad</x:v>
      </x:c>
      <x:c r="E101" t="n">
        <x:v>30</x:v>
      </x:c>
      <x:c r="F101" t="n">
        <x:v>49</x:v>
      </x:c>
      <x:c r="G101" t="n">
        <x:v>1</x:v>
      </x:c>
      <x:c r="H101" s="18" t="n">
        <x:v>55</x:v>
      </x:c>
      <x:c r="I101" s="18" t="n">
        <x:v>60</x:v>
      </x:c>
      <x:c r="J101" s="18" t="n">
        <x:v>45</x:v>
      </x:c>
      <x:c r="K101" s="18" t="n">
        <x:v>55</x:v>
      </x:c>
      <x:c r="L101" s="18" t="n">
        <x:v>60</x:v>
      </x:c>
      <x:c r="M101" s="18" t="n">
        <x:v>50</x:v>
      </x:c>
      <x:c r="N101" s="18" t="n">
        <x:v>65</x:v>
      </x:c>
      <x:c r="O101" s="18" t="n">
        <x:v>55</x:v>
      </x:c>
      <x:c r="P101" s="18" t="n">
        <x:v>59</x:v>
      </x:c>
      <x:c r="Q101" t="str">
        <x:v>No</x:v>
      </x:c>
      <x:c r="R101" s="18" t="n">
        <x:v>6</x:v>
      </x:c>
      <x:c r="S101" s="18" t="n">
        <x:v>0</x:v>
      </x:c>
      <x:c r="T101" s="18" t="n">
        <x:v>6</x:v>
      </x:c>
      <x:c r="U101" t="str">
        <x:v>Normal</x:v>
      </x:c>
      <x:c r="V101" t="str">
        <x:v>No</x:v>
      </x:c>
      <x:c r="W101" t="str">
        <x:v>WEAK</x:v>
      </x:c>
      <x:c r="X101" t="str">
        <x:v>REWRITE_REQUIRED</x:v>
      </x:c>
      <x:c r="Y101" t="n">
        <x:v>80</x:v>
      </x:c>
      <x:c r="Z101" t="str">
        <x:v>Success</x:v>
      </x:c>
      <x:c r="AA101"/>
      <x:c r="AB101"/>
      <x:c r="AC101" s="13"/>
      <x:c r="AD101" t="n">
        <x:v>0</x:v>
      </x:c>
      <x:c r="AE101" s="19" t="n">
        <x:v>90391</x:v>
      </x:c>
      <x:c r="AF101" t="str">
        <x:v>deepseek-v4-pro</x:v>
      </x:c>
      <x:c r="AG101" s="20" t="n">
        <x:v>46237.168257199075</x:v>
      </x:c>
      <x:c r="AH101" t="n">
        <x:v>200</x:v>
      </x:c>
      <x:c r="AI101" t="str">
        <x:v>eb5ef02c1dfe8bcdac2119425b56db8df2028f2590788664ebd8bcb4addc12ce</x:v>
      </x:c>
      <x:c r="AJ101" t="str">
        <x:v>1fbc1da2672050b6b1a1ccd8c0cdb0c420d2f719bdeff82ba998509df8b0da41</x:v>
      </x:c>
    </x:row>
    <x:row r="102">
      <x:c r="A102" s="17" t="str">
        <x:v>101</x:v>
      </x:c>
      <x:c r="B102" t="str">
        <x:v>ZH-BAD-011</x:v>
      </x:c>
      <x:c r="C102" s="17" t="str">
        <x:v>011</x:v>
      </x:c>
      <x:c r="D102" t="str">
        <x:v>Bad</x:v>
      </x:c>
      <x:c r="E102" t="n">
        <x:v>30</x:v>
      </x:c>
      <x:c r="F102" t="n">
        <x:v>49</x:v>
      </x:c>
      <x:c r="G102" t="n">
        <x:v>1</x:v>
      </x:c>
      <x:c r="H102" s="18" t="n">
        <x:v>51</x:v>
      </x:c>
      <x:c r="I102" s="18" t="n">
        <x:v>50</x:v>
      </x:c>
      <x:c r="J102" s="18" t="n">
        <x:v>45</x:v>
      </x:c>
      <x:c r="K102" s="18" t="n">
        <x:v>50</x:v>
      </x:c>
      <x:c r="L102" s="18" t="n">
        <x:v>50</x:v>
      </x:c>
      <x:c r="M102" s="18" t="n">
        <x:v>45</x:v>
      </x:c>
      <x:c r="N102" s="18" t="n">
        <x:v>80</x:v>
      </x:c>
      <x:c r="O102" s="18" t="n">
        <x:v>51</x:v>
      </x:c>
      <x:c r="P102" s="18" t="n">
        <x:v>59</x:v>
      </x:c>
      <x:c r="Q102" t="str">
        <x:v>No</x:v>
      </x:c>
      <x:c r="R102" s="18" t="n">
        <x:v>2</x:v>
      </x:c>
      <x:c r="S102" s="18" t="n">
        <x:v>0</x:v>
      </x:c>
      <x:c r="T102" s="18" t="n">
        <x:v>2</x:v>
      </x:c>
      <x:c r="U102" t="str">
        <x:v>Normal</x:v>
      </x:c>
      <x:c r="V102" t="str">
        <x:v>No</x:v>
      </x:c>
      <x:c r="W102" t="str">
        <x:v>WEAK</x:v>
      </x:c>
      <x:c r="X102" t="str">
        <x:v>REWRITE_REQUIRED</x:v>
      </x:c>
      <x:c r="Y102" t="n">
        <x:v>80</x:v>
      </x:c>
      <x:c r="Z102" t="str">
        <x:v>Success</x:v>
      </x:c>
      <x:c r="AA102"/>
      <x:c r="AB102"/>
      <x:c r="AC102" s="13"/>
      <x:c r="AD102" t="n">
        <x:v>0</x:v>
      </x:c>
      <x:c r="AE102" s="19" t="n">
        <x:v>73907</x:v>
      </x:c>
      <x:c r="AF102" t="str">
        <x:v>deepseek-v4-pro</x:v>
      </x:c>
      <x:c r="AG102" s="20" t="n">
        <x:v>46237.16911267361</x:v>
      </x:c>
      <x:c r="AH102" t="n">
        <x:v>200</x:v>
      </x:c>
      <x:c r="AI102" t="str">
        <x:v>c204b3be59986c798af595f35d591b5ce0a63f7fa9a890d24af20778e5d8c6ea</x:v>
      </x:c>
      <x:c r="AJ102" t="str">
        <x:v>1fbc1da2672050b6b1a1ccd8c0cdb0c420d2f719bdeff82ba998509df8b0da41</x:v>
      </x:c>
    </x:row>
    <x:row r="103">
      <x:c r="A103" s="17" t="str">
        <x:v>102</x:v>
      </x:c>
      <x:c r="B103" t="str">
        <x:v>ZH-BAD-012</x:v>
      </x:c>
      <x:c r="C103" s="17" t="str">
        <x:v>012</x:v>
      </x:c>
      <x:c r="D103" t="str">
        <x:v>Bad</x:v>
      </x:c>
      <x:c r="E103" t="n">
        <x:v>30</x:v>
      </x:c>
      <x:c r="F103" t="n">
        <x:v>49</x:v>
      </x:c>
      <x:c r="G103" t="n">
        <x:v>1</x:v>
      </x:c>
      <x:c r="H103" s="18" t="n">
        <x:v>59</x:v>
      </x:c>
      <x:c r="I103" s="18" t="n">
        <x:v>82</x:v>
      </x:c>
      <x:c r="J103" s="18" t="n">
        <x:v>65</x:v>
      </x:c>
      <x:c r="K103" s="18" t="n">
        <x:v>78</x:v>
      </x:c>
      <x:c r="L103" s="18" t="n">
        <x:v>62</x:v>
      </x:c>
      <x:c r="M103" s="18" t="n">
        <x:v>55</x:v>
      </x:c>
      <x:c r="N103" s="18" t="n">
        <x:v>88</x:v>
      </x:c>
      <x:c r="O103" s="18" t="n">
        <x:v>72</x:v>
      </x:c>
      <x:c r="P103" s="18" t="n">
        <x:v>59</x:v>
      </x:c>
      <x:c r="Q103" t="str">
        <x:v>No</x:v>
      </x:c>
      <x:c r="R103" s="18" t="n">
        <x:v>10</x:v>
      </x:c>
      <x:c r="S103" s="18" t="n">
        <x:v>0</x:v>
      </x:c>
      <x:c r="T103" s="18" t="n">
        <x:v>10</x:v>
      </x:c>
      <x:c r="U103" t="str">
        <x:v>Normal</x:v>
      </x:c>
      <x:c r="V103" t="str">
        <x:v>No</x:v>
      </x:c>
      <x:c r="W103" t="str">
        <x:v>WEAK</x:v>
      </x:c>
      <x:c r="X103" t="str">
        <x:v>REWRITE_REQUIRED</x:v>
      </x:c>
      <x:c r="Y103" t="n">
        <x:v>80</x:v>
      </x:c>
      <x:c r="Z103" t="str">
        <x:v>Success</x:v>
      </x:c>
      <x:c r="AA103"/>
      <x:c r="AB103"/>
      <x:c r="AC103" s="13"/>
      <x:c r="AD103" t="n">
        <x:v>0</x:v>
      </x:c>
      <x:c r="AE103" s="19" t="n">
        <x:v>88628</x:v>
      </x:c>
      <x:c r="AF103" t="str">
        <x:v>deepseek-v4-pro</x:v>
      </x:c>
      <x:c r="AG103" s="20" t="n">
        <x:v>46237.170138472226</x:v>
      </x:c>
      <x:c r="AH103" t="n">
        <x:v>200</x:v>
      </x:c>
      <x:c r="AI103" t="str">
        <x:v>93370753d5238b6f3819448c435f49fd0c36b607889cc25f0a019b438870bc94</x:v>
      </x:c>
      <x:c r="AJ103" t="str">
        <x:v>1fbc1da2672050b6b1a1ccd8c0cdb0c420d2f719bdeff82ba998509df8b0da41</x:v>
      </x:c>
    </x:row>
    <x:row r="104">
      <x:c r="A104" s="17" t="str">
        <x:v>103</x:v>
      </x:c>
      <x:c r="B104" t="str">
        <x:v>ZH-BAD-013</x:v>
      </x:c>
      <x:c r="C104" s="17" t="str">
        <x:v>013</x:v>
      </x:c>
      <x:c r="D104" t="str">
        <x:v>Bad</x:v>
      </x:c>
      <x:c r="E104" t="n">
        <x:v>30</x:v>
      </x:c>
      <x:c r="F104" t="n">
        <x:v>49</x:v>
      </x:c>
      <x:c r="G104" t="n">
        <x:v>1</x:v>
      </x:c>
      <x:c r="H104" s="18" t="n">
        <x:v>50</x:v>
      </x:c>
      <x:c r="I104" s="18" t="n">
        <x:v>62</x:v>
      </x:c>
      <x:c r="J104" s="18" t="n">
        <x:v>45</x:v>
      </x:c>
      <x:c r="K104" s="18" t="n">
        <x:v>50</x:v>
      </x:c>
      <x:c r="L104" s="18" t="n">
        <x:v>50</x:v>
      </x:c>
      <x:c r="M104" s="18" t="n">
        <x:v>45</x:v>
      </x:c>
      <x:c r="N104" s="18" t="n">
        <x:v>40</x:v>
      </x:c>
      <x:c r="O104" s="18" t="n">
        <x:v>50</x:v>
      </x:c>
      <x:c r="P104" s="18" t="n">
        <x:v>59</x:v>
      </x:c>
      <x:c r="Q104" t="str">
        <x:v>No</x:v>
      </x:c>
      <x:c r="R104" s="18" t="n">
        <x:v>1</x:v>
      </x:c>
      <x:c r="S104" s="18" t="n">
        <x:v>0</x:v>
      </x:c>
      <x:c r="T104" s="18" t="n">
        <x:v>1</x:v>
      </x:c>
      <x:c r="U104" t="str">
        <x:v>Normal</x:v>
      </x:c>
      <x:c r="V104" t="str">
        <x:v>No</x:v>
      </x:c>
      <x:c r="W104" t="str">
        <x:v>WEAK</x:v>
      </x:c>
      <x:c r="X104" t="str">
        <x:v>REWRITE_REQUIRED</x:v>
      </x:c>
      <x:c r="Y104" t="n">
        <x:v>80</x:v>
      </x:c>
      <x:c r="Z104" t="str">
        <x:v>Success</x:v>
      </x:c>
      <x:c r="AA104"/>
      <x:c r="AB104"/>
      <x:c r="AC104" s="13"/>
      <x:c r="AD104" t="n">
        <x:v>0</x:v>
      </x:c>
      <x:c r="AE104" s="19" t="n">
        <x:v>57230</x:v>
      </x:c>
      <x:c r="AF104" t="str">
        <x:v>deepseek-v4-pro</x:v>
      </x:c>
      <x:c r="AG104" s="20" t="n">
        <x:v>46237.17080087963</x:v>
      </x:c>
      <x:c r="AH104" t="n">
        <x:v>200</x:v>
      </x:c>
      <x:c r="AI104" t="str">
        <x:v>df2c7c374164241faed1d666a5f2f95880a156ea40d7b56745086f2a9d2b2f32</x:v>
      </x:c>
      <x:c r="AJ104" t="str">
        <x:v>1fbc1da2672050b6b1a1ccd8c0cdb0c420d2f719bdeff82ba998509df8b0da41</x:v>
      </x:c>
    </x:row>
    <x:row r="105">
      <x:c r="A105" s="17" t="str">
        <x:v>104</x:v>
      </x:c>
      <x:c r="B105" t="str">
        <x:v>ZH-BAD-014</x:v>
      </x:c>
      <x:c r="C105" s="17" t="str">
        <x:v>014</x:v>
      </x:c>
      <x:c r="D105" t="str">
        <x:v>Bad</x:v>
      </x:c>
      <x:c r="E105" t="n">
        <x:v>30</x:v>
      </x:c>
      <x:c r="F105" t="n">
        <x:v>49</x:v>
      </x:c>
      <x:c r="G105" t="n">
        <x:v>1</x:v>
      </x:c>
      <x:c r="H105" s="18" t="n">
        <x:v>58</x:v>
      </x:c>
      <x:c r="I105" s="18" t="n">
        <x:v>62</x:v>
      </x:c>
      <x:c r="J105" s="18" t="n">
        <x:v>45</x:v>
      </x:c>
      <x:c r="K105" s="18" t="n">
        <x:v>55</x:v>
      </x:c>
      <x:c r="L105" s="18" t="n">
        <x:v>60</x:v>
      </x:c>
      <x:c r="M105" s="18" t="n">
        <x:v>50</x:v>
      </x:c>
      <x:c r="N105" s="18" t="n">
        <x:v>90</x:v>
      </x:c>
      <x:c r="O105" s="18" t="n">
        <x:v>58</x:v>
      </x:c>
      <x:c r="P105" s="18" t="n">
        <x:v>59</x:v>
      </x:c>
      <x:c r="Q105" t="str">
        <x:v>No</x:v>
      </x:c>
      <x:c r="R105" s="18" t="n">
        <x:v>9</x:v>
      </x:c>
      <x:c r="S105" s="18" t="n">
        <x:v>0</x:v>
      </x:c>
      <x:c r="T105" s="18" t="n">
        <x:v>9</x:v>
      </x:c>
      <x:c r="U105" t="str">
        <x:v>Normal</x:v>
      </x:c>
      <x:c r="V105" t="str">
        <x:v>No</x:v>
      </x:c>
      <x:c r="W105" t="str">
        <x:v>WEAK</x:v>
      </x:c>
      <x:c r="X105" t="str">
        <x:v>REWRITE_REQUIRED</x:v>
      </x:c>
      <x:c r="Y105" t="n">
        <x:v>80</x:v>
      </x:c>
      <x:c r="Z105" t="str">
        <x:v>Success</x:v>
      </x:c>
      <x:c r="AA105"/>
      <x:c r="AB105"/>
      <x:c r="AC105" s="13"/>
      <x:c r="AD105" t="n">
        <x:v>0</x:v>
      </x:c>
      <x:c r="AE105" s="19" t="n">
        <x:v>85193</x:v>
      </x:c>
      <x:c r="AF105" t="str">
        <x:v>deepseek-v4-pro</x:v>
      </x:c>
      <x:c r="AG105" s="20" t="n">
        <x:v>46237.17178693287</x:v>
      </x:c>
      <x:c r="AH105" t="n">
        <x:v>200</x:v>
      </x:c>
      <x:c r="AI105" t="str">
        <x:v>70568fa9f9cfb355ba0f18bd5687148d4d1ad969b7fdfd0e45e0f1c4c96e3c8c</x:v>
      </x:c>
      <x:c r="AJ105" t="str">
        <x:v>1fbc1da2672050b6b1a1ccd8c0cdb0c420d2f719bdeff82ba998509df8b0da41</x:v>
      </x:c>
    </x:row>
    <x:row r="106">
      <x:c r="A106" s="17" t="str">
        <x:v>105</x:v>
      </x:c>
      <x:c r="B106" t="str">
        <x:v>ZH-BAD-015</x:v>
      </x:c>
      <x:c r="C106" s="17" t="str">
        <x:v>015</x:v>
      </x:c>
      <x:c r="D106" t="str">
        <x:v>Bad</x:v>
      </x:c>
      <x:c r="E106" t="n">
        <x:v>30</x:v>
      </x:c>
      <x:c r="F106" t="n">
        <x:v>49</x:v>
      </x:c>
      <x:c r="G106" t="n">
        <x:v>1</x:v>
      </x:c>
      <x:c r="H106" s="18" t="n">
        <x:v>70</x:v>
      </x:c>
      <x:c r="I106" s="18" t="n">
        <x:v>78</x:v>
      </x:c>
      <x:c r="J106" s="18" t="n">
        <x:v>65</x:v>
      </x:c>
      <x:c r="K106" s="18" t="n">
        <x:v>68</x:v>
      </x:c>
      <x:c r="L106" s="18" t="n">
        <x:v>60</x:v>
      </x:c>
      <x:c r="M106" s="18" t="n">
        <x:v>60</x:v>
      </x:c>
      <x:c r="N106" s="18" t="n">
        <x:v>92</x:v>
      </x:c>
      <x:c r="O106" s="18" t="n">
        <x:v>70</x:v>
      </x:c>
      <x:c r="P106" s="18" t="n">
        <x:v>74</x:v>
      </x:c>
      <x:c r="Q106" t="str">
        <x:v>No</x:v>
      </x:c>
      <x:c r="R106" s="18" t="n">
        <x:v>21</x:v>
      </x:c>
      <x:c r="S106" s="18" t="n">
        <x:v>0</x:v>
      </x:c>
      <x:c r="T106" s="18" t="n">
        <x:v>21</x:v>
      </x:c>
      <x:c r="U106" t="str">
        <x:v>Good</x:v>
      </x:c>
      <x:c r="V106" t="str">
        <x:v>No</x:v>
      </x:c>
      <x:c r="W106" t="str">
        <x:v>SUBSTANTIAL_REWRITE</x:v>
      </x:c>
      <x:c r="X106" t="str">
        <x:v>REWRITE_REQUIRED</x:v>
      </x:c>
      <x:c r="Y106" t="n">
        <x:v>80</x:v>
      </x:c>
      <x:c r="Z106" t="str">
        <x:v>Success</x:v>
      </x:c>
      <x:c r="AA106"/>
      <x:c r="AB106"/>
      <x:c r="AC106" s="13"/>
      <x:c r="AD106" t="n">
        <x:v>0</x:v>
      </x:c>
      <x:c r="AE106" s="19" t="n">
        <x:v>101811</x:v>
      </x:c>
      <x:c r="AF106" t="str">
        <x:v>deepseek-v4-pro</x:v>
      </x:c>
      <x:c r="AG106" s="20" t="n">
        <x:v>46237.172965335645</x:v>
      </x:c>
      <x:c r="AH106" t="n">
        <x:v>200</x:v>
      </x:c>
      <x:c r="AI106" t="str">
        <x:v>9c4a903f9679333fe6e42a7f7f86b67f20722d6e7955df3995d550b02c6a858f</x:v>
      </x:c>
      <x:c r="AJ106" t="str">
        <x:v>1fbc1da2672050b6b1a1ccd8c0cdb0c420d2f719bdeff82ba998509df8b0da41</x:v>
      </x:c>
    </x:row>
    <x:row r="107">
      <x:c r="A107" s="17" t="str">
        <x:v>106</x:v>
      </x:c>
      <x:c r="B107" t="str">
        <x:v>ZH-BAD-016</x:v>
      </x:c>
      <x:c r="C107" s="17" t="str">
        <x:v>016</x:v>
      </x:c>
      <x:c r="D107" t="str">
        <x:v>Bad</x:v>
      </x:c>
      <x:c r="E107" t="n">
        <x:v>30</x:v>
      </x:c>
      <x:c r="F107" t="n">
        <x:v>49</x:v>
      </x:c>
      <x:c r="G107" t="n">
        <x:v>1</x:v>
      </x:c>
      <x:c r="H107" s="18" t="n">
        <x:v>59</x:v>
      </x:c>
      <x:c r="I107" s="18" t="n">
        <x:v>75</x:v>
      </x:c>
      <x:c r="J107" s="18" t="n">
        <x:v>65</x:v>
      </x:c>
      <x:c r="K107" s="18" t="n">
        <x:v>70</x:v>
      </x:c>
      <x:c r="L107" s="18" t="n">
        <x:v>85</x:v>
      </x:c>
      <x:c r="M107" s="18" t="n">
        <x:v>50</x:v>
      </x:c>
      <x:c r="N107" s="18" t="n">
        <x:v>40</x:v>
      </x:c>
      <x:c r="O107" s="18" t="n">
        <x:v>67</x:v>
      </x:c>
      <x:c r="P107" s="18" t="n">
        <x:v>59</x:v>
      </x:c>
      <x:c r="Q107" t="str">
        <x:v>No</x:v>
      </x:c>
      <x:c r="R107" s="18" t="n">
        <x:v>10</x:v>
      </x:c>
      <x:c r="S107" s="18" t="n">
        <x:v>0</x:v>
      </x:c>
      <x:c r="T107" s="18" t="n">
        <x:v>10</x:v>
      </x:c>
      <x:c r="U107" t="str">
        <x:v>Normal</x:v>
      </x:c>
      <x:c r="V107" t="str">
        <x:v>No</x:v>
      </x:c>
      <x:c r="W107" t="str">
        <x:v>WEAK</x:v>
      </x:c>
      <x:c r="X107" t="str">
        <x:v>REWRITE_REQUIRED</x:v>
      </x:c>
      <x:c r="Y107" t="n">
        <x:v>80</x:v>
      </x:c>
      <x:c r="Z107" t="str">
        <x:v>Success</x:v>
      </x:c>
      <x:c r="AA107"/>
      <x:c r="AB107"/>
      <x:c r="AC107" s="13"/>
      <x:c r="AD107" t="n">
        <x:v>0</x:v>
      </x:c>
      <x:c r="AE107" s="19" t="n">
        <x:v>107278</x:v>
      </x:c>
      <x:c r="AF107" t="str">
        <x:v>deepseek-v4-pro</x:v>
      </x:c>
      <x:c r="AG107" s="20" t="n">
        <x:v>46237.174207013886</x:v>
      </x:c>
      <x:c r="AH107" t="n">
        <x:v>200</x:v>
      </x:c>
      <x:c r="AI107" t="str">
        <x:v>5eff0a4595bddcc79b6c99eadf1bac616fee539bff42e1c30f13d9e16c366346</x:v>
      </x:c>
      <x:c r="AJ107" t="str">
        <x:v>1fbc1da2672050b6b1a1ccd8c0cdb0c420d2f719bdeff82ba998509df8b0da41</x:v>
      </x:c>
    </x:row>
    <x:row r="108">
      <x:c r="A108" s="17" t="str">
        <x:v>107</x:v>
      </x:c>
      <x:c r="B108" t="str">
        <x:v>ZH-BAD-017</x:v>
      </x:c>
      <x:c r="C108" s="17" t="str">
        <x:v>017</x:v>
      </x:c>
      <x:c r="D108" t="str">
        <x:v>Bad</x:v>
      </x:c>
      <x:c r="E108" t="n">
        <x:v>30</x:v>
      </x:c>
      <x:c r="F108" t="n">
        <x:v>49</x:v>
      </x:c>
      <x:c r="G108" t="n">
        <x:v>1</x:v>
      </x:c>
      <x:c r="H108" s="18" t="n">
        <x:v>64</x:v>
      </x:c>
      <x:c r="I108" s="18" t="n">
        <x:v>68</x:v>
      </x:c>
      <x:c r="J108" s="18" t="n">
        <x:v>65</x:v>
      </x:c>
      <x:c r="K108" s="18" t="n">
        <x:v>62</x:v>
      </x:c>
      <x:c r="L108" s="18" t="n">
        <x:v>60</x:v>
      </x:c>
      <x:c r="M108" s="18" t="n">
        <x:v>55</x:v>
      </x:c>
      <x:c r="N108" s="18" t="n">
        <x:v>75</x:v>
      </x:c>
      <x:c r="O108" s="18" t="n">
        <x:v>64</x:v>
      </x:c>
      <x:c r="P108" s="18" t="n">
        <x:v>74</x:v>
      </x:c>
      <x:c r="Q108" t="str">
        <x:v>No</x:v>
      </x:c>
      <x:c r="R108" s="18" t="n">
        <x:v>15</x:v>
      </x:c>
      <x:c r="S108" s="18" t="n">
        <x:v>0</x:v>
      </x:c>
      <x:c r="T108" s="18" t="n">
        <x:v>15</x:v>
      </x:c>
      <x:c r="U108" t="str">
        <x:v>Normal</x:v>
      </x:c>
      <x:c r="V108" t="str">
        <x:v>No</x:v>
      </x:c>
      <x:c r="W108" t="str">
        <x:v>SUBSTANTIAL_REWRITE</x:v>
      </x:c>
      <x:c r="X108" t="str">
        <x:v>REWRITE_REQUIRED</x:v>
      </x:c>
      <x:c r="Y108" t="n">
        <x:v>80</x:v>
      </x:c>
      <x:c r="Z108" t="str">
        <x:v>Success</x:v>
      </x:c>
      <x:c r="AA108"/>
      <x:c r="AB108"/>
      <x:c r="AC108" s="13"/>
      <x:c r="AD108" t="n">
        <x:v>0</x:v>
      </x:c>
      <x:c r="AE108" s="19" t="n">
        <x:v>73595</x:v>
      </x:c>
      <x:c r="AF108" t="str">
        <x:v>deepseek-v4-pro</x:v>
      </x:c>
      <x:c r="AG108" s="20" t="n">
        <x:v>46237.17505886574</x:v>
      </x:c>
      <x:c r="AH108" t="n">
        <x:v>200</x:v>
      </x:c>
      <x:c r="AI108" t="str">
        <x:v>4443757a5b6b92e055da56e05033cefba3bcb4ccb540277ae3f393219cb9bcd7</x:v>
      </x:c>
      <x:c r="AJ108" t="str">
        <x:v>1fbc1da2672050b6b1a1ccd8c0cdb0c420d2f719bdeff82ba998509df8b0da41</x:v>
      </x:c>
    </x:row>
    <x:row r="109">
      <x:c r="A109" s="17" t="str">
        <x:v>108</x:v>
      </x:c>
      <x:c r="B109" t="str">
        <x:v>ZH-BAD-018</x:v>
      </x:c>
      <x:c r="C109" s="17" t="str">
        <x:v>018</x:v>
      </x:c>
      <x:c r="D109" t="str">
        <x:v>Bad</x:v>
      </x:c>
      <x:c r="E109" t="n">
        <x:v>30</x:v>
      </x:c>
      <x:c r="F109" t="n">
        <x:v>49</x:v>
      </x:c>
      <x:c r="G109" t="n">
        <x:v>1</x:v>
      </x:c>
      <x:c r="H109" s="18" t="n">
        <x:v>54</x:v>
      </x:c>
      <x:c r="I109" s="18" t="n">
        <x:v>65</x:v>
      </x:c>
      <x:c r="J109" s="18" t="n">
        <x:v>45</x:v>
      </x:c>
      <x:c r="K109" s="18" t="n">
        <x:v>48</x:v>
      </x:c>
      <x:c r="L109" s="18" t="n">
        <x:v>52</x:v>
      </x:c>
      <x:c r="M109" s="18" t="n">
        <x:v>42</x:v>
      </x:c>
      <x:c r="N109" s="18" t="n">
        <x:v>75</x:v>
      </x:c>
      <x:c r="O109" s="18" t="n">
        <x:v>54</x:v>
      </x:c>
      <x:c r="P109" s="18" t="n">
        <x:v>59</x:v>
      </x:c>
      <x:c r="Q109" t="str">
        <x:v>No</x:v>
      </x:c>
      <x:c r="R109" s="18" t="n">
        <x:v>5</x:v>
      </x:c>
      <x:c r="S109" s="18" t="n">
        <x:v>0</x:v>
      </x:c>
      <x:c r="T109" s="18" t="n">
        <x:v>5</x:v>
      </x:c>
      <x:c r="U109" t="str">
        <x:v>Normal</x:v>
      </x:c>
      <x:c r="V109" t="str">
        <x:v>No</x:v>
      </x:c>
      <x:c r="W109" t="str">
        <x:v>WEAK</x:v>
      </x:c>
      <x:c r="X109" t="str">
        <x:v>REWRITE_REQUIRED</x:v>
      </x:c>
      <x:c r="Y109" t="n">
        <x:v>80</x:v>
      </x:c>
      <x:c r="Z109" t="str">
        <x:v>Success</x:v>
      </x:c>
      <x:c r="AA109"/>
      <x:c r="AB109"/>
      <x:c r="AC109" s="13"/>
      <x:c r="AD109" t="n">
        <x:v>0</x:v>
      </x:c>
      <x:c r="AE109" s="19" t="n">
        <x:v>69319</x:v>
      </x:c>
      <x:c r="AF109" t="str">
        <x:v>deepseek-v4-pro</x:v>
      </x:c>
      <x:c r="AG109" s="20" t="n">
        <x:v>46237.175861180556</x:v>
      </x:c>
      <x:c r="AH109" t="n">
        <x:v>200</x:v>
      </x:c>
      <x:c r="AI109" t="str">
        <x:v>c752c0b245e19c941e2921c415e27887f0720b23272df3d51ea87e71369d577e</x:v>
      </x:c>
      <x:c r="AJ109" t="str">
        <x:v>1fbc1da2672050b6b1a1ccd8c0cdb0c420d2f719bdeff82ba998509df8b0da41</x:v>
      </x:c>
    </x:row>
    <x:row r="110">
      <x:c r="A110" s="17" t="str">
        <x:v>109</x:v>
      </x:c>
      <x:c r="B110" t="str">
        <x:v>ZH-BAD-019</x:v>
      </x:c>
      <x:c r="C110" s="17" t="str">
        <x:v>019</x:v>
      </x:c>
      <x:c r="D110" t="str">
        <x:v>Bad</x:v>
      </x:c>
      <x:c r="E110" t="n">
        <x:v>30</x:v>
      </x:c>
      <x:c r="F110" t="n">
        <x:v>49</x:v>
      </x:c>
      <x:c r="G110" t="n">
        <x:v>1</x:v>
      </x:c>
      <x:c r="H110" s="18" t="n">
        <x:v>59</x:v>
      </x:c>
      <x:c r="I110" s="18" t="n">
        <x:v>68</x:v>
      </x:c>
      <x:c r="J110" s="18" t="n">
        <x:v>50</x:v>
      </x:c>
      <x:c r="K110" s="18" t="n">
        <x:v>65</x:v>
      </x:c>
      <x:c r="L110" s="18" t="n">
        <x:v>82</x:v>
      </x:c>
      <x:c r="M110" s="18" t="n">
        <x:v>58</x:v>
      </x:c>
      <x:c r="N110" s="18" t="n">
        <x:v>95</x:v>
      </x:c>
      <x:c r="O110" s="18" t="n">
        <x:v>67</x:v>
      </x:c>
      <x:c r="P110" s="18" t="n">
        <x:v>59</x:v>
      </x:c>
      <x:c r="Q110" t="str">
        <x:v>No</x:v>
      </x:c>
      <x:c r="R110" s="18" t="n">
        <x:v>10</x:v>
      </x:c>
      <x:c r="S110" s="18" t="n">
        <x:v>0</x:v>
      </x:c>
      <x:c r="T110" s="18" t="n">
        <x:v>10</x:v>
      </x:c>
      <x:c r="U110" t="str">
        <x:v>Normal</x:v>
      </x:c>
      <x:c r="V110" t="str">
        <x:v>No</x:v>
      </x:c>
      <x:c r="W110" t="str">
        <x:v>WEAK</x:v>
      </x:c>
      <x:c r="X110" t="str">
        <x:v>REWRITE_REQUIRED</x:v>
      </x:c>
      <x:c r="Y110" t="n">
        <x:v>80</x:v>
      </x:c>
      <x:c r="Z110" t="str">
        <x:v>Success</x:v>
      </x:c>
      <x:c r="AA110"/>
      <x:c r="AB110"/>
      <x:c r="AC110" s="13"/>
      <x:c r="AD110" t="n">
        <x:v>0</x:v>
      </x:c>
      <x:c r="AE110" s="19" t="n">
        <x:v>78025</x:v>
      </x:c>
      <x:c r="AF110" t="str">
        <x:v>deepseek-v4-pro</x:v>
      </x:c>
      <x:c r="AG110" s="20" t="n">
        <x:v>46237.17676429398</x:v>
      </x:c>
      <x:c r="AH110" t="n">
        <x:v>200</x:v>
      </x:c>
      <x:c r="AI110" t="str">
        <x:v>e48dd6d04a0def8204c758c3e4ed884648b5198f5d7ff01e0b06da2c7a3ba7ee</x:v>
      </x:c>
      <x:c r="AJ110" t="str">
        <x:v>1fbc1da2672050b6b1a1ccd8c0cdb0c420d2f719bdeff82ba998509df8b0da41</x:v>
      </x:c>
    </x:row>
    <x:row r="111">
      <x:c r="A111" s="17" t="str">
        <x:v>110</x:v>
      </x:c>
      <x:c r="B111" t="str">
        <x:v>ZH-BAD-020</x:v>
      </x:c>
      <x:c r="C111" s="17" t="str">
        <x:v>020</x:v>
      </x:c>
      <x:c r="D111" t="str">
        <x:v>Bad</x:v>
      </x:c>
      <x:c r="E111" t="n">
        <x:v>30</x:v>
      </x:c>
      <x:c r="F111" t="n">
        <x:v>49</x:v>
      </x:c>
      <x:c r="G111" t="n">
        <x:v>1</x:v>
      </x:c>
      <x:c r="H111" s="18" t="n">
        <x:v>56</x:v>
      </x:c>
      <x:c r="I111" s="18" t="n">
        <x:v>60</x:v>
      </x:c>
      <x:c r="J111" s="18" t="n">
        <x:v>45</x:v>
      </x:c>
      <x:c r="K111" s="18" t="n">
        <x:v>55</x:v>
      </x:c>
      <x:c r="L111" s="18" t="n">
        <x:v>50</x:v>
      </x:c>
      <x:c r="M111" s="18" t="n">
        <x:v>45</x:v>
      </x:c>
      <x:c r="N111" s="18" t="n">
        <x:v>95</x:v>
      </x:c>
      <x:c r="O111" s="18" t="n">
        <x:v>56</x:v>
      </x:c>
      <x:c r="P111" s="18" t="n">
        <x:v>59</x:v>
      </x:c>
      <x:c r="Q111" t="str">
        <x:v>No</x:v>
      </x:c>
      <x:c r="R111" s="18" t="n">
        <x:v>7</x:v>
      </x:c>
      <x:c r="S111" s="18" t="n">
        <x:v>0</x:v>
      </x:c>
      <x:c r="T111" s="18" t="n">
        <x:v>7</x:v>
      </x:c>
      <x:c r="U111" t="str">
        <x:v>Normal</x:v>
      </x:c>
      <x:c r="V111" t="str">
        <x:v>No</x:v>
      </x:c>
      <x:c r="W111" t="str">
        <x:v>WEAK</x:v>
      </x:c>
      <x:c r="X111" t="str">
        <x:v>REWRITE_REQUIRED</x:v>
      </x:c>
      <x:c r="Y111" t="n">
        <x:v>80</x:v>
      </x:c>
      <x:c r="Z111" t="str">
        <x:v>Success</x:v>
      </x:c>
      <x:c r="AA111"/>
      <x:c r="AB111"/>
      <x:c r="AC111" s="13"/>
      <x:c r="AD111" t="n">
        <x:v>0</x:v>
      </x:c>
      <x:c r="AE111" s="19" t="n">
        <x:v>74876</x:v>
      </x:c>
      <x:c r="AF111" t="str">
        <x:v>deepseek-v4-pro</x:v>
      </x:c>
      <x:c r="AG111" s="20" t="n">
        <x:v>46237.1776309375</x:v>
      </x:c>
      <x:c r="AH111" t="n">
        <x:v>200</x:v>
      </x:c>
      <x:c r="AI111" t="str">
        <x:v>a7b45341bdcb1ec4352608a1180e6ea0aab1c006062ee4c2602d8eff540d0439</x:v>
      </x:c>
      <x:c r="AJ111" t="str">
        <x:v>1fbc1da2672050b6b1a1ccd8c0cdb0c420d2f719bdeff82ba998509df8b0da41</x:v>
      </x:c>
    </x:row>
    <x:row r="112">
      <x:c r="A112" s="17" t="str">
        <x:v>111</x:v>
      </x:c>
      <x:c r="B112" t="str">
        <x:v>ZH-BAD-021</x:v>
      </x:c>
      <x:c r="C112" s="17" t="str">
        <x:v>021</x:v>
      </x:c>
      <x:c r="D112" t="str">
        <x:v>Bad</x:v>
      </x:c>
      <x:c r="E112" t="n">
        <x:v>30</x:v>
      </x:c>
      <x:c r="F112" t="n">
        <x:v>49</x:v>
      </x:c>
      <x:c r="G112" t="n">
        <x:v>1</x:v>
      </x:c>
      <x:c r="H112" s="18" t="n">
        <x:v>59</x:v>
      </x:c>
      <x:c r="I112" s="18" t="n">
        <x:v>62</x:v>
      </x:c>
      <x:c r="J112" s="18" t="n">
        <x:v>55</x:v>
      </x:c>
      <x:c r="K112" s="18" t="n">
        <x:v>62</x:v>
      </x:c>
      <x:c r="L112" s="18" t="n">
        <x:v>70</x:v>
      </x:c>
      <x:c r="M112" s="18" t="n">
        <x:v>58</x:v>
      </x:c>
      <x:c r="N112" s="18" t="n">
        <x:v>52</x:v>
      </x:c>
      <x:c r="O112" s="18" t="n">
        <x:v>60</x:v>
      </x:c>
      <x:c r="P112" s="18" t="n">
        <x:v>59</x:v>
      </x:c>
      <x:c r="Q112" t="str">
        <x:v>No</x:v>
      </x:c>
      <x:c r="R112" s="18" t="n">
        <x:v>10</x:v>
      </x:c>
      <x:c r="S112" s="18" t="n">
        <x:v>0</x:v>
      </x:c>
      <x:c r="T112" s="18" t="n">
        <x:v>10</x:v>
      </x:c>
      <x:c r="U112" t="str">
        <x:v>Normal</x:v>
      </x:c>
      <x:c r="V112" t="str">
        <x:v>No</x:v>
      </x:c>
      <x:c r="W112" t="str">
        <x:v>WEAK</x:v>
      </x:c>
      <x:c r="X112" t="str">
        <x:v>REWRITE_REQUIRED</x:v>
      </x:c>
      <x:c r="Y112" t="n">
        <x:v>80</x:v>
      </x:c>
      <x:c r="Z112" t="str">
        <x:v>Success</x:v>
      </x:c>
      <x:c r="AA112"/>
      <x:c r="AB112"/>
      <x:c r="AC112" s="13"/>
      <x:c r="AD112" t="n">
        <x:v>0</x:v>
      </x:c>
      <x:c r="AE112" s="19" t="n">
        <x:v>78388</x:v>
      </x:c>
      <x:c r="AF112" t="str">
        <x:v>deepseek-v4-pro</x:v>
      </x:c>
      <x:c r="AG112" s="20" t="n">
        <x:v>46237.17853826389</x:v>
      </x:c>
      <x:c r="AH112" t="n">
        <x:v>200</x:v>
      </x:c>
      <x:c r="AI112" t="str">
        <x:v>ba2b95bcfe50a91f8e1971eda2b513f78d31a422a5a706ae09e44bc958069fc4</x:v>
      </x:c>
      <x:c r="AJ112" t="str">
        <x:v>1fbc1da2672050b6b1a1ccd8c0cdb0c420d2f719bdeff82ba998509df8b0da41</x:v>
      </x:c>
    </x:row>
    <x:row r="113">
      <x:c r="A113" s="17" t="str">
        <x:v>112</x:v>
      </x:c>
      <x:c r="B113" t="str">
        <x:v>ZH-BAD-022</x:v>
      </x:c>
      <x:c r="C113" s="17" t="str">
        <x:v>022</x:v>
      </x:c>
      <x:c r="D113" t="str">
        <x:v>Bad</x:v>
      </x:c>
      <x:c r="E113" t="n">
        <x:v>30</x:v>
      </x:c>
      <x:c r="F113" t="n">
        <x:v>49</x:v>
      </x:c>
      <x:c r="G113" t="n">
        <x:v>1</x:v>
      </x:c>
      <x:c r="H113" s="18" t="n">
        <x:v>74</x:v>
      </x:c>
      <x:c r="I113" s="18" t="n">
        <x:v>68</x:v>
      </x:c>
      <x:c r="J113" s="18" t="n">
        <x:v>64</x:v>
      </x:c>
      <x:c r="K113" s="18" t="n">
        <x:v>75</x:v>
      </x:c>
      <x:c r="L113" s="18" t="n">
        <x:v>84</x:v>
      </x:c>
      <x:c r="M113" s="18" t="n">
        <x:v>78</x:v>
      </x:c>
      <x:c r="N113" s="18" t="n">
        <x:v>90</x:v>
      </x:c>
      <x:c r="O113" s="18" t="n">
        <x:v>74</x:v>
      </x:c>
      <x:c r="P113" s="18" t="n">
        <x:v>74</x:v>
      </x:c>
      <x:c r="Q113" t="str">
        <x:v>No</x:v>
      </x:c>
      <x:c r="R113" s="18" t="n">
        <x:v>25</x:v>
      </x:c>
      <x:c r="S113" s="18" t="n">
        <x:v>0</x:v>
      </x:c>
      <x:c r="T113" s="18" t="n">
        <x:v>25</x:v>
      </x:c>
      <x:c r="U113" t="str">
        <x:v>Good</x:v>
      </x:c>
      <x:c r="V113" t="str">
        <x:v>No</x:v>
      </x:c>
      <x:c r="W113" t="str">
        <x:v>SUBSTANTIAL_REWRITE</x:v>
      </x:c>
      <x:c r="X113" t="str">
        <x:v>REWRITE_REQUIRED</x:v>
      </x:c>
      <x:c r="Y113" t="n">
        <x:v>80</x:v>
      </x:c>
      <x:c r="Z113" t="str">
        <x:v>Success</x:v>
      </x:c>
      <x:c r="AA113"/>
      <x:c r="AB113"/>
      <x:c r="AC113" s="13"/>
      <x:c r="AD113" t="n">
        <x:v>0</x:v>
      </x:c>
      <x:c r="AE113" s="19" t="n">
        <x:v>119483</x:v>
      </x:c>
      <x:c r="AF113" t="str">
        <x:v>deepseek-v4-pro</x:v>
      </x:c>
      <x:c r="AG113" s="20" t="n">
        <x:v>46237.17992119213</x:v>
      </x:c>
      <x:c r="AH113" t="n">
        <x:v>200</x:v>
      </x:c>
      <x:c r="AI113" t="str">
        <x:v>ef81af3c4e9dc917adb152bd5e7b0606930315fcd84936f608d27e4722963c8d</x:v>
      </x:c>
      <x:c r="AJ113" t="str">
        <x:v>1fbc1da2672050b6b1a1ccd8c0cdb0c420d2f719bdeff82ba998509df8b0da41</x:v>
      </x:c>
    </x:row>
    <x:row r="114">
      <x:c r="A114" s="17" t="str">
        <x:v>113</x:v>
      </x:c>
      <x:c r="B114" t="str">
        <x:v>ZH-BAD-023</x:v>
      </x:c>
      <x:c r="C114" s="17" t="str">
        <x:v>023</x:v>
      </x:c>
      <x:c r="D114" t="str">
        <x:v>Bad</x:v>
      </x:c>
      <x:c r="E114" t="n">
        <x:v>30</x:v>
      </x:c>
      <x:c r="F114" t="n">
        <x:v>49</x:v>
      </x:c>
      <x:c r="G114" t="n">
        <x:v>1</x:v>
      </x:c>
      <x:c r="H114" s="18" t="n">
        <x:v>65</x:v>
      </x:c>
      <x:c r="I114" s="18" t="n">
        <x:v>62</x:v>
      </x:c>
      <x:c r="J114" s="18" t="n">
        <x:v>60</x:v>
      </x:c>
      <x:c r="K114" s="18" t="n">
        <x:v>60</x:v>
      </x:c>
      <x:c r="L114" s="18" t="n">
        <x:v>72</x:v>
      </x:c>
      <x:c r="M114" s="18" t="n">
        <x:v>55</x:v>
      </x:c>
      <x:c r="N114" s="18" t="n">
        <x:v>90</x:v>
      </x:c>
      <x:c r="O114" s="18" t="n">
        <x:v>65</x:v>
      </x:c>
      <x:c r="P114" s="18" t="n">
        <x:v>74</x:v>
      </x:c>
      <x:c r="Q114" t="str">
        <x:v>No</x:v>
      </x:c>
      <x:c r="R114" s="18" t="n">
        <x:v>16</x:v>
      </x:c>
      <x:c r="S114" s="18" t="n">
        <x:v>0</x:v>
      </x:c>
      <x:c r="T114" s="18" t="n">
        <x:v>16</x:v>
      </x:c>
      <x:c r="U114" t="str">
        <x:v>Normal</x:v>
      </x:c>
      <x:c r="V114" t="str">
        <x:v>No</x:v>
      </x:c>
      <x:c r="W114" t="str">
        <x:v>SUBSTANTIAL_REWRITE</x:v>
      </x:c>
      <x:c r="X114" t="str">
        <x:v>REWRITE_REQUIRED</x:v>
      </x:c>
      <x:c r="Y114" t="n">
        <x:v>80</x:v>
      </x:c>
      <x:c r="Z114" t="str">
        <x:v>Success</x:v>
      </x:c>
      <x:c r="AA114"/>
      <x:c r="AB114"/>
      <x:c r="AC114" s="13"/>
      <x:c r="AD114" t="n">
        <x:v>0</x:v>
      </x:c>
      <x:c r="AE114" s="19" t="n">
        <x:v>96007</x:v>
      </x:c>
      <x:c r="AF114" t="str">
        <x:v>deepseek-v4-pro</x:v>
      </x:c>
      <x:c r="AG114" s="20" t="n">
        <x:v>46237.18103240741</x:v>
      </x:c>
      <x:c r="AH114" t="n">
        <x:v>200</x:v>
      </x:c>
      <x:c r="AI114" t="str">
        <x:v>1cf834626458505b8e0528a450cc56f3a1b6f36a31e2d9ebd5a6188cc1ab06e5</x:v>
      </x:c>
      <x:c r="AJ114" t="str">
        <x:v>1fbc1da2672050b6b1a1ccd8c0cdb0c420d2f719bdeff82ba998509df8b0da41</x:v>
      </x:c>
    </x:row>
    <x:row r="115">
      <x:c r="A115" s="17" t="str">
        <x:v>114</x:v>
      </x:c>
      <x:c r="B115" t="str">
        <x:v>ZH-BAD-024</x:v>
      </x:c>
      <x:c r="C115" s="17" t="str">
        <x:v>024</x:v>
      </x:c>
      <x:c r="D115" t="str">
        <x:v>Bad</x:v>
      </x:c>
      <x:c r="E115" t="n">
        <x:v>30</x:v>
      </x:c>
      <x:c r="F115" t="n">
        <x:v>49</x:v>
      </x:c>
      <x:c r="G115" t="n">
        <x:v>1</x:v>
      </x:c>
      <x:c r="H115" s="18" t="n">
        <x:v>51</x:v>
      </x:c>
      <x:c r="I115" s="18" t="n">
        <x:v>55</x:v>
      </x:c>
      <x:c r="J115" s="18" t="n">
        <x:v>40</x:v>
      </x:c>
      <x:c r="K115" s="18" t="n">
        <x:v>48</x:v>
      </x:c>
      <x:c r="L115" s="18" t="n">
        <x:v>45</x:v>
      </x:c>
      <x:c r="M115" s="18" t="n">
        <x:v>45</x:v>
      </x:c>
      <x:c r="N115" s="18" t="n">
        <x:v>85</x:v>
      </x:c>
      <x:c r="O115" s="18" t="n">
        <x:v>51</x:v>
      </x:c>
      <x:c r="P115" s="18" t="n">
        <x:v>59</x:v>
      </x:c>
      <x:c r="Q115" t="str">
        <x:v>No</x:v>
      </x:c>
      <x:c r="R115" s="18" t="n">
        <x:v>2</x:v>
      </x:c>
      <x:c r="S115" s="18" t="n">
        <x:v>0</x:v>
      </x:c>
      <x:c r="T115" s="18" t="n">
        <x:v>2</x:v>
      </x:c>
      <x:c r="U115" t="str">
        <x:v>Normal</x:v>
      </x:c>
      <x:c r="V115" t="str">
        <x:v>No</x:v>
      </x:c>
      <x:c r="W115" t="str">
        <x:v>WEAK</x:v>
      </x:c>
      <x:c r="X115" t="str">
        <x:v>REWRITE_REQUIRED</x:v>
      </x:c>
      <x:c r="Y115" t="n">
        <x:v>80</x:v>
      </x:c>
      <x:c r="Z115" t="str">
        <x:v>Success</x:v>
      </x:c>
      <x:c r="AA115"/>
      <x:c r="AB115"/>
      <x:c r="AC115" s="13"/>
      <x:c r="AD115" t="n">
        <x:v>0</x:v>
      </x:c>
      <x:c r="AE115" s="19" t="n">
        <x:v>76202</x:v>
      </x:c>
      <x:c r="AF115" t="str">
        <x:v>deepseek-v4-pro</x:v>
      </x:c>
      <x:c r="AG115" s="20" t="n">
        <x:v>46237.181914444445</x:v>
      </x:c>
      <x:c r="AH115" t="n">
        <x:v>200</x:v>
      </x:c>
      <x:c r="AI115" t="str">
        <x:v>a07449faafc374e520aab71800051863ced3027b575fe9bc7d2ec0166e56097b</x:v>
      </x:c>
      <x:c r="AJ115" t="str">
        <x:v>1fbc1da2672050b6b1a1ccd8c0cdb0c420d2f719bdeff82ba998509df8b0da41</x:v>
      </x:c>
    </x:row>
    <x:row r="116">
      <x:c r="A116" s="17" t="str">
        <x:v>115</x:v>
      </x:c>
      <x:c r="B116" t="str">
        <x:v>ZH-BAD-025</x:v>
      </x:c>
      <x:c r="C116" s="17" t="str">
        <x:v>025</x:v>
      </x:c>
      <x:c r="D116" t="str">
        <x:v>Bad</x:v>
      </x:c>
      <x:c r="E116" t="n">
        <x:v>30</x:v>
      </x:c>
      <x:c r="F116" t="n">
        <x:v>49</x:v>
      </x:c>
      <x:c r="G116" t="n">
        <x:v>1</x:v>
      </x:c>
      <x:c r="H116" s="18" t="n">
        <x:v>70</x:v>
      </x:c>
      <x:c r="I116" s="18" t="n">
        <x:v>82</x:v>
      </x:c>
      <x:c r="J116" s="18" t="n">
        <x:v>62</x:v>
      </x:c>
      <x:c r="K116" s="18" t="n">
        <x:v>78</x:v>
      </x:c>
      <x:c r="L116" s="18" t="n">
        <x:v>65</x:v>
      </x:c>
      <x:c r="M116" s="18" t="n">
        <x:v>50</x:v>
      </x:c>
      <x:c r="N116" s="18" t="n">
        <x:v>85</x:v>
      </x:c>
      <x:c r="O116" s="18" t="n">
        <x:v>70</x:v>
      </x:c>
      <x:c r="P116" s="18" t="n">
        <x:v>74</x:v>
      </x:c>
      <x:c r="Q116" t="str">
        <x:v>No</x:v>
      </x:c>
      <x:c r="R116" s="18" t="n">
        <x:v>21</x:v>
      </x:c>
      <x:c r="S116" s="18" t="n">
        <x:v>0</x:v>
      </x:c>
      <x:c r="T116" s="18" t="n">
        <x:v>21</x:v>
      </x:c>
      <x:c r="U116" t="str">
        <x:v>Good</x:v>
      </x:c>
      <x:c r="V116" t="str">
        <x:v>No</x:v>
      </x:c>
      <x:c r="W116" t="str">
        <x:v>SUBSTANTIAL_REWRITE</x:v>
      </x:c>
      <x:c r="X116" t="str">
        <x:v>REWRITE_REQUIRED</x:v>
      </x:c>
      <x:c r="Y116" t="n">
        <x:v>80</x:v>
      </x:c>
      <x:c r="Z116" t="str">
        <x:v>Success</x:v>
      </x:c>
      <x:c r="AA116"/>
      <x:c r="AB116"/>
      <x:c r="AC116" s="13"/>
      <x:c r="AD116" t="n">
        <x:v>0</x:v>
      </x:c>
      <x:c r="AE116" s="19" t="n">
        <x:v>71089</x:v>
      </x:c>
      <x:c r="AF116" t="str">
        <x:v>deepseek-v4-pro</x:v>
      </x:c>
      <x:c r="AG116" s="20" t="n">
        <x:v>46237.18273728009</x:v>
      </x:c>
      <x:c r="AH116" t="n">
        <x:v>200</x:v>
      </x:c>
      <x:c r="AI116" t="str">
        <x:v>aa9145f9fcd5a70fd16670b569a1a9495a154f4f31e60e804eb1f83d18cfef14</x:v>
      </x:c>
      <x:c r="AJ116" t="str">
        <x:v>1fbc1da2672050b6b1a1ccd8c0cdb0c420d2f719bdeff82ba998509df8b0da41</x:v>
      </x:c>
    </x:row>
    <x:row r="117">
      <x:c r="A117" s="17" t="str">
        <x:v>116</x:v>
      </x:c>
      <x:c r="B117" t="str">
        <x:v>ZH-BAD-026</x:v>
      </x:c>
      <x:c r="C117" s="17" t="str">
        <x:v>026</x:v>
      </x:c>
      <x:c r="D117" t="str">
        <x:v>Bad</x:v>
      </x:c>
      <x:c r="E117" t="n">
        <x:v>30</x:v>
      </x:c>
      <x:c r="F117" t="n">
        <x:v>49</x:v>
      </x:c>
      <x:c r="G117" t="n">
        <x:v>1</x:v>
      </x:c>
      <x:c r="H117" s="18" t="n">
        <x:v>54</x:v>
      </x:c>
      <x:c r="I117" s="18" t="n">
        <x:v>65</x:v>
      </x:c>
      <x:c r="J117" s="18" t="n">
        <x:v>45</x:v>
      </x:c>
      <x:c r="K117" s="18" t="n">
        <x:v>55</x:v>
      </x:c>
      <x:c r="L117" s="18" t="n">
        <x:v>42</x:v>
      </x:c>
      <x:c r="M117" s="18" t="n">
        <x:v>40</x:v>
      </x:c>
      <x:c r="N117" s="18" t="n">
        <x:v>85</x:v>
      </x:c>
      <x:c r="O117" s="18" t="n">
        <x:v>54</x:v>
      </x:c>
      <x:c r="P117" s="18" t="n">
        <x:v>59</x:v>
      </x:c>
      <x:c r="Q117" t="str">
        <x:v>No</x:v>
      </x:c>
      <x:c r="R117" s="18" t="n">
        <x:v>5</x:v>
      </x:c>
      <x:c r="S117" s="18" t="n">
        <x:v>0</x:v>
      </x:c>
      <x:c r="T117" s="18" t="n">
        <x:v>5</x:v>
      </x:c>
      <x:c r="U117" t="str">
        <x:v>Normal</x:v>
      </x:c>
      <x:c r="V117" t="str">
        <x:v>No</x:v>
      </x:c>
      <x:c r="W117" t="str">
        <x:v>WEAK</x:v>
      </x:c>
      <x:c r="X117" t="str">
        <x:v>REWRITE_REQUIRED</x:v>
      </x:c>
      <x:c r="Y117" t="n">
        <x:v>80</x:v>
      </x:c>
      <x:c r="Z117" t="str">
        <x:v>Success</x:v>
      </x:c>
      <x:c r="AA117"/>
      <x:c r="AB117"/>
      <x:c r="AC117" s="13"/>
      <x:c r="AD117" t="n">
        <x:v>0</x:v>
      </x:c>
      <x:c r="AE117" s="19" t="n">
        <x:v>172198</x:v>
      </x:c>
      <x:c r="AF117" t="str">
        <x:v>deepseek-v4-pro</x:v>
      </x:c>
      <x:c r="AG117" s="20" t="n">
        <x:v>46237.18473033565</x:v>
      </x:c>
      <x:c r="AH117" t="n">
        <x:v>200</x:v>
      </x:c>
      <x:c r="AI117" t="str">
        <x:v>0e916aec2faf63dfc9caff250ddbdd09638e6a393e3a60f619273c424b553cb6</x:v>
      </x:c>
      <x:c r="AJ117" t="str">
        <x:v>1fbc1da2672050b6b1a1ccd8c0cdb0c420d2f719bdeff82ba998509df8b0da41</x:v>
      </x:c>
    </x:row>
    <x:row r="118">
      <x:c r="A118" s="17" t="str">
        <x:v>117</x:v>
      </x:c>
      <x:c r="B118" t="str">
        <x:v>ZH-BAD-027</x:v>
      </x:c>
      <x:c r="C118" s="17" t="str">
        <x:v>027</x:v>
      </x:c>
      <x:c r="D118" t="str">
        <x:v>Bad</x:v>
      </x:c>
      <x:c r="E118" t="n">
        <x:v>30</x:v>
      </x:c>
      <x:c r="F118" t="n">
        <x:v>49</x:v>
      </x:c>
      <x:c r="G118" t="n">
        <x:v>1</x:v>
      </x:c>
      <x:c r="H118" s="18" t="n">
        <x:v>46</x:v>
      </x:c>
      <x:c r="I118" s="18" t="n">
        <x:v>60</x:v>
      </x:c>
      <x:c r="J118" s="18" t="n">
        <x:v>40</x:v>
      </x:c>
      <x:c r="K118" s="18" t="n">
        <x:v>45</x:v>
      </x:c>
      <x:c r="L118" s="18" t="n">
        <x:v>50</x:v>
      </x:c>
      <x:c r="M118" s="18" t="n">
        <x:v>40</x:v>
      </x:c>
      <x:c r="N118" s="18" t="n">
        <x:v>25</x:v>
      </x:c>
      <x:c r="O118" s="18" t="n">
        <x:v>46</x:v>
      </x:c>
      <x:c r="P118" s="18" t="n">
        <x:v>59</x:v>
      </x:c>
      <x:c r="Q118" t="str">
        <x:v>Yes</x:v>
      </x:c>
      <x:c r="R118" s="18" t="n">
        <x:v>0</x:v>
      </x:c>
      <x:c r="S118" s="18" t="n">
        <x:v>0</x:v>
      </x:c>
      <x:c r="T118" s="18" t="n">
        <x:v>0</x:v>
      </x:c>
      <x:c r="U118" t="str">
        <x:v>Bad</x:v>
      </x:c>
      <x:c r="V118" t="str">
        <x:v>Yes</x:v>
      </x:c>
      <x:c r="W118" t="str">
        <x:v>WEAK</x:v>
      </x:c>
      <x:c r="X118" t="str">
        <x:v>REWRITE_REQUIRED</x:v>
      </x:c>
      <x:c r="Y118" t="n">
        <x:v>80</x:v>
      </x:c>
      <x:c r="Z118" t="str">
        <x:v>Success</x:v>
      </x:c>
      <x:c r="AA118"/>
      <x:c r="AB118"/>
      <x:c r="AC118" s="13"/>
      <x:c r="AD118" t="n">
        <x:v>0</x:v>
      </x:c>
      <x:c r="AE118" s="19" t="n">
        <x:v>68977</x:v>
      </x:c>
      <x:c r="AF118" t="str">
        <x:v>deepseek-v4-pro</x:v>
      </x:c>
      <x:c r="AG118" s="20" t="n">
        <x:v>46237.185528726855</x:v>
      </x:c>
      <x:c r="AH118" t="n">
        <x:v>200</x:v>
      </x:c>
      <x:c r="AI118" t="str">
        <x:v>ce1fc9c5cdcd2ee8ee26eee42c40cfc198f5e1e640b981cc276225d3c4d55e28</x:v>
      </x:c>
      <x:c r="AJ118" t="str">
        <x:v>1fbc1da2672050b6b1a1ccd8c0cdb0c420d2f719bdeff82ba998509df8b0da41</x:v>
      </x:c>
    </x:row>
    <x:row r="119">
      <x:c r="A119" s="17" t="str">
        <x:v>118</x:v>
      </x:c>
      <x:c r="B119" t="str">
        <x:v>ZH-BAD-028</x:v>
      </x:c>
      <x:c r="C119" s="17" t="str">
        <x:v>028</x:v>
      </x:c>
      <x:c r="D119" t="str">
        <x:v>Bad</x:v>
      </x:c>
      <x:c r="E119" t="n">
        <x:v>30</x:v>
      </x:c>
      <x:c r="F119" t="n">
        <x:v>49</x:v>
      </x:c>
      <x:c r="G119" t="n">
        <x:v>1</x:v>
      </x:c>
      <x:c r="H119" s="18" t="n">
        <x:v>59</x:v>
      </x:c>
      <x:c r="I119" s="18" t="n">
        <x:v>68</x:v>
      </x:c>
      <x:c r="J119" s="18" t="n">
        <x:v>65</x:v>
      </x:c>
      <x:c r="K119" s="18" t="n">
        <x:v>62</x:v>
      </x:c>
      <x:c r="L119" s="18" t="n">
        <x:v>72</x:v>
      </x:c>
      <x:c r="M119" s="18" t="n">
        <x:v>55</x:v>
      </x:c>
      <x:c r="N119" s="18" t="n">
        <x:v>50</x:v>
      </x:c>
      <x:c r="O119" s="18" t="n">
        <x:v>63</x:v>
      </x:c>
      <x:c r="P119" s="18" t="n">
        <x:v>59</x:v>
      </x:c>
      <x:c r="Q119" t="str">
        <x:v>No</x:v>
      </x:c>
      <x:c r="R119" s="18" t="n">
        <x:v>10</x:v>
      </x:c>
      <x:c r="S119" s="18" t="n">
        <x:v>0</x:v>
      </x:c>
      <x:c r="T119" s="18" t="n">
        <x:v>10</x:v>
      </x:c>
      <x:c r="U119" t="str">
        <x:v>Normal</x:v>
      </x:c>
      <x:c r="V119" t="str">
        <x:v>No</x:v>
      </x:c>
      <x:c r="W119" t="str">
        <x:v>WEAK</x:v>
      </x:c>
      <x:c r="X119" t="str">
        <x:v>REWRITE_REQUIRED</x:v>
      </x:c>
      <x:c r="Y119" t="n">
        <x:v>80</x:v>
      </x:c>
      <x:c r="Z119" t="str">
        <x:v>Success</x:v>
      </x:c>
      <x:c r="AA119"/>
      <x:c r="AB119"/>
      <x:c r="AC119" s="13"/>
      <x:c r="AD119" t="n">
        <x:v>0</x:v>
      </x:c>
      <x:c r="AE119" s="19" t="n">
        <x:v>78003</x:v>
      </x:c>
      <x:c r="AF119" t="str">
        <x:v>deepseek-v4-pro</x:v>
      </x:c>
      <x:c r="AG119" s="20" t="n">
        <x:v>46237.186431608796</x:v>
      </x:c>
      <x:c r="AH119" t="n">
        <x:v>200</x:v>
      </x:c>
      <x:c r="AI119" t="str">
        <x:v>9da2a8d7acf8968c9d13394ec2a64061363bfc3604b0fb4d2ba6a94ec92d6f0e</x:v>
      </x:c>
      <x:c r="AJ119" t="str">
        <x:v>1fbc1da2672050b6b1a1ccd8c0cdb0c420d2f719bdeff82ba998509df8b0da41</x:v>
      </x:c>
    </x:row>
    <x:row r="120">
      <x:c r="A120" s="17" t="str">
        <x:v>119</x:v>
      </x:c>
      <x:c r="B120" t="str">
        <x:v>ZH-BAD-029</x:v>
      </x:c>
      <x:c r="C120" s="17" t="str">
        <x:v>029</x:v>
      </x:c>
      <x:c r="D120" t="str">
        <x:v>Bad</x:v>
      </x:c>
      <x:c r="E120" t="n">
        <x:v>30</x:v>
      </x:c>
      <x:c r="F120" t="n">
        <x:v>49</x:v>
      </x:c>
      <x:c r="G120" t="n">
        <x:v>1</x:v>
      </x:c>
      <x:c r="H120" s="18" t="n">
        <x:v>70</x:v>
      </x:c>
      <x:c r="I120" s="18" t="n">
        <x:v>75</x:v>
      </x:c>
      <x:c r="J120" s="18" t="n">
        <x:v>65</x:v>
      </x:c>
      <x:c r="K120" s="18" t="n">
        <x:v>70</x:v>
      </x:c>
      <x:c r="L120" s="18" t="n">
        <x:v>65</x:v>
      </x:c>
      <x:c r="M120" s="18" t="n">
        <x:v>60</x:v>
      </x:c>
      <x:c r="N120" s="18" t="n">
        <x:v>85</x:v>
      </x:c>
      <x:c r="O120" s="18" t="n">
        <x:v>70</x:v>
      </x:c>
      <x:c r="P120" s="18" t="n">
        <x:v>74</x:v>
      </x:c>
      <x:c r="Q120" t="str">
        <x:v>No</x:v>
      </x:c>
      <x:c r="R120" s="18" t="n">
        <x:v>21</x:v>
      </x:c>
      <x:c r="S120" s="18" t="n">
        <x:v>0</x:v>
      </x:c>
      <x:c r="T120" s="18" t="n">
        <x:v>21</x:v>
      </x:c>
      <x:c r="U120" t="str">
        <x:v>Good</x:v>
      </x:c>
      <x:c r="V120" t="str">
        <x:v>No</x:v>
      </x:c>
      <x:c r="W120" t="str">
        <x:v>SUBSTANTIAL_REWRITE</x:v>
      </x:c>
      <x:c r="X120" t="str">
        <x:v>REWRITE_REQUIRED</x:v>
      </x:c>
      <x:c r="Y120" t="n">
        <x:v>80</x:v>
      </x:c>
      <x:c r="Z120" t="str">
        <x:v>Success</x:v>
      </x:c>
      <x:c r="AA120"/>
      <x:c r="AB120"/>
      <x:c r="AC120" s="13"/>
      <x:c r="AD120" t="n">
        <x:v>0</x:v>
      </x:c>
      <x:c r="AE120" s="19" t="n">
        <x:v>88554</x:v>
      </x:c>
      <x:c r="AF120" t="str">
        <x:v>deepseek-v4-pro</x:v>
      </x:c>
      <x:c r="AG120" s="20" t="n">
        <x:v>46237.18745655093</x:v>
      </x:c>
      <x:c r="AH120" t="n">
        <x:v>200</x:v>
      </x:c>
      <x:c r="AI120" t="str">
        <x:v>bb81319569a55dcf8b699bdc29f7cf231899c7922a715da00b98166282da53a0</x:v>
      </x:c>
      <x:c r="AJ120" t="str">
        <x:v>1fbc1da2672050b6b1a1ccd8c0cdb0c420d2f719bdeff82ba998509df8b0da41</x:v>
      </x:c>
    </x:row>
    <x:row r="121">
      <x:c r="A121" s="17" t="str">
        <x:v>120</x:v>
      </x:c>
      <x:c r="B121" t="str">
        <x:v>ZH-BAD-030</x:v>
      </x:c>
      <x:c r="C121" s="17" t="str">
        <x:v>030</x:v>
      </x:c>
      <x:c r="D121" t="str">
        <x:v>Bad</x:v>
      </x:c>
      <x:c r="E121" t="n">
        <x:v>30</x:v>
      </x:c>
      <x:c r="F121" t="n">
        <x:v>49</x:v>
      </x:c>
      <x:c r="G121" t="n">
        <x:v>1</x:v>
      </x:c>
      <x:c r="H121" s="18" t="n">
        <x:v>50</x:v>
      </x:c>
      <x:c r="I121" s="18" t="n">
        <x:v>58</x:v>
      </x:c>
      <x:c r="J121" s="18" t="n">
        <x:v>42</x:v>
      </x:c>
      <x:c r="K121" s="18" t="n">
        <x:v>45</x:v>
      </x:c>
      <x:c r="L121" s="18" t="n">
        <x:v>50</x:v>
      </x:c>
      <x:c r="M121" s="18" t="n">
        <x:v>45</x:v>
      </x:c>
      <x:c r="N121" s="18" t="n">
        <x:v>60</x:v>
      </x:c>
      <x:c r="O121" s="18" t="n">
        <x:v>50</x:v>
      </x:c>
      <x:c r="P121" s="18" t="n">
        <x:v>59</x:v>
      </x:c>
      <x:c r="Q121" t="str">
        <x:v>No</x:v>
      </x:c>
      <x:c r="R121" s="18" t="n">
        <x:v>1</x:v>
      </x:c>
      <x:c r="S121" s="18" t="n">
        <x:v>0</x:v>
      </x:c>
      <x:c r="T121" s="18" t="n">
        <x:v>1</x:v>
      </x:c>
      <x:c r="U121" t="str">
        <x:v>Normal</x:v>
      </x:c>
      <x:c r="V121" t="str">
        <x:v>No</x:v>
      </x:c>
      <x:c r="W121" t="str">
        <x:v>WEAK</x:v>
      </x:c>
      <x:c r="X121" t="str">
        <x:v>REWRITE_REQUIRED</x:v>
      </x:c>
      <x:c r="Y121" t="n">
        <x:v>80</x:v>
      </x:c>
      <x:c r="Z121" t="str">
        <x:v>Success</x:v>
      </x:c>
      <x:c r="AA121"/>
      <x:c r="AB121"/>
      <x:c r="AC121" s="13"/>
      <x:c r="AD121" t="n">
        <x:v>1</x:v>
      </x:c>
      <x:c r="AE121" s="19" t="n">
        <x:v>102133</x:v>
      </x:c>
      <x:c r="AF121" t="str">
        <x:v>deepseek-v4-pro</x:v>
      </x:c>
      <x:c r="AG121" s="20" t="n">
        <x:v>46237.1886387037</x:v>
      </x:c>
      <x:c r="AH121" t="n">
        <x:v>200</x:v>
      </x:c>
      <x:c r="AI121" t="str">
        <x:v>43109ca032478edeb35ddfb269619fcf415896e58ecdde26685fa0eef5fc8232</x:v>
      </x:c>
      <x:c r="AJ121" t="str">
        <x:v>1fbc1da2672050b6b1a1ccd8c0cdb0c420d2f719bdeff82ba998509df8b0da41</x:v>
      </x:c>
    </x:row>
    <x:row r="122">
      <x:c r="A122" s="17" t="str">
        <x:v>121</x:v>
      </x:c>
      <x:c r="B122" t="str">
        <x:v>ZH-EXTREMELY-BAD-001</x:v>
      </x:c>
      <x:c r="C122" s="17" t="str">
        <x:v>001</x:v>
      </x:c>
      <x:c r="D122" t="str">
        <x:v>Extremely Bad</x:v>
      </x:c>
      <x:c r="E122" t="n">
        <x:v>0</x:v>
      </x:c>
      <x:c r="F122" t="n">
        <x:v>29</x:v>
      </x:c>
      <x:c r="G122" t="n">
        <x:v>1</x:v>
      </x:c>
      <x:c r="H122" s="18" t="n">
        <x:v>39</x:v>
      </x:c>
      <x:c r="I122" s="18" t="n">
        <x:v>45</x:v>
      </x:c>
      <x:c r="J122" s="18" t="n">
        <x:v>25</x:v>
      </x:c>
      <x:c r="K122" s="18" t="n">
        <x:v>30</x:v>
      </x:c>
      <x:c r="L122" s="18" t="n">
        <x:v>40</x:v>
      </x:c>
      <x:c r="M122" s="18" t="n">
        <x:v>20</x:v>
      </x:c>
      <x:c r="N122" s="18" t="n">
        <x:v>90</x:v>
      </x:c>
      <x:c r="O122" s="18" t="n">
        <x:v>39</x:v>
      </x:c>
      <x:c r="P122" s="18" t="n">
        <x:v>59</x:v>
      </x:c>
      <x:c r="Q122" t="str">
        <x:v>No</x:v>
      </x:c>
      <x:c r="R122" s="18" t="n">
        <x:v>10</x:v>
      </x:c>
      <x:c r="S122" s="18" t="n">
        <x:v>0</x:v>
      </x:c>
      <x:c r="T122" s="18" t="n">
        <x:v>10</x:v>
      </x:c>
      <x:c r="U122" t="str">
        <x:v>Bad</x:v>
      </x:c>
      <x:c r="V122" t="str">
        <x:v>No</x:v>
      </x:c>
      <x:c r="W122" t="str">
        <x:v>SEVERELY_DEFICIENT</x:v>
      </x:c>
      <x:c r="X122" t="str">
        <x:v>REWRITE_REQUIRED</x:v>
      </x:c>
      <x:c r="Y122" t="n">
        <x:v>80</x:v>
      </x:c>
      <x:c r="Z122" t="str">
        <x:v>Success</x:v>
      </x:c>
      <x:c r="AA122"/>
      <x:c r="AB122"/>
      <x:c r="AC122" s="13"/>
      <x:c r="AD122" t="n">
        <x:v>0</x:v>
      </x:c>
      <x:c r="AE122" s="19" t="n">
        <x:v>61654</x:v>
      </x:c>
      <x:c r="AF122" t="str">
        <x:v>deepseek-v4-pro</x:v>
      </x:c>
      <x:c r="AG122" s="20" t="n">
        <x:v>46237.15787703704</x:v>
      </x:c>
      <x:c r="AH122" t="n">
        <x:v>200</x:v>
      </x:c>
      <x:c r="AI122" t="str">
        <x:v>caebc203c7a54cbbcd33bc13b5d78520da56091ce6b6a71278c871c037dbf056</x:v>
      </x:c>
      <x:c r="AJ122" t="str">
        <x:v>1fbc1da2672050b6b1a1ccd8c0cdb0c420d2f719bdeff82ba998509df8b0da41</x:v>
      </x:c>
    </x:row>
    <x:row r="123">
      <x:c r="A123" s="17" t="str">
        <x:v>122</x:v>
      </x:c>
      <x:c r="B123" t="str">
        <x:v>ZH-EXTREMELY-BAD-002</x:v>
      </x:c>
      <x:c r="C123" s="17" t="str">
        <x:v>002</x:v>
      </x:c>
      <x:c r="D123" t="str">
        <x:v>Extremely Bad</x:v>
      </x:c>
      <x:c r="E123" t="n">
        <x:v>0</x:v>
      </x:c>
      <x:c r="F123" t="n">
        <x:v>29</x:v>
      </x:c>
      <x:c r="G123" t="n">
        <x:v>1</x:v>
      </x:c>
      <x:c r="H123" s="18" t="n">
        <x:v>32</x:v>
      </x:c>
      <x:c r="I123" s="18" t="n">
        <x:v>25</x:v>
      </x:c>
      <x:c r="J123" s="18" t="n">
        <x:v>15</x:v>
      </x:c>
      <x:c r="K123" s="18" t="n">
        <x:v>20</x:v>
      </x:c>
      <x:c r="L123" s="18" t="n">
        <x:v>45</x:v>
      </x:c>
      <x:c r="M123" s="18" t="n">
        <x:v>25</x:v>
      </x:c>
      <x:c r="N123" s="18" t="n">
        <x:v>90</x:v>
      </x:c>
      <x:c r="O123" s="18" t="n">
        <x:v>32</x:v>
      </x:c>
      <x:c r="P123" s="18" t="n">
        <x:v>59</x:v>
      </x:c>
      <x:c r="Q123" t="str">
        <x:v>No</x:v>
      </x:c>
      <x:c r="R123" s="18" t="n">
        <x:v>3</x:v>
      </x:c>
      <x:c r="S123" s="18" t="n">
        <x:v>0</x:v>
      </x:c>
      <x:c r="T123" s="18" t="n">
        <x:v>3</x:v>
      </x:c>
      <x:c r="U123" t="str">
        <x:v>Bad</x:v>
      </x:c>
      <x:c r="V123" t="str">
        <x:v>No</x:v>
      </x:c>
      <x:c r="W123" t="str">
        <x:v>SEVERELY_DEFICIENT</x:v>
      </x:c>
      <x:c r="X123" t="str">
        <x:v>REWRITE_REQUIRED</x:v>
      </x:c>
      <x:c r="Y123" t="n">
        <x:v>80</x:v>
      </x:c>
      <x:c r="Z123" t="str">
        <x:v>Success</x:v>
      </x:c>
      <x:c r="AA123"/>
      <x:c r="AB123"/>
      <x:c r="AC123" s="13"/>
      <x:c r="AD123" t="n">
        <x:v>0</x:v>
      </x:c>
      <x:c r="AE123" s="19" t="n">
        <x:v>81285</x:v>
      </x:c>
      <x:c r="AF123" t="str">
        <x:v>deepseek-v4-pro</x:v>
      </x:c>
      <x:c r="AG123" s="20" t="n">
        <x:v>46237.15881784722</x:v>
      </x:c>
      <x:c r="AH123" t="n">
        <x:v>200</x:v>
      </x:c>
      <x:c r="AI123" t="str">
        <x:v>86c092a1768470cb17f37d441a65fc1ba4840c19ab965bbd47d8f596a960731e</x:v>
      </x:c>
      <x:c r="AJ123" t="str">
        <x:v>1fbc1da2672050b6b1a1ccd8c0cdb0c420d2f719bdeff82ba998509df8b0da41</x:v>
      </x:c>
    </x:row>
    <x:row r="124">
      <x:c r="A124" s="17" t="str">
        <x:v>123</x:v>
      </x:c>
      <x:c r="B124" t="str">
        <x:v>ZH-EXTREMELY-BAD-003</x:v>
      </x:c>
      <x:c r="C124" s="17" t="str">
        <x:v>003</x:v>
      </x:c>
      <x:c r="D124" t="str">
        <x:v>Extremely Bad</x:v>
      </x:c>
      <x:c r="E124" t="n">
        <x:v>0</x:v>
      </x:c>
      <x:c r="F124" t="n">
        <x:v>29</x:v>
      </x:c>
      <x:c r="G124" t="n">
        <x:v>1</x:v>
      </x:c>
      <x:c r="H124" s="18" t="n">
        <x:v>39</x:v>
      </x:c>
      <x:c r="I124" s="18" t="n">
        <x:v>45</x:v>
      </x:c>
      <x:c r="J124" s="18" t="n">
        <x:v>20</x:v>
      </x:c>
      <x:c r="K124" s="18" t="n">
        <x:v>40</x:v>
      </x:c>
      <x:c r="L124" s="18" t="n">
        <x:v>45</x:v>
      </x:c>
      <x:c r="M124" s="18" t="n">
        <x:v>35</x:v>
      </x:c>
      <x:c r="N124" s="18" t="n">
        <x:v>60</x:v>
      </x:c>
      <x:c r="O124" s="18" t="n">
        <x:v>39</x:v>
      </x:c>
      <x:c r="P124" s="18" t="n">
        <x:v>39</x:v>
      </x:c>
      <x:c r="Q124" t="str">
        <x:v>No</x:v>
      </x:c>
      <x:c r="R124" s="18" t="n">
        <x:v>10</x:v>
      </x:c>
      <x:c r="S124" s="18" t="n">
        <x:v>0</x:v>
      </x:c>
      <x:c r="T124" s="18" t="n">
        <x:v>10</x:v>
      </x:c>
      <x:c r="U124" t="str">
        <x:v>Bad</x:v>
      </x:c>
      <x:c r="V124" t="str">
        <x:v>No</x:v>
      </x:c>
      <x:c r="W124" t="str">
        <x:v>SEVERELY_DEFICIENT</x:v>
      </x:c>
      <x:c r="X124" t="str">
        <x:v>REWRITE_REQUIRED</x:v>
      </x:c>
      <x:c r="Y124" t="n">
        <x:v>80</x:v>
      </x:c>
      <x:c r="Z124" t="str">
        <x:v>Success</x:v>
      </x:c>
      <x:c r="AA124"/>
      <x:c r="AB124"/>
      <x:c r="AC124" s="13"/>
      <x:c r="AD124" t="n">
        <x:v>0</x:v>
      </x:c>
      <x:c r="AE124" s="19" t="n">
        <x:v>71589</x:v>
      </x:c>
      <x:c r="AF124" t="str">
        <x:v>deepseek-v4-pro</x:v>
      </x:c>
      <x:c r="AG124" s="20" t="n">
        <x:v>46237.15964643518</x:v>
      </x:c>
      <x:c r="AH124" t="n">
        <x:v>200</x:v>
      </x:c>
      <x:c r="AI124" t="str">
        <x:v>f53d7c979c54e94728243aff60453777f5a3bb594e8322dee843dcb246219b2f</x:v>
      </x:c>
      <x:c r="AJ124" t="str">
        <x:v>1fbc1da2672050b6b1a1ccd8c0cdb0c420d2f719bdeff82ba998509df8b0da41</x:v>
      </x:c>
    </x:row>
    <x:row r="125">
      <x:c r="A125" s="17" t="str">
        <x:v>124</x:v>
      </x:c>
      <x:c r="B125" t="str">
        <x:v>ZH-EXTREMELY-BAD-004</x:v>
      </x:c>
      <x:c r="C125" s="17" t="str">
        <x:v>004</x:v>
      </x:c>
      <x:c r="D125" t="str">
        <x:v>Extremely Bad</x:v>
      </x:c>
      <x:c r="E125" t="n">
        <x:v>0</x:v>
      </x:c>
      <x:c r="F125" t="n">
        <x:v>29</x:v>
      </x:c>
      <x:c r="G125" t="n">
        <x:v>1</x:v>
      </x:c>
      <x:c r="H125" s="18" t="n">
        <x:v>34</x:v>
      </x:c>
      <x:c r="I125" s="18" t="n">
        <x:v>25</x:v>
      </x:c>
      <x:c r="J125" s="18" t="n">
        <x:v>20</x:v>
      </x:c>
      <x:c r="K125" s="18" t="n">
        <x:v>20</x:v>
      </x:c>
      <x:c r="L125" s="18" t="n">
        <x:v>50</x:v>
      </x:c>
      <x:c r="M125" s="18" t="n">
        <x:v>30</x:v>
      </x:c>
      <x:c r="N125" s="18" t="n">
        <x:v>90</x:v>
      </x:c>
      <x:c r="O125" s="18" t="n">
        <x:v>34</x:v>
      </x:c>
      <x:c r="P125" s="18" t="n">
        <x:v>39</x:v>
      </x:c>
      <x:c r="Q125" t="str">
        <x:v>No</x:v>
      </x:c>
      <x:c r="R125" s="18" t="n">
        <x:v>5</x:v>
      </x:c>
      <x:c r="S125" s="18" t="n">
        <x:v>0</x:v>
      </x:c>
      <x:c r="T125" s="18" t="n">
        <x:v>5</x:v>
      </x:c>
      <x:c r="U125" t="str">
        <x:v>Bad</x:v>
      </x:c>
      <x:c r="V125" t="str">
        <x:v>No</x:v>
      </x:c>
      <x:c r="W125" t="str">
        <x:v>SEVERELY_DEFICIENT</x:v>
      </x:c>
      <x:c r="X125" t="str">
        <x:v>REWRITE_REQUIRED</x:v>
      </x:c>
      <x:c r="Y125" t="n">
        <x:v>80</x:v>
      </x:c>
      <x:c r="Z125" t="str">
        <x:v>Success</x:v>
      </x:c>
      <x:c r="AA125"/>
      <x:c r="AB125"/>
      <x:c r="AC125" s="13"/>
      <x:c r="AD125" t="n">
        <x:v>1</x:v>
      </x:c>
      <x:c r="AE125" s="19" t="n">
        <x:v>83698</x:v>
      </x:c>
      <x:c r="AF125" t="str">
        <x:v>deepseek-v4-pro</x:v>
      </x:c>
      <x:c r="AG125" s="20" t="n">
        <x:v>46237.16061519676</x:v>
      </x:c>
      <x:c r="AH125" t="n">
        <x:v>200</x:v>
      </x:c>
      <x:c r="AI125" t="str">
        <x:v>fbc039603a9978143a660ad03622e6a2a2331bf5d1e6745df367a617da06d903</x:v>
      </x:c>
      <x:c r="AJ125" t="str">
        <x:v>1fbc1da2672050b6b1a1ccd8c0cdb0c420d2f719bdeff82ba998509df8b0da41</x:v>
      </x:c>
    </x:row>
    <x:row r="126">
      <x:c r="A126" s="17" t="str">
        <x:v>125</x:v>
      </x:c>
      <x:c r="B126" t="str">
        <x:v>ZH-EXTREMELY-BAD-005</x:v>
      </x:c>
      <x:c r="C126" s="17" t="str">
        <x:v>005</x:v>
      </x:c>
      <x:c r="D126" t="str">
        <x:v>Extremely Bad</x:v>
      </x:c>
      <x:c r="E126" t="n">
        <x:v>0</x:v>
      </x:c>
      <x:c r="F126" t="n">
        <x:v>29</x:v>
      </x:c>
      <x:c r="G126" t="n">
        <x:v>1</x:v>
      </x:c>
      <x:c r="H126" s="18" t="n">
        <x:v>29</x:v>
      </x:c>
      <x:c r="I126" s="18" t="n">
        <x:v>20</x:v>
      </x:c>
      <x:c r="J126" s="18" t="n">
        <x:v>15</x:v>
      </x:c>
      <x:c r="K126" s="18" t="n">
        <x:v>20</x:v>
      </x:c>
      <x:c r="L126" s="18" t="n">
        <x:v>40</x:v>
      </x:c>
      <x:c r="M126" s="18" t="n">
        <x:v>20</x:v>
      </x:c>
      <x:c r="N126" s="18" t="n">
        <x:v>90</x:v>
      </x:c>
      <x:c r="O126" s="18" t="n">
        <x:v>29</x:v>
      </x:c>
      <x:c r="P126" s="18" t="n">
        <x:v>39</x:v>
      </x:c>
      <x:c r="Q126" t="str">
        <x:v>Yes</x:v>
      </x:c>
      <x:c r="R126" s="18" t="n">
        <x:v>0</x:v>
      </x:c>
      <x:c r="S126" s="18" t="n">
        <x:v>0</x:v>
      </x:c>
      <x:c r="T126" s="18" t="n">
        <x:v>0</x:v>
      </x:c>
      <x:c r="U126" t="str">
        <x:v>Extremely Bad</x:v>
      </x:c>
      <x:c r="V126" t="str">
        <x:v>Yes</x:v>
      </x:c>
      <x:c r="W126" t="str">
        <x:v>SEVERELY_DEFICIENT</x:v>
      </x:c>
      <x:c r="X126" t="str">
        <x:v>REWRITE_REQUIRED</x:v>
      </x:c>
      <x:c r="Y126" t="n">
        <x:v>80</x:v>
      </x:c>
      <x:c r="Z126" t="str">
        <x:v>Success</x:v>
      </x:c>
      <x:c r="AA126"/>
      <x:c r="AB126"/>
      <x:c r="AC126" s="13"/>
      <x:c r="AD126" t="n">
        <x:v>0</x:v>
      </x:c>
      <x:c r="AE126" s="19" t="n">
        <x:v>65533</x:v>
      </x:c>
      <x:c r="AF126" t="str">
        <x:v>deepseek-v4-pro</x:v>
      </x:c>
      <x:c r="AG126" s="20" t="n">
        <x:v>46237.16137369213</x:v>
      </x:c>
      <x:c r="AH126" t="n">
        <x:v>200</x:v>
      </x:c>
      <x:c r="AI126" t="str">
        <x:v>b044038581585d79cd085f3d2595734dbfd6c796d6ae0b47290e8557cdc6ccf9</x:v>
      </x:c>
      <x:c r="AJ126" t="str">
        <x:v>1fbc1da2672050b6b1a1ccd8c0cdb0c420d2f719bdeff82ba998509df8b0da41</x:v>
      </x:c>
    </x:row>
    <x:row r="127">
      <x:c r="A127" s="17" t="str">
        <x:v>126</x:v>
      </x:c>
      <x:c r="B127" t="str">
        <x:v>ZH-EXTREMELY-BAD-006</x:v>
      </x:c>
      <x:c r="C127" s="17" t="str">
        <x:v>006</x:v>
      </x:c>
      <x:c r="D127" t="str">
        <x:v>Extremely Bad</x:v>
      </x:c>
      <x:c r="E127" t="n">
        <x:v>0</x:v>
      </x:c>
      <x:c r="F127" t="n">
        <x:v>29</x:v>
      </x:c>
      <x:c r="G127" t="n">
        <x:v>1</x:v>
      </x:c>
      <x:c r="H127" s="18" t="n">
        <x:v>48</x:v>
      </x:c>
      <x:c r="I127" s="18" t="n">
        <x:v>45</x:v>
      </x:c>
      <x:c r="J127" s="18" t="n">
        <x:v>35</x:v>
      </x:c>
      <x:c r="K127" s="18" t="n">
        <x:v>45</x:v>
      </x:c>
      <x:c r="L127" s="18" t="n">
        <x:v>55</x:v>
      </x:c>
      <x:c r="M127" s="18" t="n">
        <x:v>50</x:v>
      </x:c>
      <x:c r="N127" s="18" t="n">
        <x:v>75</x:v>
      </x:c>
      <x:c r="O127" s="18" t="n">
        <x:v>48</x:v>
      </x:c>
      <x:c r="P127" s="18" t="n">
        <x:v>59</x:v>
      </x:c>
      <x:c r="Q127" t="str">
        <x:v>No</x:v>
      </x:c>
      <x:c r="R127" s="18" t="n">
        <x:v>19</x:v>
      </x:c>
      <x:c r="S127" s="18" t="n">
        <x:v>0</x:v>
      </x:c>
      <x:c r="T127" s="18" t="n">
        <x:v>19</x:v>
      </x:c>
      <x:c r="U127" t="str">
        <x:v>Bad</x:v>
      </x:c>
      <x:c r="V127" t="str">
        <x:v>No</x:v>
      </x:c>
      <x:c r="W127" t="str">
        <x:v>WEAK</x:v>
      </x:c>
      <x:c r="X127" t="str">
        <x:v>REWRITE_REQUIRED</x:v>
      </x:c>
      <x:c r="Y127" t="n">
        <x:v>80</x:v>
      </x:c>
      <x:c r="Z127" t="str">
        <x:v>Success</x:v>
      </x:c>
      <x:c r="AA127"/>
      <x:c r="AB127"/>
      <x:c r="AC127" s="13"/>
      <x:c r="AD127" t="n">
        <x:v>0</x:v>
      </x:c>
      <x:c r="AE127" s="19" t="n">
        <x:v>86498</x:v>
      </x:c>
      <x:c r="AF127" t="str">
        <x:v>deepseek-v4-pro</x:v>
      </x:c>
      <x:c r="AG127" s="20" t="n">
        <x:v>46237.16237484954</x:v>
      </x:c>
      <x:c r="AH127" t="n">
        <x:v>200</x:v>
      </x:c>
      <x:c r="AI127" t="str">
        <x:v>2762541e567ec2ac646dd57ee0c8ebfd939e654af63fd9053e5a24b30fcf67ab</x:v>
      </x:c>
      <x:c r="AJ127" t="str">
        <x:v>1fbc1da2672050b6b1a1ccd8c0cdb0c420d2f719bdeff82ba998509df8b0da41</x:v>
      </x:c>
    </x:row>
    <x:row r="128">
      <x:c r="A128" s="17" t="str">
        <x:v>127</x:v>
      </x:c>
      <x:c r="B128" t="str">
        <x:v>ZH-EXTREMELY-BAD-007</x:v>
      </x:c>
      <x:c r="C128" s="17" t="str">
        <x:v>007</x:v>
      </x:c>
      <x:c r="D128" t="str">
        <x:v>Extremely Bad</x:v>
      </x:c>
      <x:c r="E128" t="n">
        <x:v>0</x:v>
      </x:c>
      <x:c r="F128" t="n">
        <x:v>29</x:v>
      </x:c>
      <x:c r="G128" t="n">
        <x:v>1</x:v>
      </x:c>
      <x:c r="H128" s="18" t="n">
        <x:v>50</x:v>
      </x:c>
      <x:c r="I128" s="18" t="n">
        <x:v>45</x:v>
      </x:c>
      <x:c r="J128" s="18" t="n">
        <x:v>30</x:v>
      </x:c>
      <x:c r="K128" s="18" t="n">
        <x:v>35</x:v>
      </x:c>
      <x:c r="L128" s="18" t="n">
        <x:v>65</x:v>
      </x:c>
      <x:c r="M128" s="18" t="n">
        <x:v>60</x:v>
      </x:c>
      <x:c r="N128" s="18" t="n">
        <x:v>90</x:v>
      </x:c>
      <x:c r="O128" s="18" t="n">
        <x:v>50</x:v>
      </x:c>
      <x:c r="P128" s="18" t="n">
        <x:v>59</x:v>
      </x:c>
      <x:c r="Q128" t="str">
        <x:v>No</x:v>
      </x:c>
      <x:c r="R128" s="18" t="n">
        <x:v>21</x:v>
      </x:c>
      <x:c r="S128" s="18" t="n">
        <x:v>0</x:v>
      </x:c>
      <x:c r="T128" s="18" t="n">
        <x:v>21</x:v>
      </x:c>
      <x:c r="U128" t="str">
        <x:v>Normal</x:v>
      </x:c>
      <x:c r="V128" t="str">
        <x:v>No</x:v>
      </x:c>
      <x:c r="W128" t="str">
        <x:v>WEAK</x:v>
      </x:c>
      <x:c r="X128" t="str">
        <x:v>REWRITE_REQUIRED</x:v>
      </x:c>
      <x:c r="Y128" t="n">
        <x:v>80</x:v>
      </x:c>
      <x:c r="Z128" t="str">
        <x:v>Success</x:v>
      </x:c>
      <x:c r="AA128"/>
      <x:c r="AB128"/>
      <x:c r="AC128" s="13"/>
      <x:c r="AD128" t="n">
        <x:v>0</x:v>
      </x:c>
      <x:c r="AE128" s="19" t="n">
        <x:v>71491</x:v>
      </x:c>
      <x:c r="AF128" t="str">
        <x:v>deepseek-v4-pro</x:v>
      </x:c>
      <x:c r="AG128" s="20" t="n">
        <x:v>46237.16320236111</x:v>
      </x:c>
      <x:c r="AH128" t="n">
        <x:v>200</x:v>
      </x:c>
      <x:c r="AI128" t="str">
        <x:v>3670852672e0132b94139ad7cf611cd38459db1140a68e98fdb299ade3511431</x:v>
      </x:c>
      <x:c r="AJ128" t="str">
        <x:v>1fbc1da2672050b6b1a1ccd8c0cdb0c420d2f719bdeff82ba998509df8b0da41</x:v>
      </x:c>
    </x:row>
    <x:row r="129">
      <x:c r="A129" s="17" t="str">
        <x:v>128</x:v>
      </x:c>
      <x:c r="B129" t="str">
        <x:v>ZH-EXTREMELY-BAD-008</x:v>
      </x:c>
      <x:c r="C129" s="17" t="str">
        <x:v>008</x:v>
      </x:c>
      <x:c r="D129" t="str">
        <x:v>Extremely Bad</x:v>
      </x:c>
      <x:c r="E129" t="n">
        <x:v>0</x:v>
      </x:c>
      <x:c r="F129" t="n">
        <x:v>29</x:v>
      </x:c>
      <x:c r="G129" t="n">
        <x:v>1</x:v>
      </x:c>
      <x:c r="H129" s="18" t="n">
        <x:v>35</x:v>
      </x:c>
      <x:c r="I129" s="18" t="n">
        <x:v>20</x:v>
      </x:c>
      <x:c r="J129" s="18" t="n">
        <x:v>10</x:v>
      </x:c>
      <x:c r="K129" s="18" t="n">
        <x:v>20</x:v>
      </x:c>
      <x:c r="L129" s="18" t="n">
        <x:v>85</x:v>
      </x:c>
      <x:c r="M129" s="18" t="n">
        <x:v>20</x:v>
      </x:c>
      <x:c r="N129" s="18" t="n">
        <x:v>95</x:v>
      </x:c>
      <x:c r="O129" s="18" t="n">
        <x:v>35</x:v>
      </x:c>
      <x:c r="P129" s="18" t="n">
        <x:v>39</x:v>
      </x:c>
      <x:c r="Q129" t="str">
        <x:v>No</x:v>
      </x:c>
      <x:c r="R129" s="18" t="n">
        <x:v>6</x:v>
      </x:c>
      <x:c r="S129" s="18" t="n">
        <x:v>0</x:v>
      </x:c>
      <x:c r="T129" s="18" t="n">
        <x:v>6</x:v>
      </x:c>
      <x:c r="U129" t="str">
        <x:v>Bad</x:v>
      </x:c>
      <x:c r="V129" t="str">
        <x:v>No</x:v>
      </x:c>
      <x:c r="W129" t="str">
        <x:v>SEVERELY_DEFICIENT</x:v>
      </x:c>
      <x:c r="X129" t="str">
        <x:v>REWRITE_REQUIRED</x:v>
      </x:c>
      <x:c r="Y129" t="n">
        <x:v>80</x:v>
      </x:c>
      <x:c r="Z129" t="str">
        <x:v>Success</x:v>
      </x:c>
      <x:c r="AA129"/>
      <x:c r="AB129"/>
      <x:c r="AC129" s="13"/>
      <x:c r="AD129" t="n">
        <x:v>0</x:v>
      </x:c>
      <x:c r="AE129" s="19" t="n">
        <x:v>84142</x:v>
      </x:c>
      <x:c r="AF129" t="str">
        <x:v>deepseek-v4-pro</x:v>
      </x:c>
      <x:c r="AG129" s="20" t="n">
        <x:v>46237.164176273145</x:v>
      </x:c>
      <x:c r="AH129" t="n">
        <x:v>200</x:v>
      </x:c>
      <x:c r="AI129" t="str">
        <x:v>2cc9a9a206f80af77f7fe68095cc75243a2a0f630df4038988702b059a609279</x:v>
      </x:c>
      <x:c r="AJ129" t="str">
        <x:v>1fbc1da2672050b6b1a1ccd8c0cdb0c420d2f719bdeff82ba998509df8b0da41</x:v>
      </x:c>
    </x:row>
    <x:row r="130">
      <x:c r="A130" s="17" t="str">
        <x:v>129</x:v>
      </x:c>
      <x:c r="B130" t="str">
        <x:v>ZH-EXTREMELY-BAD-009</x:v>
      </x:c>
      <x:c r="C130" s="17" t="str">
        <x:v>009</x:v>
      </x:c>
      <x:c r="D130" t="str">
        <x:v>Extremely Bad</x:v>
      </x:c>
      <x:c r="E130" t="n">
        <x:v>0</x:v>
      </x:c>
      <x:c r="F130" t="n">
        <x:v>29</x:v>
      </x:c>
      <x:c r="G130" t="n">
        <x:v>1</x:v>
      </x:c>
      <x:c r="H130" s="18" t="n">
        <x:v>27</x:v>
      </x:c>
      <x:c r="I130" s="18" t="n">
        <x:v>30</x:v>
      </x:c>
      <x:c r="J130" s="18" t="n">
        <x:v>20</x:v>
      </x:c>
      <x:c r="K130" s="18" t="n">
        <x:v>20</x:v>
      </x:c>
      <x:c r="L130" s="18" t="n">
        <x:v>30</x:v>
      </x:c>
      <x:c r="M130" s="18" t="n">
        <x:v>10</x:v>
      </x:c>
      <x:c r="N130" s="18" t="n">
        <x:v>60</x:v>
      </x:c>
      <x:c r="O130" s="18" t="n">
        <x:v>27</x:v>
      </x:c>
      <x:c r="P130" s="18" t="n">
        <x:v>59</x:v>
      </x:c>
      <x:c r="Q130" t="str">
        <x:v>Yes</x:v>
      </x:c>
      <x:c r="R130" s="18" t="n">
        <x:v>0</x:v>
      </x:c>
      <x:c r="S130" s="18" t="n">
        <x:v>0</x:v>
      </x:c>
      <x:c r="T130" s="18" t="n">
        <x:v>0</x:v>
      </x:c>
      <x:c r="U130" t="str">
        <x:v>Extremely Bad</x:v>
      </x:c>
      <x:c r="V130" t="str">
        <x:v>Yes</x:v>
      </x:c>
      <x:c r="W130" t="str">
        <x:v>SEVERELY_DEFICIENT</x:v>
      </x:c>
      <x:c r="X130" t="str">
        <x:v>REWRITE_REQUIRED</x:v>
      </x:c>
      <x:c r="Y130" t="n">
        <x:v>80</x:v>
      </x:c>
      <x:c r="Z130" t="str">
        <x:v>Success</x:v>
      </x:c>
      <x:c r="AA130"/>
      <x:c r="AB130"/>
      <x:c r="AC130" s="13"/>
      <x:c r="AD130" t="n">
        <x:v>0</x:v>
      </x:c>
      <x:c r="AE130" s="19" t="n">
        <x:v>48721</x:v>
      </x:c>
      <x:c r="AF130" t="str">
        <x:v>deepseek-v4-pro</x:v>
      </x:c>
      <x:c r="AG130" s="20" t="n">
        <x:v>46237.16474020833</x:v>
      </x:c>
      <x:c r="AH130" t="n">
        <x:v>200</x:v>
      </x:c>
      <x:c r="AI130" t="str">
        <x:v>83b9d16e9643c49762776f35ffb153d22f5cff6ed51317a33dc5366a25cfb18e</x:v>
      </x:c>
      <x:c r="AJ130" t="str">
        <x:v>1fbc1da2672050b6b1a1ccd8c0cdb0c420d2f719bdeff82ba998509df8b0da41</x:v>
      </x:c>
    </x:row>
    <x:row r="131">
      <x:c r="A131" s="17" t="str">
        <x:v>130</x:v>
      </x:c>
      <x:c r="B131" t="str">
        <x:v>ZH-EXTREMELY-BAD-010</x:v>
      </x:c>
      <x:c r="C131" s="17" t="str">
        <x:v>010</x:v>
      </x:c>
      <x:c r="D131" t="str">
        <x:v>Extremely Bad</x:v>
      </x:c>
      <x:c r="E131" t="n">
        <x:v>0</x:v>
      </x:c>
      <x:c r="F131" t="n">
        <x:v>29</x:v>
      </x:c>
      <x:c r="G131" t="n">
        <x:v>1</x:v>
      </x:c>
      <x:c r="H131" s="18" t="n">
        <x:v>28</x:v>
      </x:c>
      <x:c r="I131" s="18" t="n">
        <x:v>20</x:v>
      </x:c>
      <x:c r="J131" s="18" t="n">
        <x:v>15</x:v>
      </x:c>
      <x:c r="K131" s="18" t="n">
        <x:v>20</x:v>
      </x:c>
      <x:c r="L131" s="18" t="n">
        <x:v>30</x:v>
      </x:c>
      <x:c r="M131" s="18" t="n">
        <x:v>20</x:v>
      </x:c>
      <x:c r="N131" s="18" t="n">
        <x:v>90</x:v>
      </x:c>
      <x:c r="O131" s="18" t="n">
        <x:v>28</x:v>
      </x:c>
      <x:c r="P131" s="18" t="n">
        <x:v>39</x:v>
      </x:c>
      <x:c r="Q131" t="str">
        <x:v>Yes</x:v>
      </x:c>
      <x:c r="R131" s="18" t="n">
        <x:v>0</x:v>
      </x:c>
      <x:c r="S131" s="18" t="n">
        <x:v>0</x:v>
      </x:c>
      <x:c r="T131" s="18" t="n">
        <x:v>0</x:v>
      </x:c>
      <x:c r="U131" t="str">
        <x:v>Extremely Bad</x:v>
      </x:c>
      <x:c r="V131" t="str">
        <x:v>Yes</x:v>
      </x:c>
      <x:c r="W131" t="str">
        <x:v>SEVERELY_DEFICIENT</x:v>
      </x:c>
      <x:c r="X131" t="str">
        <x:v>REWRITE_REQUIRED</x:v>
      </x:c>
      <x:c r="Y131" t="n">
        <x:v>80</x:v>
      </x:c>
      <x:c r="Z131" t="str">
        <x:v>Success</x:v>
      </x:c>
      <x:c r="AA131"/>
      <x:c r="AB131"/>
      <x:c r="AC131" s="13"/>
      <x:c r="AD131" t="n">
        <x:v>0</x:v>
      </x:c>
      <x:c r="AE131" s="19" t="n">
        <x:v>79473</x:v>
      </x:c>
      <x:c r="AF131" t="str">
        <x:v>deepseek-v4-pro</x:v>
      </x:c>
      <x:c r="AG131" s="20" t="n">
        <x:v>46237.16566003472</x:v>
      </x:c>
      <x:c r="AH131" t="n">
        <x:v>200</x:v>
      </x:c>
      <x:c r="AI131" t="str">
        <x:v>a8d6915e5a6f57c753dec9066ee21e385ac7db00e97c101899adc811dc28aa17</x:v>
      </x:c>
      <x:c r="AJ131" t="str">
        <x:v>1fbc1da2672050b6b1a1ccd8c0cdb0c420d2f719bdeff82ba998509df8b0da41</x:v>
      </x:c>
    </x:row>
    <x:row r="132">
      <x:c r="A132" s="17" t="str">
        <x:v>131</x:v>
      </x:c>
      <x:c r="B132" t="str">
        <x:v>ZH-EXTREMELY-BAD-011</x:v>
      </x:c>
      <x:c r="C132" s="17" t="str">
        <x:v>011</x:v>
      </x:c>
      <x:c r="D132" t="str">
        <x:v>Extremely Bad</x:v>
      </x:c>
      <x:c r="E132" t="n">
        <x:v>0</x:v>
      </x:c>
      <x:c r="F132" t="n">
        <x:v>29</x:v>
      </x:c>
      <x:c r="G132" t="n">
        <x:v>1</x:v>
      </x:c>
      <x:c r="H132" s="18" t="n">
        <x:v>34</x:v>
      </x:c>
      <x:c r="I132" s="18" t="n">
        <x:v>40</x:v>
      </x:c>
      <x:c r="J132" s="18" t="n">
        <x:v>25</x:v>
      </x:c>
      <x:c r="K132" s="18" t="n">
        <x:v>30</x:v>
      </x:c>
      <x:c r="L132" s="18" t="n">
        <x:v>35</x:v>
      </x:c>
      <x:c r="M132" s="18" t="n">
        <x:v>25</x:v>
      </x:c>
      <x:c r="N132" s="18" t="n">
        <x:v>50</x:v>
      </x:c>
      <x:c r="O132" s="18" t="n">
        <x:v>34</x:v>
      </x:c>
      <x:c r="P132" s="18" t="n">
        <x:v>59</x:v>
      </x:c>
      <x:c r="Q132" t="str">
        <x:v>No</x:v>
      </x:c>
      <x:c r="R132" s="18" t="n">
        <x:v>5</x:v>
      </x:c>
      <x:c r="S132" s="18" t="n">
        <x:v>0</x:v>
      </x:c>
      <x:c r="T132" s="18" t="n">
        <x:v>5</x:v>
      </x:c>
      <x:c r="U132" t="str">
        <x:v>Bad</x:v>
      </x:c>
      <x:c r="V132" t="str">
        <x:v>No</x:v>
      </x:c>
      <x:c r="W132" t="str">
        <x:v>SEVERELY_DEFICIENT</x:v>
      </x:c>
      <x:c r="X132" t="str">
        <x:v>REWRITE_REQUIRED</x:v>
      </x:c>
      <x:c r="Y132" t="n">
        <x:v>80</x:v>
      </x:c>
      <x:c r="Z132" t="str">
        <x:v>Success</x:v>
      </x:c>
      <x:c r="AA132"/>
      <x:c r="AB132"/>
      <x:c r="AC132" s="13"/>
      <x:c r="AD132" t="n">
        <x:v>0</x:v>
      </x:c>
      <x:c r="AE132" s="19" t="n">
        <x:v>71006</x:v>
      </x:c>
      <x:c r="AF132" t="str">
        <x:v>deepseek-v4-pro</x:v>
      </x:c>
      <x:c r="AG132" s="20" t="n">
        <x:v>46237.16648194444</x:v>
      </x:c>
      <x:c r="AH132" t="n">
        <x:v>200</x:v>
      </x:c>
      <x:c r="AI132" t="str">
        <x:v>c63e42fa384288a06af4e9bdbae0f78d29b26f456132389ee864770b27138564</x:v>
      </x:c>
      <x:c r="AJ132" t="str">
        <x:v>1fbc1da2672050b6b1a1ccd8c0cdb0c420d2f719bdeff82ba998509df8b0da41</x:v>
      </x:c>
    </x:row>
    <x:row r="133">
      <x:c r="A133" s="17" t="str">
        <x:v>132</x:v>
      </x:c>
      <x:c r="B133" t="str">
        <x:v>ZH-EXTREMELY-BAD-012</x:v>
      </x:c>
      <x:c r="C133" s="17" t="str">
        <x:v>012</x:v>
      </x:c>
      <x:c r="D133" t="str">
        <x:v>Extremely Bad</x:v>
      </x:c>
      <x:c r="E133" t="n">
        <x:v>0</x:v>
      </x:c>
      <x:c r="F133" t="n">
        <x:v>29</x:v>
      </x:c>
      <x:c r="G133" t="n">
        <x:v>1</x:v>
      </x:c>
      <x:c r="H133" s="18" t="n">
        <x:v>43</x:v>
      </x:c>
      <x:c r="I133" s="18" t="n">
        <x:v>45</x:v>
      </x:c>
      <x:c r="J133" s="18" t="n">
        <x:v>40</x:v>
      </x:c>
      <x:c r="K133" s="18" t="n">
        <x:v>30</x:v>
      </x:c>
      <x:c r="L133" s="18" t="n">
        <x:v>35</x:v>
      </x:c>
      <x:c r="M133" s="18" t="n">
        <x:v>30</x:v>
      </x:c>
      <x:c r="N133" s="18" t="n">
        <x:v>95</x:v>
      </x:c>
      <x:c r="O133" s="18" t="n">
        <x:v>43</x:v>
      </x:c>
      <x:c r="P133" s="18" t="n">
        <x:v>59</x:v>
      </x:c>
      <x:c r="Q133" t="str">
        <x:v>No</x:v>
      </x:c>
      <x:c r="R133" s="18" t="n">
        <x:v>14</x:v>
      </x:c>
      <x:c r="S133" s="18" t="n">
        <x:v>0</x:v>
      </x:c>
      <x:c r="T133" s="18" t="n">
        <x:v>14</x:v>
      </x:c>
      <x:c r="U133" t="str">
        <x:v>Bad</x:v>
      </x:c>
      <x:c r="V133" t="str">
        <x:v>No</x:v>
      </x:c>
      <x:c r="W133" t="str">
        <x:v>WEAK</x:v>
      </x:c>
      <x:c r="X133" t="str">
        <x:v>REWRITE_REQUIRED</x:v>
      </x:c>
      <x:c r="Y133" t="n">
        <x:v>80</x:v>
      </x:c>
      <x:c r="Z133" t="str">
        <x:v>Success</x:v>
      </x:c>
      <x:c r="AA133"/>
      <x:c r="AB133"/>
      <x:c r="AC133" s="13"/>
      <x:c r="AD133" t="n">
        <x:v>0</x:v>
      </x:c>
      <x:c r="AE133" s="19" t="n">
        <x:v>55444</x:v>
      </x:c>
      <x:c r="AF133" t="str">
        <x:v>deepseek-v4-pro</x:v>
      </x:c>
      <x:c r="AG133" s="20" t="n">
        <x:v>46237.16712366898</x:v>
      </x:c>
      <x:c r="AH133" t="n">
        <x:v>200</x:v>
      </x:c>
      <x:c r="AI133" t="str">
        <x:v>8a9a4fe6bd6f132bc212678a89aae15f137640a2a8e6423996c2656a753e2348</x:v>
      </x:c>
      <x:c r="AJ133" t="str">
        <x:v>1fbc1da2672050b6b1a1ccd8c0cdb0c420d2f719bdeff82ba998509df8b0da41</x:v>
      </x:c>
    </x:row>
    <x:row r="134">
      <x:c r="A134" s="17" t="str">
        <x:v>133</x:v>
      </x:c>
      <x:c r="B134" t="str">
        <x:v>ZH-EXTREMELY-BAD-013</x:v>
      </x:c>
      <x:c r="C134" s="17" t="str">
        <x:v>013</x:v>
      </x:c>
      <x:c r="D134" t="str">
        <x:v>Extremely Bad</x:v>
      </x:c>
      <x:c r="E134" t="n">
        <x:v>0</x:v>
      </x:c>
      <x:c r="F134" t="n">
        <x:v>29</x:v>
      </x:c>
      <x:c r="G134" t="n">
        <x:v>1</x:v>
      </x:c>
      <x:c r="H134" s="18" t="n">
        <x:v>47</x:v>
      </x:c>
      <x:c r="I134" s="18" t="n">
        <x:v>45</x:v>
      </x:c>
      <x:c r="J134" s="18" t="n">
        <x:v>40</x:v>
      </x:c>
      <x:c r="K134" s="18" t="n">
        <x:v>40</x:v>
      </x:c>
      <x:c r="L134" s="18" t="n">
        <x:v>45</x:v>
      </x:c>
      <x:c r="M134" s="18" t="n">
        <x:v>40</x:v>
      </x:c>
      <x:c r="N134" s="18" t="n">
        <x:v>90</x:v>
      </x:c>
      <x:c r="O134" s="18" t="n">
        <x:v>47</x:v>
      </x:c>
      <x:c r="P134" s="18" t="n">
        <x:v>59</x:v>
      </x:c>
      <x:c r="Q134" t="str">
        <x:v>No</x:v>
      </x:c>
      <x:c r="R134" s="18" t="n">
        <x:v>18</x:v>
      </x:c>
      <x:c r="S134" s="18" t="n">
        <x:v>0</x:v>
      </x:c>
      <x:c r="T134" s="18" t="n">
        <x:v>18</x:v>
      </x:c>
      <x:c r="U134" t="str">
        <x:v>Bad</x:v>
      </x:c>
      <x:c r="V134" t="str">
        <x:v>No</x:v>
      </x:c>
      <x:c r="W134" t="str">
        <x:v>WEAK</x:v>
      </x:c>
      <x:c r="X134" t="str">
        <x:v>REWRITE_REQUIRED</x:v>
      </x:c>
      <x:c r="Y134" t="n">
        <x:v>80</x:v>
      </x:c>
      <x:c r="Z134" t="str">
        <x:v>Success</x:v>
      </x:c>
      <x:c r="AA134"/>
      <x:c r="AB134"/>
      <x:c r="AC134" s="13"/>
      <x:c r="AD134" t="n">
        <x:v>0</x:v>
      </x:c>
      <x:c r="AE134" s="19" t="n">
        <x:v>136325</x:v>
      </x:c>
      <x:c r="AF134" t="str">
        <x:v>deepseek-v4-pro</x:v>
      </x:c>
      <x:c r="AG134" s="20" t="n">
        <x:v>46237.168701539355</x:v>
      </x:c>
      <x:c r="AH134" t="n">
        <x:v>200</x:v>
      </x:c>
      <x:c r="AI134" t="str">
        <x:v>b2f50081a42e62e9b8c32dd1c940bf96fa21d83d1944ce5728b4e72d0c0200fd</x:v>
      </x:c>
      <x:c r="AJ134" t="str">
        <x:v>1fbc1da2672050b6b1a1ccd8c0cdb0c420d2f719bdeff82ba998509df8b0da41</x:v>
      </x:c>
    </x:row>
    <x:row r="135">
      <x:c r="A135" s="17" t="str">
        <x:v>134</x:v>
      </x:c>
      <x:c r="B135" t="str">
        <x:v>ZH-EXTREMELY-BAD-014</x:v>
      </x:c>
      <x:c r="C135" s="17" t="str">
        <x:v>014</x:v>
      </x:c>
      <x:c r="D135" t="str">
        <x:v>Extremely Bad</x:v>
      </x:c>
      <x:c r="E135" t="n">
        <x:v>0</x:v>
      </x:c>
      <x:c r="F135" t="n">
        <x:v>29</x:v>
      </x:c>
      <x:c r="G135" t="n">
        <x:v>1</x:v>
      </x:c>
      <x:c r="H135" s="18" t="n">
        <x:v>49</x:v>
      </x:c>
      <x:c r="I135" s="18" t="n">
        <x:v>46</x:v>
      </x:c>
      <x:c r="J135" s="18" t="n">
        <x:v>38</x:v>
      </x:c>
      <x:c r="K135" s="18" t="n">
        <x:v>45</x:v>
      </x:c>
      <x:c r="L135" s="18" t="n">
        <x:v>48</x:v>
      </x:c>
      <x:c r="M135" s="18" t="n">
        <x:v>45</x:v>
      </x:c>
      <x:c r="N135" s="18" t="n">
        <x:v>90</x:v>
      </x:c>
      <x:c r="O135" s="18" t="n">
        <x:v>49</x:v>
      </x:c>
      <x:c r="P135" s="18" t="n">
        <x:v>59</x:v>
      </x:c>
      <x:c r="Q135" t="str">
        <x:v>No</x:v>
      </x:c>
      <x:c r="R135" s="18" t="n">
        <x:v>20</x:v>
      </x:c>
      <x:c r="S135" s="18" t="n">
        <x:v>0</x:v>
      </x:c>
      <x:c r="T135" s="18" t="n">
        <x:v>20</x:v>
      </x:c>
      <x:c r="U135" t="str">
        <x:v>Bad</x:v>
      </x:c>
      <x:c r="V135" t="str">
        <x:v>No</x:v>
      </x:c>
      <x:c r="W135" t="str">
        <x:v>WEAK</x:v>
      </x:c>
      <x:c r="X135" t="str">
        <x:v>REWRITE_REQUIRED</x:v>
      </x:c>
      <x:c r="Y135" t="n">
        <x:v>80</x:v>
      </x:c>
      <x:c r="Z135" t="str">
        <x:v>Success</x:v>
      </x:c>
      <x:c r="AA135"/>
      <x:c r="AB135"/>
      <x:c r="AC135" s="13"/>
      <x:c r="AD135" t="n">
        <x:v>0</x:v>
      </x:c>
      <x:c r="AE135" s="19" t="n">
        <x:v>102316</x:v>
      </x:c>
      <x:c r="AF135" t="str">
        <x:v>deepseek-v4-pro</x:v>
      </x:c>
      <x:c r="AG135" s="20" t="n">
        <x:v>46237.16988576389</x:v>
      </x:c>
      <x:c r="AH135" t="n">
        <x:v>200</x:v>
      </x:c>
      <x:c r="AI135" t="str">
        <x:v>ce6b8738282976aea74018bbf2b0f0ccde4008e247ae6fc960d09b8741dada74</x:v>
      </x:c>
      <x:c r="AJ135" t="str">
        <x:v>1fbc1da2672050b6b1a1ccd8c0cdb0c420d2f719bdeff82ba998509df8b0da41</x:v>
      </x:c>
    </x:row>
    <x:row r="136">
      <x:c r="A136" s="17" t="str">
        <x:v>135</x:v>
      </x:c>
      <x:c r="B136" t="str">
        <x:v>ZH-EXTREMELY-BAD-015</x:v>
      </x:c>
      <x:c r="C136" s="17" t="str">
        <x:v>015</x:v>
      </x:c>
      <x:c r="D136" t="str">
        <x:v>Extremely Bad</x:v>
      </x:c>
      <x:c r="E136" t="n">
        <x:v>0</x:v>
      </x:c>
      <x:c r="F136" t="n">
        <x:v>29</x:v>
      </x:c>
      <x:c r="G136" t="n">
        <x:v>1</x:v>
      </x:c>
      <x:c r="H136" s="18" t="n">
        <x:v>43</x:v>
      </x:c>
      <x:c r="I136" s="18" t="n">
        <x:v>45</x:v>
      </x:c>
      <x:c r="J136" s="18" t="n">
        <x:v>35</x:v>
      </x:c>
      <x:c r="K136" s="18" t="n">
        <x:v>35</x:v>
      </x:c>
      <x:c r="L136" s="18" t="n">
        <x:v>40</x:v>
      </x:c>
      <x:c r="M136" s="18" t="n">
        <x:v>40</x:v>
      </x:c>
      <x:c r="N136" s="18" t="n">
        <x:v>70</x:v>
      </x:c>
      <x:c r="O136" s="18" t="n">
        <x:v>43</x:v>
      </x:c>
      <x:c r="P136" s="18" t="n">
        <x:v>59</x:v>
      </x:c>
      <x:c r="Q136" t="str">
        <x:v>No</x:v>
      </x:c>
      <x:c r="R136" s="18" t="n">
        <x:v>14</x:v>
      </x:c>
      <x:c r="S136" s="18" t="n">
        <x:v>0</x:v>
      </x:c>
      <x:c r="T136" s="18" t="n">
        <x:v>14</x:v>
      </x:c>
      <x:c r="U136" t="str">
        <x:v>Bad</x:v>
      </x:c>
      <x:c r="V136" t="str">
        <x:v>No</x:v>
      </x:c>
      <x:c r="W136" t="str">
        <x:v>WEAK</x:v>
      </x:c>
      <x:c r="X136" t="str">
        <x:v>REWRITE_REQUIRED</x:v>
      </x:c>
      <x:c r="Y136" t="n">
        <x:v>80</x:v>
      </x:c>
      <x:c r="Z136" t="str">
        <x:v>Success</x:v>
      </x:c>
      <x:c r="AA136"/>
      <x:c r="AB136"/>
      <x:c r="AC136" s="13"/>
      <x:c r="AD136" t="n">
        <x:v>0</x:v>
      </x:c>
      <x:c r="AE136" s="19" t="n">
        <x:v>80663</x:v>
      </x:c>
      <x:c r="AF136" t="str">
        <x:v>deepseek-v4-pro</x:v>
      </x:c>
      <x:c r="AG136" s="20" t="n">
        <x:v>46237.1708194213</x:v>
      </x:c>
      <x:c r="AH136" t="n">
        <x:v>200</x:v>
      </x:c>
      <x:c r="AI136" t="str">
        <x:v>e5a758cf7d681d02b0e01ddb50a066da848a0fe144751509abcec98179e16e78</x:v>
      </x:c>
      <x:c r="AJ136" t="str">
        <x:v>1fbc1da2672050b6b1a1ccd8c0cdb0c420d2f719bdeff82ba998509df8b0da41</x:v>
      </x:c>
    </x:row>
    <x:row r="137">
      <x:c r="A137" s="17" t="str">
        <x:v>136</x:v>
      </x:c>
      <x:c r="B137" t="str">
        <x:v>ZH-EXTREMELY-BAD-016</x:v>
      </x:c>
      <x:c r="C137" s="17" t="str">
        <x:v>016</x:v>
      </x:c>
      <x:c r="D137" t="str">
        <x:v>Extremely Bad</x:v>
      </x:c>
      <x:c r="E137" t="n">
        <x:v>0</x:v>
      </x:c>
      <x:c r="F137" t="n">
        <x:v>29</x:v>
      </x:c>
      <x:c r="G137" t="n">
        <x:v>1</x:v>
      </x:c>
      <x:c r="H137" s="18" t="n">
        <x:v>43</x:v>
      </x:c>
      <x:c r="I137" s="18" t="n">
        <x:v>45</x:v>
      </x:c>
      <x:c r="J137" s="18" t="n">
        <x:v>35</x:v>
      </x:c>
      <x:c r="K137" s="18" t="n">
        <x:v>40</x:v>
      </x:c>
      <x:c r="L137" s="18" t="n">
        <x:v>40</x:v>
      </x:c>
      <x:c r="M137" s="18" t="n">
        <x:v>40</x:v>
      </x:c>
      <x:c r="N137" s="18" t="n">
        <x:v>65</x:v>
      </x:c>
      <x:c r="O137" s="18" t="n">
        <x:v>43</x:v>
      </x:c>
      <x:c r="P137" s="18" t="n">
        <x:v>59</x:v>
      </x:c>
      <x:c r="Q137" t="str">
        <x:v>No</x:v>
      </x:c>
      <x:c r="R137" s="18" t="n">
        <x:v>14</x:v>
      </x:c>
      <x:c r="S137" s="18" t="n">
        <x:v>0</x:v>
      </x:c>
      <x:c r="T137" s="18" t="n">
        <x:v>14</x:v>
      </x:c>
      <x:c r="U137" t="str">
        <x:v>Bad</x:v>
      </x:c>
      <x:c r="V137" t="str">
        <x:v>No</x:v>
      </x:c>
      <x:c r="W137" t="str">
        <x:v>WEAK</x:v>
      </x:c>
      <x:c r="X137" t="str">
        <x:v>REWRITE_REQUIRED</x:v>
      </x:c>
      <x:c r="Y137" t="n">
        <x:v>80</x:v>
      </x:c>
      <x:c r="Z137" t="str">
        <x:v>Success</x:v>
      </x:c>
      <x:c r="AA137"/>
      <x:c r="AB137"/>
      <x:c r="AC137" s="13"/>
      <x:c r="AD137" t="n">
        <x:v>0</x:v>
      </x:c>
      <x:c r="AE137" s="19" t="n">
        <x:v>80150</x:v>
      </x:c>
      <x:c r="AF137" t="str">
        <x:v>deepseek-v4-pro</x:v>
      </x:c>
      <x:c r="AG137" s="20" t="n">
        <x:v>46237.17174712963</x:v>
      </x:c>
      <x:c r="AH137" t="n">
        <x:v>200</x:v>
      </x:c>
      <x:c r="AI137" t="str">
        <x:v>a3f488c252b2774693c85889de3846e3ffbd45c73ec5f2e525a0ea56250fcd62</x:v>
      </x:c>
      <x:c r="AJ137" t="str">
        <x:v>1fbc1da2672050b6b1a1ccd8c0cdb0c420d2f719bdeff82ba998509df8b0da41</x:v>
      </x:c>
    </x:row>
    <x:row r="138">
      <x:c r="A138" s="17" t="str">
        <x:v>137</x:v>
      </x:c>
      <x:c r="B138" t="str">
        <x:v>ZH-EXTREMELY-BAD-017</x:v>
      </x:c>
      <x:c r="C138" s="17" t="str">
        <x:v>017</x:v>
      </x:c>
      <x:c r="D138" t="str">
        <x:v>Extremely Bad</x:v>
      </x:c>
      <x:c r="E138" t="n">
        <x:v>0</x:v>
      </x:c>
      <x:c r="F138" t="n">
        <x:v>29</x:v>
      </x:c>
      <x:c r="G138" t="n">
        <x:v>1</x:v>
      </x:c>
      <x:c r="H138" s="18" t="n">
        <x:v>45</x:v>
      </x:c>
      <x:c r="I138" s="18" t="n">
        <x:v>45</x:v>
      </x:c>
      <x:c r="J138" s="18" t="n">
        <x:v>35</x:v>
      </x:c>
      <x:c r="K138" s="18" t="n">
        <x:v>35</x:v>
      </x:c>
      <x:c r="L138" s="18" t="n">
        <x:v>40</x:v>
      </x:c>
      <x:c r="M138" s="18" t="n">
        <x:v>40</x:v>
      </x:c>
      <x:c r="N138" s="18" t="n">
        <x:v>90</x:v>
      </x:c>
      <x:c r="O138" s="18" t="n">
        <x:v>45</x:v>
      </x:c>
      <x:c r="P138" s="18" t="n">
        <x:v>59</x:v>
      </x:c>
      <x:c r="Q138" t="str">
        <x:v>No</x:v>
      </x:c>
      <x:c r="R138" s="18" t="n">
        <x:v>16</x:v>
      </x:c>
      <x:c r="S138" s="18" t="n">
        <x:v>0</x:v>
      </x:c>
      <x:c r="T138" s="18" t="n">
        <x:v>16</x:v>
      </x:c>
      <x:c r="U138" t="str">
        <x:v>Bad</x:v>
      </x:c>
      <x:c r="V138" t="str">
        <x:v>No</x:v>
      </x:c>
      <x:c r="W138" t="str">
        <x:v>WEAK</x:v>
      </x:c>
      <x:c r="X138" t="str">
        <x:v>REWRITE_REQUIRED</x:v>
      </x:c>
      <x:c r="Y138" t="n">
        <x:v>80</x:v>
      </x:c>
      <x:c r="Z138" t="str">
        <x:v>Success</x:v>
      </x:c>
      <x:c r="AA138"/>
      <x:c r="AB138"/>
      <x:c r="AC138" s="13"/>
      <x:c r="AD138" t="n">
        <x:v>0</x:v>
      </x:c>
      <x:c r="AE138" s="19" t="n">
        <x:v>65388</x:v>
      </x:c>
      <x:c r="AF138" t="str">
        <x:v>deepseek-v4-pro</x:v>
      </x:c>
      <x:c r="AG138" s="20" t="n">
        <x:v>46237.172503981485</x:v>
      </x:c>
      <x:c r="AH138" t="n">
        <x:v>200</x:v>
      </x:c>
      <x:c r="AI138" t="str">
        <x:v>0e90fb8d250ee4db40dfc06317a9af3f1f1d9aa426f2d9a29ae373cf2beab279</x:v>
      </x:c>
      <x:c r="AJ138" t="str">
        <x:v>1fbc1da2672050b6b1a1ccd8c0cdb0c420d2f719bdeff82ba998509df8b0da41</x:v>
      </x:c>
    </x:row>
    <x:row r="139">
      <x:c r="A139" s="17" t="str">
        <x:v>138</x:v>
      </x:c>
      <x:c r="B139" t="str">
        <x:v>ZH-EXTREMELY-BAD-018</x:v>
      </x:c>
      <x:c r="C139" s="17" t="str">
        <x:v>018</x:v>
      </x:c>
      <x:c r="D139" t="str">
        <x:v>Extremely Bad</x:v>
      </x:c>
      <x:c r="E139" t="n">
        <x:v>0</x:v>
      </x:c>
      <x:c r="F139" t="n">
        <x:v>29</x:v>
      </x:c>
      <x:c r="G139" t="n">
        <x:v>1</x:v>
      </x:c>
      <x:c r="H139" s="18" t="n">
        <x:v>31</x:v>
      </x:c>
      <x:c r="I139" s="18" t="n">
        <x:v>25</x:v>
      </x:c>
      <x:c r="J139" s="18" t="n">
        <x:v>20</x:v>
      </x:c>
      <x:c r="K139" s="18" t="n">
        <x:v>25</x:v>
      </x:c>
      <x:c r="L139" s="18" t="n">
        <x:v>30</x:v>
      </x:c>
      <x:c r="M139" s="18" t="n">
        <x:v>25</x:v>
      </x:c>
      <x:c r="N139" s="18" t="n">
        <x:v>90</x:v>
      </x:c>
      <x:c r="O139" s="18" t="n">
        <x:v>31</x:v>
      </x:c>
      <x:c r="P139" s="18" t="n">
        <x:v>59</x:v>
      </x:c>
      <x:c r="Q139" t="str">
        <x:v>No</x:v>
      </x:c>
      <x:c r="R139" s="18" t="n">
        <x:v>2</x:v>
      </x:c>
      <x:c r="S139" s="18" t="n">
        <x:v>0</x:v>
      </x:c>
      <x:c r="T139" s="18" t="n">
        <x:v>2</x:v>
      </x:c>
      <x:c r="U139" t="str">
        <x:v>Bad</x:v>
      </x:c>
      <x:c r="V139" t="str">
        <x:v>No</x:v>
      </x:c>
      <x:c r="W139" t="str">
        <x:v>SEVERELY_DEFICIENT</x:v>
      </x:c>
      <x:c r="X139" t="str">
        <x:v>REWRITE_REQUIRED</x:v>
      </x:c>
      <x:c r="Y139" t="n">
        <x:v>80</x:v>
      </x:c>
      <x:c r="Z139" t="str">
        <x:v>Success</x:v>
      </x:c>
      <x:c r="AA139"/>
      <x:c r="AB139"/>
      <x:c r="AC139" s="13"/>
      <x:c r="AD139" t="n">
        <x:v>0</x:v>
      </x:c>
      <x:c r="AE139" s="19" t="n">
        <x:v>53179</x:v>
      </x:c>
      <x:c r="AF139" t="str">
        <x:v>deepseek-v4-pro</x:v>
      </x:c>
      <x:c r="AG139" s="20" t="n">
        <x:v>46237.17311950232</x:v>
      </x:c>
      <x:c r="AH139" t="n">
        <x:v>200</x:v>
      </x:c>
      <x:c r="AI139" t="str">
        <x:v>4c991761e313d515228db25de88ba99bb9c88e256de70c6d12072acb529f51aa</x:v>
      </x:c>
      <x:c r="AJ139" t="str">
        <x:v>1fbc1da2672050b6b1a1ccd8c0cdb0c420d2f719bdeff82ba998509df8b0da41</x:v>
      </x:c>
    </x:row>
    <x:row r="140">
      <x:c r="A140" s="17" t="str">
        <x:v>139</x:v>
      </x:c>
      <x:c r="B140" t="str">
        <x:v>ZH-EXTREMELY-BAD-019</x:v>
      </x:c>
      <x:c r="C140" s="17" t="str">
        <x:v>019</x:v>
      </x:c>
      <x:c r="D140" t="str">
        <x:v>Extremely Bad</x:v>
      </x:c>
      <x:c r="E140" t="n">
        <x:v>0</x:v>
      </x:c>
      <x:c r="F140" t="n">
        <x:v>29</x:v>
      </x:c>
      <x:c r="G140" t="n">
        <x:v>1</x:v>
      </x:c>
      <x:c r="H140" s="18" t="n">
        <x:v>34</x:v>
      </x:c>
      <x:c r="I140" s="18" t="n">
        <x:v>30</x:v>
      </x:c>
      <x:c r="J140" s="18" t="n">
        <x:v>25</x:v>
      </x:c>
      <x:c r="K140" s="18" t="n">
        <x:v>25</x:v>
      </x:c>
      <x:c r="L140" s="18" t="n">
        <x:v>30</x:v>
      </x:c>
      <x:c r="M140" s="18" t="n">
        <x:v>25</x:v>
      </x:c>
      <x:c r="N140" s="18" t="n">
        <x:v>90</x:v>
      </x:c>
      <x:c r="O140" s="18" t="n">
        <x:v>34</x:v>
      </x:c>
      <x:c r="P140" s="18" t="n">
        <x:v>39</x:v>
      </x:c>
      <x:c r="Q140" t="str">
        <x:v>No</x:v>
      </x:c>
      <x:c r="R140" s="18" t="n">
        <x:v>5</x:v>
      </x:c>
      <x:c r="S140" s="18" t="n">
        <x:v>0</x:v>
      </x:c>
      <x:c r="T140" s="18" t="n">
        <x:v>5</x:v>
      </x:c>
      <x:c r="U140" t="str">
        <x:v>Bad</x:v>
      </x:c>
      <x:c r="V140" t="str">
        <x:v>No</x:v>
      </x:c>
      <x:c r="W140" t="str">
        <x:v>SEVERELY_DEFICIENT</x:v>
      </x:c>
      <x:c r="X140" t="str">
        <x:v>REWRITE_REQUIRED</x:v>
      </x:c>
      <x:c r="Y140" t="n">
        <x:v>80</x:v>
      </x:c>
      <x:c r="Z140" t="str">
        <x:v>Success</x:v>
      </x:c>
      <x:c r="AA140"/>
      <x:c r="AB140"/>
      <x:c r="AC140" s="13"/>
      <x:c r="AD140" t="n">
        <x:v>0</x:v>
      </x:c>
      <x:c r="AE140" s="19" t="n">
        <x:v>133046</x:v>
      </x:c>
      <x:c r="AF140" t="str">
        <x:v>deepseek-v4-pro</x:v>
      </x:c>
      <x:c r="AG140" s="20" t="n">
        <x:v>46237.1746594213</x:v>
      </x:c>
      <x:c r="AH140" t="n">
        <x:v>200</x:v>
      </x:c>
      <x:c r="AI140" t="str">
        <x:v>21c6960107b9b07f70d3ba60d7da3d831773d035e01fa417ce5c039540c89615</x:v>
      </x:c>
      <x:c r="AJ140" t="str">
        <x:v>1fbc1da2672050b6b1a1ccd8c0cdb0c420d2f719bdeff82ba998509df8b0da41</x:v>
      </x:c>
    </x:row>
    <x:row r="141">
      <x:c r="A141" s="17" t="str">
        <x:v>140</x:v>
      </x:c>
      <x:c r="B141" t="str">
        <x:v>ZH-EXTREMELY-BAD-020</x:v>
      </x:c>
      <x:c r="C141" s="17" t="str">
        <x:v>020</x:v>
      </x:c>
      <x:c r="D141" t="str">
        <x:v>Extremely Bad</x:v>
      </x:c>
      <x:c r="E141" t="n">
        <x:v>0</x:v>
      </x:c>
      <x:c r="F141" t="n">
        <x:v>29</x:v>
      </x:c>
      <x:c r="G141" t="n">
        <x:v>1</x:v>
      </x:c>
      <x:c r="H141" s="18" t="n">
        <x:v>41</x:v>
      </x:c>
      <x:c r="I141" s="18" t="n">
        <x:v>45</x:v>
      </x:c>
      <x:c r="J141" s="18" t="n">
        <x:v>35</x:v>
      </x:c>
      <x:c r="K141" s="18" t="n">
        <x:v>30</x:v>
      </x:c>
      <x:c r="L141" s="18" t="n">
        <x:v>35</x:v>
      </x:c>
      <x:c r="M141" s="18" t="n">
        <x:v>40</x:v>
      </x:c>
      <x:c r="N141" s="18" t="n">
        <x:v>65</x:v>
      </x:c>
      <x:c r="O141" s="18" t="n">
        <x:v>41</x:v>
      </x:c>
      <x:c r="P141" s="18" t="n">
        <x:v>59</x:v>
      </x:c>
      <x:c r="Q141" t="str">
        <x:v>No</x:v>
      </x:c>
      <x:c r="R141" s="18" t="n">
        <x:v>12</x:v>
      </x:c>
      <x:c r="S141" s="18" t="n">
        <x:v>0</x:v>
      </x:c>
      <x:c r="T141" s="18" t="n">
        <x:v>12</x:v>
      </x:c>
      <x:c r="U141" t="str">
        <x:v>Bad</x:v>
      </x:c>
      <x:c r="V141" t="str">
        <x:v>No</x:v>
      </x:c>
      <x:c r="W141" t="str">
        <x:v>WEAK</x:v>
      </x:c>
      <x:c r="X141" t="str">
        <x:v>REWRITE_REQUIRED</x:v>
      </x:c>
      <x:c r="Y141" t="n">
        <x:v>80</x:v>
      </x:c>
      <x:c r="Z141" t="str">
        <x:v>Success</x:v>
      </x:c>
      <x:c r="AA141"/>
      <x:c r="AB141"/>
      <x:c r="AC141" s="13"/>
      <x:c r="AD141" t="n">
        <x:v>0</x:v>
      </x:c>
      <x:c r="AE141" s="19" t="n">
        <x:v>49114</x:v>
      </x:c>
      <x:c r="AF141" t="str">
        <x:v>deepseek-v4-pro</x:v>
      </x:c>
      <x:c r="AG141" s="20" t="n">
        <x:v>46237.17522789352</x:v>
      </x:c>
      <x:c r="AH141" t="n">
        <x:v>200</x:v>
      </x:c>
      <x:c r="AI141" t="str">
        <x:v>f6ff5fe7c08d9345aee154660bf3643f6e4bd35ad1f8bc4fa31ca1eda98a989b</x:v>
      </x:c>
      <x:c r="AJ141" t="str">
        <x:v>1fbc1da2672050b6b1a1ccd8c0cdb0c420d2f719bdeff82ba998509df8b0da41</x:v>
      </x:c>
    </x:row>
    <x:row r="142">
      <x:c r="A142" s="17" t="str">
        <x:v>141</x:v>
      </x:c>
      <x:c r="B142" t="str">
        <x:v>ZH-EXTREMELY-BAD-021</x:v>
      </x:c>
      <x:c r="C142" s="17" t="str">
        <x:v>021</x:v>
      </x:c>
      <x:c r="D142" t="str">
        <x:v>Extremely Bad</x:v>
      </x:c>
      <x:c r="E142" t="n">
        <x:v>0</x:v>
      </x:c>
      <x:c r="F142" t="n">
        <x:v>29</x:v>
      </x:c>
      <x:c r="G142" t="n">
        <x:v>1</x:v>
      </x:c>
      <x:c r="H142" s="18" t="n">
        <x:v>10</x:v>
      </x:c>
      <x:c r="I142" s="18" t="n">
        <x:v>10</x:v>
      </x:c>
      <x:c r="J142" s="18" t="n">
        <x:v>10</x:v>
      </x:c>
      <x:c r="K142" s="18" t="n">
        <x:v>10</x:v>
      </x:c>
      <x:c r="L142" s="18" t="n">
        <x:v>10</x:v>
      </x:c>
      <x:c r="M142" s="18" t="n">
        <x:v>10</x:v>
      </x:c>
      <x:c r="N142" s="18" t="n">
        <x:v>10</x:v>
      </x:c>
      <x:c r="O142" s="18" t="n">
        <x:v>10</x:v>
      </x:c>
      <x:c r="P142" s="18" t="n">
        <x:v>39</x:v>
      </x:c>
      <x:c r="Q142" t="str">
        <x:v>Yes</x:v>
      </x:c>
      <x:c r="R142" s="18" t="n">
        <x:v>0</x:v>
      </x:c>
      <x:c r="S142" s="18" t="n">
        <x:v>0</x:v>
      </x:c>
      <x:c r="T142" s="18" t="n">
        <x:v>0</x:v>
      </x:c>
      <x:c r="U142" t="str">
        <x:v>Extremely Bad</x:v>
      </x:c>
      <x:c r="V142" t="str">
        <x:v>Yes</x:v>
      </x:c>
      <x:c r="W142" t="str">
        <x:v>SEVERELY_DEFICIENT</x:v>
      </x:c>
      <x:c r="X142" t="str">
        <x:v>REWRITE_REQUIRED</x:v>
      </x:c>
      <x:c r="Y142" t="n">
        <x:v>80</x:v>
      </x:c>
      <x:c r="Z142" t="str">
        <x:v>Success</x:v>
      </x:c>
      <x:c r="AA142"/>
      <x:c r="AB142"/>
      <x:c r="AC142" s="13"/>
      <x:c r="AD142" t="n">
        <x:v>0</x:v>
      </x:c>
      <x:c r="AE142" s="19" t="n">
        <x:v>53778</x:v>
      </x:c>
      <x:c r="AF142" t="str">
        <x:v>deepseek-v4-pro</x:v>
      </x:c>
      <x:c r="AG142" s="20" t="n">
        <x:v>46237.17585039352</x:v>
      </x:c>
      <x:c r="AH142" t="n">
        <x:v>200</x:v>
      </x:c>
      <x:c r="AI142" t="str">
        <x:v>4feb04aef7d6f923ccb9c302527af3fa90a4433167376adf563f89057e6a994e</x:v>
      </x:c>
      <x:c r="AJ142" t="str">
        <x:v>1fbc1da2672050b6b1a1ccd8c0cdb0c420d2f719bdeff82ba998509df8b0da41</x:v>
      </x:c>
    </x:row>
    <x:row r="143">
      <x:c r="A143" s="17" t="str">
        <x:v>142</x:v>
      </x:c>
      <x:c r="B143" t="str">
        <x:v>ZH-EXTREMELY-BAD-022</x:v>
      </x:c>
      <x:c r="C143" s="17" t="str">
        <x:v>022</x:v>
      </x:c>
      <x:c r="D143" t="str">
        <x:v>Extremely Bad</x:v>
      </x:c>
      <x:c r="E143" t="n">
        <x:v>0</x:v>
      </x:c>
      <x:c r="F143" t="n">
        <x:v>29</x:v>
      </x:c>
      <x:c r="G143" t="n">
        <x:v>1</x:v>
      </x:c>
      <x:c r="H143" s="18" t="n">
        <x:v>48</x:v>
      </x:c>
      <x:c r="I143" s="18" t="n">
        <x:v>45</x:v>
      </x:c>
      <x:c r="J143" s="18" t="n">
        <x:v>40</x:v>
      </x:c>
      <x:c r="K143" s="18" t="n">
        <x:v>40</x:v>
      </x:c>
      <x:c r="L143" s="18" t="n">
        <x:v>55</x:v>
      </x:c>
      <x:c r="M143" s="18" t="n">
        <x:v>40</x:v>
      </x:c>
      <x:c r="N143" s="18" t="n">
        <x:v>85</x:v>
      </x:c>
      <x:c r="O143" s="18" t="n">
        <x:v>48</x:v>
      </x:c>
      <x:c r="P143" s="18" t="n">
        <x:v>59</x:v>
      </x:c>
      <x:c r="Q143" t="str">
        <x:v>No</x:v>
      </x:c>
      <x:c r="R143" s="18" t="n">
        <x:v>19</x:v>
      </x:c>
      <x:c r="S143" s="18" t="n">
        <x:v>0</x:v>
      </x:c>
      <x:c r="T143" s="18" t="n">
        <x:v>19</x:v>
      </x:c>
      <x:c r="U143" t="str">
        <x:v>Bad</x:v>
      </x:c>
      <x:c r="V143" t="str">
        <x:v>No</x:v>
      </x:c>
      <x:c r="W143" t="str">
        <x:v>WEAK</x:v>
      </x:c>
      <x:c r="X143" t="str">
        <x:v>REWRITE_REQUIRED</x:v>
      </x:c>
      <x:c r="Y143" t="n">
        <x:v>80</x:v>
      </x:c>
      <x:c r="Z143" t="str">
        <x:v>Success</x:v>
      </x:c>
      <x:c r="AA143"/>
      <x:c r="AB143"/>
      <x:c r="AC143" s="13"/>
      <x:c r="AD143" t="n">
        <x:v>0</x:v>
      </x:c>
      <x:c r="AE143" s="19" t="n">
        <x:v>139011</x:v>
      </x:c>
      <x:c r="AF143" t="str">
        <x:v>deepseek-v4-pro</x:v>
      </x:c>
      <x:c r="AG143" s="20" t="n">
        <x:v>46237.17745935185</x:v>
      </x:c>
      <x:c r="AH143" t="n">
        <x:v>200</x:v>
      </x:c>
      <x:c r="AI143" t="str">
        <x:v>b5f4519a50f5428cb62d9d031d95f8effc4f0a5c18cf25f34b24fcd74b5e877f</x:v>
      </x:c>
      <x:c r="AJ143" t="str">
        <x:v>1fbc1da2672050b6b1a1ccd8c0cdb0c420d2f719bdeff82ba998509df8b0da41</x:v>
      </x:c>
    </x:row>
    <x:row r="144">
      <x:c r="A144" s="17" t="str">
        <x:v>143</x:v>
      </x:c>
      <x:c r="B144" t="str">
        <x:v>ZH-EXTREMELY-BAD-023</x:v>
      </x:c>
      <x:c r="C144" s="17" t="str">
        <x:v>023</x:v>
      </x:c>
      <x:c r="D144" t="str">
        <x:v>Extremely Bad</x:v>
      </x:c>
      <x:c r="E144" t="n">
        <x:v>0</x:v>
      </x:c>
      <x:c r="F144" t="n">
        <x:v>29</x:v>
      </x:c>
      <x:c r="G144" t="n">
        <x:v>1</x:v>
      </x:c>
      <x:c r="H144" s="18" t="n">
        <x:v>38</x:v>
      </x:c>
      <x:c r="I144" s="18" t="n">
        <x:v>42</x:v>
      </x:c>
      <x:c r="J144" s="18" t="n">
        <x:v>25</x:v>
      </x:c>
      <x:c r="K144" s="18" t="n">
        <x:v>30</x:v>
      </x:c>
      <x:c r="L144" s="18" t="n">
        <x:v>35</x:v>
      </x:c>
      <x:c r="M144" s="18" t="n">
        <x:v>30</x:v>
      </x:c>
      <x:c r="N144" s="18" t="n">
        <x:v>85</x:v>
      </x:c>
      <x:c r="O144" s="18" t="n">
        <x:v>38</x:v>
      </x:c>
      <x:c r="P144" s="18" t="n">
        <x:v>59</x:v>
      </x:c>
      <x:c r="Q144" t="str">
        <x:v>No</x:v>
      </x:c>
      <x:c r="R144" s="18" t="n">
        <x:v>9</x:v>
      </x:c>
      <x:c r="S144" s="18" t="n">
        <x:v>0</x:v>
      </x:c>
      <x:c r="T144" s="18" t="n">
        <x:v>9</x:v>
      </x:c>
      <x:c r="U144" t="str">
        <x:v>Bad</x:v>
      </x:c>
      <x:c r="V144" t="str">
        <x:v>No</x:v>
      </x:c>
      <x:c r="W144" t="str">
        <x:v>SEVERELY_DEFICIENT</x:v>
      </x:c>
      <x:c r="X144" t="str">
        <x:v>REWRITE_REQUIRED</x:v>
      </x:c>
      <x:c r="Y144" t="n">
        <x:v>80</x:v>
      </x:c>
      <x:c r="Z144" t="str">
        <x:v>Success</x:v>
      </x:c>
      <x:c r="AA144"/>
      <x:c r="AB144"/>
      <x:c r="AC144" s="13"/>
      <x:c r="AD144" t="n">
        <x:v>0</x:v>
      </x:c>
      <x:c r="AE144" s="19" t="n">
        <x:v>63677</x:v>
      </x:c>
      <x:c r="AF144" t="str">
        <x:v>deepseek-v4-pro</x:v>
      </x:c>
      <x:c r="AG144" s="20" t="n">
        <x:v>46237.178196388886</x:v>
      </x:c>
      <x:c r="AH144" t="n">
        <x:v>200</x:v>
      </x:c>
      <x:c r="AI144" t="str">
        <x:v>fe5ef18a8addc8d101ed00e7ecbe687aac423f1b57228a1450f3e2b927410db9</x:v>
      </x:c>
      <x:c r="AJ144" t="str">
        <x:v>1fbc1da2672050b6b1a1ccd8c0cdb0c420d2f719bdeff82ba998509df8b0da41</x:v>
      </x:c>
    </x:row>
    <x:row r="145">
      <x:c r="A145" s="17" t="str">
        <x:v>144</x:v>
      </x:c>
      <x:c r="B145" t="str">
        <x:v>ZH-EXTREMELY-BAD-024</x:v>
      </x:c>
      <x:c r="C145" s="17" t="str">
        <x:v>024</x:v>
      </x:c>
      <x:c r="D145" t="str">
        <x:v>Extremely Bad</x:v>
      </x:c>
      <x:c r="E145" t="n">
        <x:v>0</x:v>
      </x:c>
      <x:c r="F145" t="n">
        <x:v>29</x:v>
      </x:c>
      <x:c r="G145" t="n">
        <x:v>1</x:v>
      </x:c>
      <x:c r="H145" s="18" t="n">
        <x:v>36</x:v>
      </x:c>
      <x:c r="I145" s="18" t="n">
        <x:v>30</x:v>
      </x:c>
      <x:c r="J145" s="18" t="n">
        <x:v>20</x:v>
      </x:c>
      <x:c r="K145" s="18" t="n">
        <x:v>25</x:v>
      </x:c>
      <x:c r="L145" s="18" t="n">
        <x:v>60</x:v>
      </x:c>
      <x:c r="M145" s="18" t="n">
        <x:v>25</x:v>
      </x:c>
      <x:c r="N145" s="18" t="n">
        <x:v>80</x:v>
      </x:c>
      <x:c r="O145" s="18" t="n">
        <x:v>36</x:v>
      </x:c>
      <x:c r="P145" s="18" t="n">
        <x:v>59</x:v>
      </x:c>
      <x:c r="Q145" t="str">
        <x:v>No</x:v>
      </x:c>
      <x:c r="R145" s="18" t="n">
        <x:v>7</x:v>
      </x:c>
      <x:c r="S145" s="18" t="n">
        <x:v>0</x:v>
      </x:c>
      <x:c r="T145" s="18" t="n">
        <x:v>7</x:v>
      </x:c>
      <x:c r="U145" t="str">
        <x:v>Bad</x:v>
      </x:c>
      <x:c r="V145" t="str">
        <x:v>No</x:v>
      </x:c>
      <x:c r="W145" t="str">
        <x:v>SEVERELY_DEFICIENT</x:v>
      </x:c>
      <x:c r="X145" t="str">
        <x:v>REWRITE_REQUIRED</x:v>
      </x:c>
      <x:c r="Y145" t="n">
        <x:v>80</x:v>
      </x:c>
      <x:c r="Z145" t="str">
        <x:v>Success</x:v>
      </x:c>
      <x:c r="AA145"/>
      <x:c r="AB145"/>
      <x:c r="AC145" s="13"/>
      <x:c r="AD145" t="n">
        <x:v>0</x:v>
      </x:c>
      <x:c r="AE145" s="19" t="n">
        <x:v>63273</x:v>
      </x:c>
      <x:c r="AF145" t="str">
        <x:v>deepseek-v4-pro</x:v>
      </x:c>
      <x:c r="AG145" s="20" t="n">
        <x:v>46237.17892873842</x:v>
      </x:c>
      <x:c r="AH145" t="n">
        <x:v>200</x:v>
      </x:c>
      <x:c r="AI145" t="str">
        <x:v>42d58c161799531e7043d0955e038e46ea035d1476c5cb47e46fbed8c809afa5</x:v>
      </x:c>
      <x:c r="AJ145" t="str">
        <x:v>1fbc1da2672050b6b1a1ccd8c0cdb0c420d2f719bdeff82ba998509df8b0da41</x:v>
      </x:c>
    </x:row>
    <x:row r="146">
      <x:c r="A146" s="17" t="str">
        <x:v>145</x:v>
      </x:c>
      <x:c r="B146" t="str">
        <x:v>ZH-EXTREMELY-BAD-025</x:v>
      </x:c>
      <x:c r="C146" s="17" t="str">
        <x:v>025</x:v>
      </x:c>
      <x:c r="D146" t="str">
        <x:v>Extremely Bad</x:v>
      </x:c>
      <x:c r="E146" t="n">
        <x:v>0</x:v>
      </x:c>
      <x:c r="F146" t="n">
        <x:v>29</x:v>
      </x:c>
      <x:c r="G146" t="n">
        <x:v>1</x:v>
      </x:c>
      <x:c r="H146" s="18" t="n">
        <x:v>54</x:v>
      </x:c>
      <x:c r="I146" s="18" t="n">
        <x:v>55</x:v>
      </x:c>
      <x:c r="J146" s="18" t="n">
        <x:v>45</x:v>
      </x:c>
      <x:c r="K146" s="18" t="n">
        <x:v>50</x:v>
      </x:c>
      <x:c r="L146" s="18" t="n">
        <x:v>60</x:v>
      </x:c>
      <x:c r="M146" s="18" t="n">
        <x:v>40</x:v>
      </x:c>
      <x:c r="N146" s="18" t="n">
        <x:v>90</x:v>
      </x:c>
      <x:c r="O146" s="18" t="n">
        <x:v>54</x:v>
      </x:c>
      <x:c r="P146" s="18" t="n">
        <x:v>59</x:v>
      </x:c>
      <x:c r="Q146" t="str">
        <x:v>No</x:v>
      </x:c>
      <x:c r="R146" s="18" t="n">
        <x:v>25</x:v>
      </x:c>
      <x:c r="S146" s="18" t="n">
        <x:v>0</x:v>
      </x:c>
      <x:c r="T146" s="18" t="n">
        <x:v>25</x:v>
      </x:c>
      <x:c r="U146" t="str">
        <x:v>Normal</x:v>
      </x:c>
      <x:c r="V146" t="str">
        <x:v>No</x:v>
      </x:c>
      <x:c r="W146" t="str">
        <x:v>WEAK</x:v>
      </x:c>
      <x:c r="X146" t="str">
        <x:v>REWRITE_REQUIRED</x:v>
      </x:c>
      <x:c r="Y146" t="n">
        <x:v>80</x:v>
      </x:c>
      <x:c r="Z146" t="str">
        <x:v>Success</x:v>
      </x:c>
      <x:c r="AA146"/>
      <x:c r="AB146"/>
      <x:c r="AC146" s="13"/>
      <x:c r="AD146" t="n">
        <x:v>0</x:v>
      </x:c>
      <x:c r="AE146" s="19" t="n">
        <x:v>62157</x:v>
      </x:c>
      <x:c r="AF146" t="str">
        <x:v>deepseek-v4-pro</x:v>
      </x:c>
      <x:c r="AG146" s="20" t="n">
        <x:v>46237.179648171295</x:v>
      </x:c>
      <x:c r="AH146" t="n">
        <x:v>200</x:v>
      </x:c>
      <x:c r="AI146" t="str">
        <x:v>95535c28373be5e33d2f2e4e33a7befaaff43ee5183c60fbf8c0c1038622cc58</x:v>
      </x:c>
      <x:c r="AJ146" t="str">
        <x:v>1fbc1da2672050b6b1a1ccd8c0cdb0c420d2f719bdeff82ba998509df8b0da41</x:v>
      </x:c>
    </x:row>
    <x:row r="147">
      <x:c r="A147" s="17" t="str">
        <x:v>146</x:v>
      </x:c>
      <x:c r="B147" t="str">
        <x:v>ZH-EXTREMELY-BAD-026</x:v>
      </x:c>
      <x:c r="C147" s="17" t="str">
        <x:v>026</x:v>
      </x:c>
      <x:c r="D147" t="str">
        <x:v>Extremely Bad</x:v>
      </x:c>
      <x:c r="E147" t="n">
        <x:v>0</x:v>
      </x:c>
      <x:c r="F147" t="n">
        <x:v>29</x:v>
      </x:c>
      <x:c r="G147" t="n">
        <x:v>1</x:v>
      </x:c>
      <x:c r="H147" s="18" t="n">
        <x:v>41</x:v>
      </x:c>
      <x:c r="I147" s="18" t="n">
        <x:v>45</x:v>
      </x:c>
      <x:c r="J147" s="18" t="n">
        <x:v>35</x:v>
      </x:c>
      <x:c r="K147" s="18" t="n">
        <x:v>30</x:v>
      </x:c>
      <x:c r="L147" s="18" t="n">
        <x:v>40</x:v>
      </x:c>
      <x:c r="M147" s="18" t="n">
        <x:v>30</x:v>
      </x:c>
      <x:c r="N147" s="18" t="n">
        <x:v>80</x:v>
      </x:c>
      <x:c r="O147" s="18" t="n">
        <x:v>41</x:v>
      </x:c>
      <x:c r="P147" s="18" t="n">
        <x:v>59</x:v>
      </x:c>
      <x:c r="Q147" t="str">
        <x:v>No</x:v>
      </x:c>
      <x:c r="R147" s="18" t="n">
        <x:v>12</x:v>
      </x:c>
      <x:c r="S147" s="18" t="n">
        <x:v>0</x:v>
      </x:c>
      <x:c r="T147" s="18" t="n">
        <x:v>12</x:v>
      </x:c>
      <x:c r="U147" t="str">
        <x:v>Bad</x:v>
      </x:c>
      <x:c r="V147" t="str">
        <x:v>No</x:v>
      </x:c>
      <x:c r="W147" t="str">
        <x:v>WEAK</x:v>
      </x:c>
      <x:c r="X147" t="str">
        <x:v>REWRITE_REQUIRED</x:v>
      </x:c>
      <x:c r="Y147" t="n">
        <x:v>80</x:v>
      </x:c>
      <x:c r="Z147" t="str">
        <x:v>Success</x:v>
      </x:c>
      <x:c r="AA147"/>
      <x:c r="AB147"/>
      <x:c r="AC147" s="13"/>
      <x:c r="AD147" t="n">
        <x:v>0</x:v>
      </x:c>
      <x:c r="AE147" s="19" t="n">
        <x:v>46704</x:v>
      </x:c>
      <x:c r="AF147" t="str">
        <x:v>deepseek-v4-pro</x:v>
      </x:c>
      <x:c r="AG147" s="20" t="n">
        <x:v>46237.18018876157</x:v>
      </x:c>
      <x:c r="AH147" t="n">
        <x:v>200</x:v>
      </x:c>
      <x:c r="AI147" t="str">
        <x:v>4c659e71c8bde604a106aff032e293cee22310211b930ceedba299bd435ec275</x:v>
      </x:c>
      <x:c r="AJ147" t="str">
        <x:v>1fbc1da2672050b6b1a1ccd8c0cdb0c420d2f719bdeff82ba998509df8b0da41</x:v>
      </x:c>
    </x:row>
    <x:row r="148">
      <x:c r="A148" s="17" t="str">
        <x:v>147</x:v>
      </x:c>
      <x:c r="B148" t="str">
        <x:v>ZH-EXTREMELY-BAD-027</x:v>
      </x:c>
      <x:c r="C148" s="17" t="str">
        <x:v>027</x:v>
      </x:c>
      <x:c r="D148" t="str">
        <x:v>Extremely Bad</x:v>
      </x:c>
      <x:c r="E148" t="n">
        <x:v>0</x:v>
      </x:c>
      <x:c r="F148" t="n">
        <x:v>29</x:v>
      </x:c>
      <x:c r="G148" t="n">
        <x:v>1</x:v>
      </x:c>
      <x:c r="H148" s="18" t="n">
        <x:v>26</x:v>
      </x:c>
      <x:c r="I148" s="18" t="n">
        <x:v>20</x:v>
      </x:c>
      <x:c r="J148" s="18" t="n">
        <x:v>10</x:v>
      </x:c>
      <x:c r="K148" s="18" t="n">
        <x:v>10</x:v>
      </x:c>
      <x:c r="L148" s="18" t="n">
        <x:v>45</x:v>
      </x:c>
      <x:c r="M148" s="18" t="n">
        <x:v>20</x:v>
      </x:c>
      <x:c r="N148" s="18" t="n">
        <x:v>80</x:v>
      </x:c>
      <x:c r="O148" s="18" t="n">
        <x:v>26</x:v>
      </x:c>
      <x:c r="P148" s="18" t="n">
        <x:v>59</x:v>
      </x:c>
      <x:c r="Q148" t="str">
        <x:v>Yes</x:v>
      </x:c>
      <x:c r="R148" s="18" t="n">
        <x:v>0</x:v>
      </x:c>
      <x:c r="S148" s="18" t="n">
        <x:v>0</x:v>
      </x:c>
      <x:c r="T148" s="18" t="n">
        <x:v>0</x:v>
      </x:c>
      <x:c r="U148" t="str">
        <x:v>Extremely Bad</x:v>
      </x:c>
      <x:c r="V148" t="str">
        <x:v>Yes</x:v>
      </x:c>
      <x:c r="W148" t="str">
        <x:v>SEVERELY_DEFICIENT</x:v>
      </x:c>
      <x:c r="X148" t="str">
        <x:v>REWRITE_REQUIRED</x:v>
      </x:c>
      <x:c r="Y148" t="n">
        <x:v>80</x:v>
      </x:c>
      <x:c r="Z148" t="str">
        <x:v>Success</x:v>
      </x:c>
      <x:c r="AA148"/>
      <x:c r="AB148"/>
      <x:c r="AC148" s="13"/>
      <x:c r="AD148" t="n">
        <x:v>0</x:v>
      </x:c>
      <x:c r="AE148" s="19" t="n">
        <x:v>41885</x:v>
      </x:c>
      <x:c r="AF148" t="str">
        <x:v>deepseek-v4-pro</x:v>
      </x:c>
      <x:c r="AG148" s="20" t="n">
        <x:v>46237.18067355324</x:v>
      </x:c>
      <x:c r="AH148" t="n">
        <x:v>200</x:v>
      </x:c>
      <x:c r="AI148" t="str">
        <x:v>e11b642616cb414948b4d384ef4a7df22c0fae52ce659a7938dce3c5b1ac5eb1</x:v>
      </x:c>
      <x:c r="AJ148" t="str">
        <x:v>1fbc1da2672050b6b1a1ccd8c0cdb0c420d2f719bdeff82ba998509df8b0da41</x:v>
      </x:c>
    </x:row>
    <x:row r="149">
      <x:c r="A149" s="17" t="str">
        <x:v>148</x:v>
      </x:c>
      <x:c r="B149" t="str">
        <x:v>ZH-EXTREMELY-BAD-028</x:v>
      </x:c>
      <x:c r="C149" s="17" t="str">
        <x:v>028</x:v>
      </x:c>
      <x:c r="D149" t="str">
        <x:v>Extremely Bad</x:v>
      </x:c>
      <x:c r="E149" t="n">
        <x:v>0</x:v>
      </x:c>
      <x:c r="F149" t="n">
        <x:v>29</x:v>
      </x:c>
      <x:c r="G149" t="n">
        <x:v>1</x:v>
      </x:c>
      <x:c r="H149" s="18" t="n">
        <x:v>39</x:v>
      </x:c>
      <x:c r="I149" s="18" t="n">
        <x:v>45</x:v>
      </x:c>
      <x:c r="J149" s="18" t="n">
        <x:v>35</x:v>
      </x:c>
      <x:c r="K149" s="18" t="n">
        <x:v>45</x:v>
      </x:c>
      <x:c r="L149" s="18" t="n">
        <x:v>55</x:v>
      </x:c>
      <x:c r="M149" s="18" t="n">
        <x:v>40</x:v>
      </x:c>
      <x:c r="N149" s="18" t="n">
        <x:v>75</x:v>
      </x:c>
      <x:c r="O149" s="18" t="n">
        <x:v>47</x:v>
      </x:c>
      <x:c r="P149" s="18" t="n">
        <x:v>39</x:v>
      </x:c>
      <x:c r="Q149" t="str">
        <x:v>No</x:v>
      </x:c>
      <x:c r="R149" s="18" t="n">
        <x:v>10</x:v>
      </x:c>
      <x:c r="S149" s="18" t="n">
        <x:v>0</x:v>
      </x:c>
      <x:c r="T149" s="18" t="n">
        <x:v>10</x:v>
      </x:c>
      <x:c r="U149" t="str">
        <x:v>Bad</x:v>
      </x:c>
      <x:c r="V149" t="str">
        <x:v>No</x:v>
      </x:c>
      <x:c r="W149" t="str">
        <x:v>SEVERELY_DEFICIENT</x:v>
      </x:c>
      <x:c r="X149" t="str">
        <x:v>REWRITE_REQUIRED</x:v>
      </x:c>
      <x:c r="Y149" t="n">
        <x:v>80</x:v>
      </x:c>
      <x:c r="Z149" t="str">
        <x:v>Success</x:v>
      </x:c>
      <x:c r="AA149"/>
      <x:c r="AB149"/>
      <x:c r="AC149" s="13"/>
      <x:c r="AD149" t="n">
        <x:v>0</x:v>
      </x:c>
      <x:c r="AE149" s="19" t="n">
        <x:v>72591</x:v>
      </x:c>
      <x:c r="AF149" t="str">
        <x:v>deepseek-v4-pro</x:v>
      </x:c>
      <x:c r="AG149" s="20" t="n">
        <x:v>46237.18151375</x:v>
      </x:c>
      <x:c r="AH149" t="n">
        <x:v>200</x:v>
      </x:c>
      <x:c r="AI149" t="str">
        <x:v>4df3c7eef1cd880994ff1563c8679be9f19d64c4ffc6f6fb8407691768460ae1</x:v>
      </x:c>
      <x:c r="AJ149" t="str">
        <x:v>1fbc1da2672050b6b1a1ccd8c0cdb0c420d2f719bdeff82ba998509df8b0da41</x:v>
      </x:c>
    </x:row>
    <x:row r="150">
      <x:c r="A150" s="17" t="str">
        <x:v>149</x:v>
      </x:c>
      <x:c r="B150" t="str">
        <x:v>ZH-EXTREMELY-BAD-029</x:v>
      </x:c>
      <x:c r="C150" s="17" t="str">
        <x:v>029</x:v>
      </x:c>
      <x:c r="D150" t="str">
        <x:v>Extremely Bad</x:v>
      </x:c>
      <x:c r="E150" t="n">
        <x:v>0</x:v>
      </x:c>
      <x:c r="F150" t="n">
        <x:v>29</x:v>
      </x:c>
      <x:c r="G150" t="n">
        <x:v>1</x:v>
      </x:c>
      <x:c r="H150" s="18" t="n">
        <x:v>32</x:v>
      </x:c>
      <x:c r="I150" s="18" t="n">
        <x:v>20</x:v>
      </x:c>
      <x:c r="J150" s="18" t="n">
        <x:v>20</x:v>
      </x:c>
      <x:c r="K150" s="18" t="n">
        <x:v>20</x:v>
      </x:c>
      <x:c r="L150" s="18" t="n">
        <x:v>50</x:v>
      </x:c>
      <x:c r="M150" s="18" t="n">
        <x:v>20</x:v>
      </x:c>
      <x:c r="N150" s="18" t="n">
        <x:v>90</x:v>
      </x:c>
      <x:c r="O150" s="18" t="n">
        <x:v>32</x:v>
      </x:c>
      <x:c r="P150" s="18" t="n">
        <x:v>39</x:v>
      </x:c>
      <x:c r="Q150" t="str">
        <x:v>No</x:v>
      </x:c>
      <x:c r="R150" s="18" t="n">
        <x:v>3</x:v>
      </x:c>
      <x:c r="S150" s="18" t="n">
        <x:v>0</x:v>
      </x:c>
      <x:c r="T150" s="18" t="n">
        <x:v>3</x:v>
      </x:c>
      <x:c r="U150" t="str">
        <x:v>Bad</x:v>
      </x:c>
      <x:c r="V150" t="str">
        <x:v>No</x:v>
      </x:c>
      <x:c r="W150" t="str">
        <x:v>SEVERELY_DEFICIENT</x:v>
      </x:c>
      <x:c r="X150" t="str">
        <x:v>REWRITE_REQUIRED</x:v>
      </x:c>
      <x:c r="Y150" t="n">
        <x:v>80</x:v>
      </x:c>
      <x:c r="Z150" t="str">
        <x:v>Success</x:v>
      </x:c>
      <x:c r="AA150"/>
      <x:c r="AB150"/>
      <x:c r="AC150" s="13"/>
      <x:c r="AD150" t="n">
        <x:v>0</x:v>
      </x:c>
      <x:c r="AE150" s="19" t="n">
        <x:v>68455</x:v>
      </x:c>
      <x:c r="AF150" t="str">
        <x:v>deepseek-v4-pro</x:v>
      </x:c>
      <x:c r="AG150" s="20" t="n">
        <x:v>46237.18230608796</x:v>
      </x:c>
      <x:c r="AH150" t="n">
        <x:v>200</x:v>
      </x:c>
      <x:c r="AI150" t="str">
        <x:v>9020f774b063b39e99246b0b4fdb9826f9bc158215ac538740ab501e64214942</x:v>
      </x:c>
      <x:c r="AJ150" t="str">
        <x:v>1fbc1da2672050b6b1a1ccd8c0cdb0c420d2f719bdeff82ba998509df8b0da41</x:v>
      </x:c>
    </x:row>
    <x:row r="151">
      <x:c r="A151" s="17" t="str">
        <x:v>150</x:v>
      </x:c>
      <x:c r="B151" t="str">
        <x:v>ZH-EXTREMELY-BAD-030</x:v>
      </x:c>
      <x:c r="C151" s="17" t="str">
        <x:v>030</x:v>
      </x:c>
      <x:c r="D151" t="str">
        <x:v>Extremely Bad</x:v>
      </x:c>
      <x:c r="E151" t="n">
        <x:v>0</x:v>
      </x:c>
      <x:c r="F151" t="n">
        <x:v>29</x:v>
      </x:c>
      <x:c r="G151" t="n">
        <x:v>1</x:v>
      </x:c>
      <x:c r="H151" s="18" t="n">
        <x:v>49</x:v>
      </x:c>
      <x:c r="I151" s="18" t="n">
        <x:v>55</x:v>
      </x:c>
      <x:c r="J151" s="18" t="n">
        <x:v>25</x:v>
      </x:c>
      <x:c r="K151" s="18" t="n">
        <x:v>40</x:v>
      </x:c>
      <x:c r="L151" s="18" t="n">
        <x:v>60</x:v>
      </x:c>
      <x:c r="M151" s="18" t="n">
        <x:v>35</x:v>
      </x:c>
      <x:c r="N151" s="18" t="n">
        <x:v>100</x:v>
      </x:c>
      <x:c r="O151" s="18" t="n">
        <x:v>49</x:v>
      </x:c>
      <x:c r="P151" s="18" t="n">
        <x:v>59</x:v>
      </x:c>
      <x:c r="Q151" t="str">
        <x:v>No</x:v>
      </x:c>
      <x:c r="R151" s="18" t="n">
        <x:v>20</x:v>
      </x:c>
      <x:c r="S151" s="18" t="n">
        <x:v>0</x:v>
      </x:c>
      <x:c r="T151" s="18" t="n">
        <x:v>20</x:v>
      </x:c>
      <x:c r="U151" t="str">
        <x:v>Bad</x:v>
      </x:c>
      <x:c r="V151" t="str">
        <x:v>No</x:v>
      </x:c>
      <x:c r="W151" t="str">
        <x:v>WEAK</x:v>
      </x:c>
      <x:c r="X151" t="str">
        <x:v>REWRITE_REQUIRED</x:v>
      </x:c>
      <x:c r="Y151" t="n">
        <x:v>80</x:v>
      </x:c>
      <x:c r="Z151" t="str">
        <x:v>Success</x:v>
      </x:c>
      <x:c r="AA151"/>
      <x:c r="AB151"/>
      <x:c r="AC151" s="13"/>
      <x:c r="AD151" t="n">
        <x:v>0</x:v>
      </x:c>
      <x:c r="AE151" s="19" t="n">
        <x:v>53566</x:v>
      </x:c>
      <x:c r="AF151" t="str">
        <x:v>deepseek-v4-pro</x:v>
      </x:c>
      <x:c r="AG151" s="20" t="n">
        <x:v>46237.18292605324</x:v>
      </x:c>
      <x:c r="AH151" t="n">
        <x:v>200</x:v>
      </x:c>
      <x:c r="AI151" t="str">
        <x:v>cc15d2db78eb108e07857547dc89933f5510a92e2b8d1a1c6722d22634019b03</x:v>
      </x:c>
      <x:c r="AJ151" t="str">
        <x:v>1fbc1da2672050b6b1a1ccd8c0cdb0c420d2f719bdeff82ba998509df8b0da41</x:v>
      </x:c>
    </x:row>
  </x:sheetData>
  <x:conditionalFormatting sqref="Q2:Q151">
    <x:cfRule type="containsText" dxfId="0" priority="1" operator="containsText" text="Yes"/>
    <x:cfRule type="containsText" dxfId="1" priority="2" operator="containsText" text="No"/>
  </x:conditionalFormatting>
  <x:conditionalFormatting sqref="Z2:Z151">
    <x:cfRule type="containsText" dxfId="2" priority="3" operator="containsText" text="Error"/>
  </x:conditionalFormatting>
  <x:conditionalFormatting sqref="H2:H151">
    <x:cfRule type="dataBar" priority="4">
      <x:dataBar>
        <x:cfvo type="num" val="0"/>
        <x:cfvo type="num" val="100"/>
        <x:color rgb="FF087E8B"/>
      </x:dataBar>
      <x:extLst>
        <x:ext xmlns:x14="http://schemas.microsoft.com/office/spreadsheetml/2009/9/main" uri="{B025F937-C7B1-47D3-B67F-A62EFF666E3E}">
          <x14:id>{31684187-CE30-1D02-026E-DF4908F8B596}</x14:id>
        </x:ext>
      </x:extLst>
    </x:cfRule>
  </x:conditionalFormatting>
  <x:pageMargins left="0.7" right="0.7" top="0.75" bottom="0.75" header="0.3" footer="0.3"/>
  <x:tableParts count="1">
    <x:tablePart xmlns:r="http://schemas.openxmlformats.org/officeDocument/2006/relationships" r:id="R16675bd88ac24c9c"/>
  </x:tableParts>
  <x:extLst>
    <x:ext xmlns:x14="http://schemas.microsoft.com/office/spreadsheetml/2009/9/main" xmlns:xm="http://schemas.microsoft.com/office/excel/2006/main" uri="{78C0D931-6437-407d-A8EE-F0AAD7539E65}">
      <x14:conditionalFormattings>
        <x14:conditionalFormatting>
          <x14:cfRule type="dataBar" priority="4" id="{31684187-CE30-1D02-026E-DF4908F8B596}">
            <x14:dataBar gradient="1">
              <x14:cfvo type="num">
                <xm:f>0</xm:f>
              </x14:cfvo>
              <x14:cfvo type="num">
                <xm:f>100</xm:f>
              </x14:cfvo>
              <x14:fillColor rgb="FF087E8B"/>
            </x14:dataBar>
          </x14:cfRule>
          <xm:sqref>H2:H151</xm:sqref>
        </x14:conditionalFormatting>
      </x14:conditionalFormattings>
    </x:ext>
  </x:extLst>
</x:worksheet>
</file>

<file path=xl/worksheets/sheet3.xml><?xml version="1.0" encoding="utf-8"?>
<x:worksheet xmlns:x="http://schemas.openxmlformats.org/spreadsheetml/2006/main">
  <x:sheetViews>
    <x:sheetView showGridLines="0" workbookViewId="0"/>
  </x:sheetViews>
  <x:sheetFormatPr defaultRowHeight="15"/>
  <x:cols>
    <x:col min="1" max="1" width="32" hidden="0" customWidth="1"/>
    <x:col min="2" max="2" width="26" hidden="0" customWidth="1"/>
    <x:col min="3" max="3" width="18" hidden="0" customWidth="1"/>
    <x:col min="4" max="4" width="18" hidden="0" customWidth="1"/>
    <x:col min="5" max="5" width="25" hidden="0" customWidth="1"/>
    <x:col min="6" max="6" width="18" hidden="0" customWidth="1"/>
    <x:col min="7" max="7" width="16" hidden="0" customWidth="1"/>
    <x:col min="8" max="8" width="14" hidden="0" customWidth="1"/>
    <x:col min="9" max="9" width="14" hidden="0" customWidth="1"/>
    <x:col min="10" max="10" width="14" hidden="0" customWidth="1"/>
  </x:cols>
  <x:sheetData>
    <x:row r="1" ht="34" customHeight="1">
      <x:c r="A1" s="22" t="str">
        <x:v>Traditional Chinese Review Agent Calibration Report</x:v>
      </x:c>
      <x:c r="B1" s="22" t="str">
        <x:v>Traditional Chinese Review Agent Calibration Report</x:v>
      </x:c>
      <x:c r="C1" s="22" t="str">
        <x:v>Traditional Chinese Review Agent Calibration Report</x:v>
      </x:c>
      <x:c r="D1" s="22" t="str">
        <x:v>Traditional Chinese Review Agent Calibration Report</x:v>
      </x:c>
      <x:c r="E1" s="22" t="str">
        <x:v>Traditional Chinese Review Agent Calibration Report</x:v>
      </x:c>
      <x:c r="F1" s="22" t="str">
        <x:v>Traditional Chinese Review Agent Calibration Report</x:v>
      </x:c>
      <x:c r="G1" s="22" t="str">
        <x:v>Traditional Chinese Review Agent Calibration Report</x:v>
      </x:c>
      <x:c r="H1" s="22" t="str">
        <x:v>Traditional Chinese Review Agent Calibration Report</x:v>
      </x:c>
      <x:c r="I1" s="22" t="str">
        <x:v>Traditional Chinese Review Agent Calibration Report</x:v>
      </x:c>
      <x:c r="J1" s="22" t="str">
        <x:v>Traditional Chinese Review Agent Calibration Report</x:v>
      </x:c>
    </x:row>
    <x:row r="2" ht="22" customHeight="1">
      <x:c r="A2" s="24" t="str">
        <x:v>Generated 2026-08-03T04:31:42.360Z | Model: deepseek-v4-pro | Repeats: 1 | Mode: live</x:v>
      </x:c>
      <x:c r="B2" s="24" t="str">
        <x:v>Generated 2026-08-03T04:31:42.360Z | Model: deepseek-v4-pro | Repeats: 1 | Mode: live</x:v>
      </x:c>
      <x:c r="C2" s="24" t="str">
        <x:v>Generated 2026-08-03T04:31:42.360Z | Model: deepseek-v4-pro | Repeats: 1 | Mode: live</x:v>
      </x:c>
      <x:c r="D2" s="24" t="str">
        <x:v>Generated 2026-08-03T04:31:42.360Z | Model: deepseek-v4-pro | Repeats: 1 | Mode: live</x:v>
      </x:c>
      <x:c r="E2" s="24" t="str">
        <x:v>Generated 2026-08-03T04:31:42.360Z | Model: deepseek-v4-pro | Repeats: 1 | Mode: live</x:v>
      </x:c>
      <x:c r="F2" s="24" t="str">
        <x:v>Generated 2026-08-03T04:31:42.360Z | Model: deepseek-v4-pro | Repeats: 1 | Mode: live</x:v>
      </x:c>
      <x:c r="G2" s="24" t="str">
        <x:v>Generated 2026-08-03T04:31:42.360Z | Model: deepseek-v4-pro | Repeats: 1 | Mode: live</x:v>
      </x:c>
      <x:c r="H2" s="24" t="str">
        <x:v>Generated 2026-08-03T04:31:42.360Z | Model: deepseek-v4-pro | Repeats: 1 | Mode: live</x:v>
      </x:c>
      <x:c r="I2" s="24" t="str">
        <x:v>Generated 2026-08-03T04:31:42.360Z | Model: deepseek-v4-pro | Repeats: 1 | Mode: live</x:v>
      </x:c>
      <x:c r="J2" s="24" t="str">
        <x:v>Generated 2026-08-03T04:31:42.360Z | Model: deepseek-v4-pro | Repeats: 1 | Mode: live</x:v>
      </x:c>
    </x:row>
    <x:row r="4" ht="24" customHeight="1">
      <x:c r="A4" s="34" t="str">
        <x:v>Overall summary</x:v>
      </x:c>
      <x:c r="B4" s="34" t="str">
        <x:v>Overall summary</x:v>
      </x:c>
      <x:c r="D4" s="27" t="str">
        <x:v>Calibration interpretation</x:v>
      </x:c>
      <x:c r="E4" s="27" t="str">
        <x:v>Calibration interpretation</x:v>
      </x:c>
      <x:c r="F4" s="27" t="str">
        <x:v>Calibration interpretation</x:v>
      </x:c>
      <x:c r="G4" s="27" t="str">
        <x:v>Calibration interpretation</x:v>
      </x:c>
      <x:c r="H4" s="27" t="str">
        <x:v>Calibration interpretation</x:v>
      </x:c>
      <x:c r="I4" s="27" t="str">
        <x:v>Calibration interpretation</x:v>
      </x:c>
      <x:c r="J4" s="27" t="str">
        <x:v>Calibration interpretation</x:v>
      </x:c>
    </x:row>
    <x:row r="5" ht="30" customHeight="1">
      <x:c r="A5" s="35" t="str">
        <x:v>Planned drafts</x:v>
      </x:c>
      <x:c r="B5" s="36" t="n">
        <x:f>COUNTA('Drafts'!$B$2:$B$151)</x:f>
        <x:v>150</x:v>
      </x:c>
      <x:c r="D5" s="42" t="str">
        <x:v>Excellent: 30/30 (100.0%) inside 85-100; 0 below and 0 above; mean score 94.4.</x:v>
      </x:c>
      <x:c r="E5" s="42"/>
      <x:c r="F5" s="42"/>
      <x:c r="G5" s="42"/>
      <x:c r="H5" s="42"/>
      <x:c r="I5" s="42"/>
      <x:c r="J5" s="42"/>
    </x:row>
    <x:row r="6" ht="30" customHeight="1">
      <x:c r="A6" s="35" t="str">
        <x:v>Planned test runs</x:v>
      </x:c>
      <x:c r="B6" s="36" t="n">
        <x:f>150</x:f>
        <x:v>150</x:v>
      </x:c>
      <x:c r="D6" s="42" t="str">
        <x:v>Good: 1/30 (3.3%) inside 70-84; 5 below and 24 above; mean score 86.3.</x:v>
      </x:c>
      <x:c r="E6" s="42"/>
      <x:c r="F6" s="42"/>
      <x:c r="G6" s="42"/>
      <x:c r="H6" s="42"/>
      <x:c r="I6" s="42"/>
      <x:c r="J6" s="42"/>
    </x:row>
    <x:row r="7" ht="30" customHeight="1">
      <x:c r="A7" s="35" t="str">
        <x:v>Saved result rows</x:v>
      </x:c>
      <x:c r="B7" s="36" t="n">
        <x:f>COUNTA('Results'!$B$2:$B$151)</x:f>
        <x:v>150</x:v>
      </x:c>
      <x:c r="D7" s="42" t="str">
        <x:v>Normal: 4/30 (13.3%) inside 50-69; 0 below and 26 above; mean score 81.5.</x:v>
      </x:c>
      <x:c r="E7" s="42"/>
      <x:c r="F7" s="42"/>
      <x:c r="G7" s="42"/>
      <x:c r="H7" s="42"/>
      <x:c r="I7" s="42"/>
      <x:c r="J7" s="42"/>
    </x:row>
    <x:row r="8" ht="30" customHeight="1">
      <x:c r="A8" s="35" t="str">
        <x:v>Successful tests</x:v>
      </x:c>
      <x:c r="B8" s="36" t="n">
        <x:f>COUNTIF('Results'!$Z$2:$Z$151,"Success")</x:f>
        <x:v>150</x:v>
      </x:c>
      <x:c r="D8" s="42" t="str">
        <x:v>Bad: 2/30 (6.7%) inside 30-49; 0 below and 28 above; mean score 59.0.</x:v>
      </x:c>
      <x:c r="E8" s="42"/>
      <x:c r="F8" s="42"/>
      <x:c r="G8" s="42"/>
      <x:c r="H8" s="42"/>
      <x:c r="I8" s="42"/>
      <x:c r="J8" s="42"/>
    </x:row>
    <x:row r="9" ht="30" customHeight="1">
      <x:c r="A9" s="35" t="str">
        <x:v>Failed tests</x:v>
      </x:c>
      <x:c r="B9" s="36" t="n">
        <x:f>COUNTIF('Results'!$Z$2:$Z$151,"Error")</x:f>
        <x:v>0</x:v>
      </x:c>
      <x:c r="D9" s="42" t="str">
        <x:v>Extremely Bad: 5/30 (16.7%) inside 0-29; 0 below and 25 above; mean score 38.1.</x:v>
      </x:c>
      <x:c r="E9" s="42"/>
      <x:c r="F9" s="42"/>
      <x:c r="G9" s="42"/>
      <x:c r="H9" s="42"/>
      <x:c r="I9" s="42"/>
      <x:c r="J9" s="42"/>
    </x:row>
    <x:row r="10" ht="30" customHeight="1">
      <x:c r="A10" s="35" t="str">
        <x:v>Inside expected range (count)</x:v>
      </x:c>
      <x:c r="B10" s="36" t="n">
        <x:f>COUNTIFS('Results'!$Z$2:$Z$151,"Success",'Results'!$Q$2:$Q$151,"Yes")</x:f>
        <x:v>42</x:v>
      </x:c>
      <x:c r="D10" s="42" t="str">
        <x:v>Overall scored-draft classification accuracy is 42/150 (28.0%); coverage is 150/150, so all-draft accuracy is 42/150 (28.0%).</x:v>
      </x:c>
      <x:c r="E10" s="42"/>
      <x:c r="F10" s="42"/>
      <x:c r="G10" s="42"/>
      <x:c r="H10" s="42"/>
      <x:c r="I10" s="42"/>
      <x:c r="J10" s="42"/>
    </x:row>
    <x:row r="11">
      <x:c r="A11" s="35" t="str">
        <x:v>Inside expected range (%)</x:v>
      </x:c>
      <x:c r="B11" s="37" t="n">
        <x:f>IF(B8=0,0,B10/B8)</x:f>
        <x:v>0.28</x:v>
      </x:c>
    </x:row>
    <x:row r="12">
      <x:c r="A12" s="35" t="str">
        <x:v>Below expected range (count)</x:v>
      </x:c>
      <x:c r="B12" s="36" t="n">
        <x:f>COUNTIFS('Results'!$Z$2:$Z$151,"Success",'Results'!$S$2:$S$151,"&gt;0")</x:f>
        <x:v>5</x:v>
      </x:c>
    </x:row>
    <x:row r="13">
      <x:c r="A13" s="35" t="str">
        <x:v>Below expected range (%)</x:v>
      </x:c>
      <x:c r="B13" s="37" t="n">
        <x:f>IF(B8=0,0,B12/B8)</x:f>
        <x:v>0.03333333333333333</x:v>
      </x:c>
    </x:row>
    <x:row r="14">
      <x:c r="A14" s="35" t="str">
        <x:v>Above expected range (count)</x:v>
      </x:c>
      <x:c r="B14" s="36" t="n">
        <x:f>COUNTIFS('Results'!$Z$2:$Z$151,"Success",'Results'!$T$2:$T$151,"&gt;0")</x:f>
        <x:v>103</x:v>
      </x:c>
    </x:row>
    <x:row r="15">
      <x:c r="A15" s="35" t="str">
        <x:v>Above expected range (%)</x:v>
      </x:c>
      <x:c r="B15" s="37" t="n">
        <x:f>IF(B8=0,0,B14/B8)</x:f>
        <x:v>0.6866666666666666</x:v>
      </x:c>
    </x:row>
    <x:row r="16">
      <x:c r="A16" s="35" t="str">
        <x:v>Run classification accuracy</x:v>
      </x:c>
      <x:c r="B16" s="37" t="n">
        <x:f>IF(B8=0,0,COUNTIF('Results'!$V$2:$V$151,"Yes")/B8)</x:f>
        <x:v>0.28</x:v>
      </x:c>
    </x:row>
    <x:row r="17">
      <x:c r="A17" s="35" t="str">
        <x:v>Scored-draft classification accuracy</x:v>
      </x:c>
      <x:c r="B17" s="37" t="n">
        <x:f>IF(B8=0,"",0.28)</x:f>
        <x:v>0.28</x:v>
      </x:c>
    </x:row>
    <x:row r="18">
      <x:c r="A18" s="35" t="str">
        <x:v>Draft coverage</x:v>
      </x:c>
      <x:c r="B18" s="37" t="n">
        <x:f>1</x:f>
        <x:v>1</x:v>
      </x:c>
    </x:row>
    <x:row r="19">
      <x:c r="A19" s="35" t="str">
        <x:v>Overall accuracy across all drafts</x:v>
      </x:c>
      <x:c r="B19" s="37" t="n">
        <x:f>0.28</x:f>
        <x:v>0.28</x:v>
      </x:c>
    </x:row>
    <x:row r="20">
      <x:c r="A20" s="35" t="str">
        <x:v>Mean successful score</x:v>
      </x:c>
      <x:c r="B20" s="38" t="n">
        <x:f>IF(B8=0,"",AVERAGEIF('Results'!$Z$2:$Z$151,"Success",'Results'!$H$2:$H$151))</x:f>
        <x:v>71.84666666666666</x:v>
      </x:c>
    </x:row>
    <x:row r="21">
      <x:c r="A21" s="35" t="str">
        <x:v>Mean distance from expected range</x:v>
      </x:c>
      <x:c r="B21" s="38" t="n">
        <x:f>IF(B8=0,"",AVERAGEIF('Results'!$Z$2:$Z$151,"Success",'Results'!$R$2:$R$151))</x:f>
        <x:v>8.42</x:v>
      </x:c>
    </x:row>
    <x:row r="22">
      <x:c r="A22" s="35" t="str">
        <x:v>Inversion cases</x:v>
      </x:c>
      <x:c r="B22" s="36" t="n">
        <x:f>19</x:f>
        <x:v>19</x:v>
      </x:c>
    </x:row>
    <x:row r="25" ht="24" customHeight="1">
      <x:c r="A25" s="27" t="str">
        <x:v>Confusion matrix (successful test runs; expected rows vs predicted columns)</x:v>
      </x:c>
      <x:c r="B25" s="27" t="str">
        <x:v>Confusion matrix (successful test runs; expected rows vs predicted columns)</x:v>
      </x:c>
      <x:c r="C25" s="27" t="str">
        <x:v>Confusion matrix (successful test runs; expected rows vs predicted columns)</x:v>
      </x:c>
      <x:c r="D25" s="27" t="str">
        <x:v>Confusion matrix (successful test runs; expected rows vs predicted columns)</x:v>
      </x:c>
      <x:c r="E25" s="27" t="str">
        <x:v>Confusion matrix (successful test runs; expected rows vs predicted columns)</x:v>
      </x:c>
      <x:c r="F25" s="27" t="str">
        <x:v>Confusion matrix (successful test runs; expected rows vs predicted columns)</x:v>
      </x:c>
      <x:c r="G25" s="27" t="str">
        <x:v>Confusion matrix (successful test runs; expected rows vs predicted columns)</x:v>
      </x:c>
    </x:row>
    <x:row r="26">
      <x:c r="A26" s="45" t="str">
        <x:v>Expected / Predicted</x:v>
      </x:c>
      <x:c r="B26" s="45" t="str">
        <x:v>Excellent</x:v>
      </x:c>
      <x:c r="C26" s="45" t="str">
        <x:v>Good</x:v>
      </x:c>
      <x:c r="D26" s="45" t="str">
        <x:v>Normal</x:v>
      </x:c>
      <x:c r="E26" s="45" t="str">
        <x:v>Bad</x:v>
      </x:c>
      <x:c r="F26" s="45" t="str">
        <x:v>Extremely Bad</x:v>
      </x:c>
      <x:c r="G26" s="45" t="str">
        <x:v>Row total</x:v>
      </x:c>
    </x:row>
    <x:row r="27">
      <x:c r="A27" s="46" t="str">
        <x:v>Excellent</x:v>
      </x:c>
      <x:c r="B27" s="47" t="n">
        <x:f>COUNTIFS('Results'!$D$2:$D$151,$A27,'Results'!$U$2:$U$151,B$26,'Results'!$Z$2:$Z$151,"Success")</x:f>
        <x:v>30</x:v>
      </x:c>
      <x:c r="C27" s="47" t="n">
        <x:f>COUNTIFS('Results'!$D$2:$D$151,$A27,'Results'!$U$2:$U$151,C$26,'Results'!$Z$2:$Z$151,"Success")</x:f>
        <x:v>0</x:v>
      </x:c>
      <x:c r="D27" s="47" t="n">
        <x:f>COUNTIFS('Results'!$D$2:$D$151,$A27,'Results'!$U$2:$U$151,D$26,'Results'!$Z$2:$Z$151,"Success")</x:f>
        <x:v>0</x:v>
      </x:c>
      <x:c r="E27" s="47" t="n">
        <x:f>COUNTIFS('Results'!$D$2:$D$151,$A27,'Results'!$U$2:$U$151,E$26,'Results'!$Z$2:$Z$151,"Success")</x:f>
        <x:v>0</x:v>
      </x:c>
      <x:c r="F27" s="47" t="n">
        <x:f>COUNTIFS('Results'!$D$2:$D$151,$A27,'Results'!$U$2:$U$151,F$26,'Results'!$Z$2:$Z$151,"Success")</x:f>
        <x:v>0</x:v>
      </x:c>
      <x:c r="G27" s="47" t="n">
        <x:f>SUM(B27:F27)</x:f>
        <x:v>30</x:v>
      </x:c>
    </x:row>
    <x:row r="28">
      <x:c r="A28" s="46" t="str">
        <x:v>Good</x:v>
      </x:c>
      <x:c r="B28" s="47" t="n">
        <x:f>COUNTIFS('Results'!$D$2:$D$151,$A28,'Results'!$U$2:$U$151,B$26,'Results'!$Z$2:$Z$151,"Success")</x:f>
        <x:v>24</x:v>
      </x:c>
      <x:c r="C28" s="47" t="n">
        <x:f>COUNTIFS('Results'!$D$2:$D$151,$A28,'Results'!$U$2:$U$151,C$26,'Results'!$Z$2:$Z$151,"Success")</x:f>
        <x:v>1</x:v>
      </x:c>
      <x:c r="D28" s="47" t="n">
        <x:f>COUNTIFS('Results'!$D$2:$D$151,$A28,'Results'!$U$2:$U$151,D$26,'Results'!$Z$2:$Z$151,"Success")</x:f>
        <x:v>5</x:v>
      </x:c>
      <x:c r="E28" s="47" t="n">
        <x:f>COUNTIFS('Results'!$D$2:$D$151,$A28,'Results'!$U$2:$U$151,E$26,'Results'!$Z$2:$Z$151,"Success")</x:f>
        <x:v>0</x:v>
      </x:c>
      <x:c r="F28" s="47" t="n">
        <x:f>COUNTIFS('Results'!$D$2:$D$151,$A28,'Results'!$U$2:$U$151,F$26,'Results'!$Z$2:$Z$151,"Success")</x:f>
        <x:v>0</x:v>
      </x:c>
      <x:c r="G28" s="47" t="n">
        <x:f>SUM(B28:F28)</x:f>
        <x:v>30</x:v>
      </x:c>
    </x:row>
    <x:row r="29">
      <x:c r="A29" s="46" t="str">
        <x:v>Normal</x:v>
      </x:c>
      <x:c r="B29" s="47" t="n">
        <x:f>COUNTIFS('Results'!$D$2:$D$151,$A29,'Results'!$U$2:$U$151,B$26,'Results'!$Z$2:$Z$151,"Success")</x:f>
        <x:v>17</x:v>
      </x:c>
      <x:c r="C29" s="47" t="n">
        <x:f>COUNTIFS('Results'!$D$2:$D$151,$A29,'Results'!$U$2:$U$151,C$26,'Results'!$Z$2:$Z$151,"Success")</x:f>
        <x:v>9</x:v>
      </x:c>
      <x:c r="D29" s="47" t="n">
        <x:f>COUNTIFS('Results'!$D$2:$D$151,$A29,'Results'!$U$2:$U$151,D$26,'Results'!$Z$2:$Z$151,"Success")</x:f>
        <x:v>4</x:v>
      </x:c>
      <x:c r="E29" s="47" t="n">
        <x:f>COUNTIFS('Results'!$D$2:$D$151,$A29,'Results'!$U$2:$U$151,E$26,'Results'!$Z$2:$Z$151,"Success")</x:f>
        <x:v>0</x:v>
      </x:c>
      <x:c r="F29" s="47" t="n">
        <x:f>COUNTIFS('Results'!$D$2:$D$151,$A29,'Results'!$U$2:$U$151,F$26,'Results'!$Z$2:$Z$151,"Success")</x:f>
        <x:v>0</x:v>
      </x:c>
      <x:c r="G29" s="47" t="n">
        <x:f>SUM(B29:F29)</x:f>
        <x:v>30</x:v>
      </x:c>
    </x:row>
    <x:row r="30">
      <x:c r="A30" s="46" t="str">
        <x:v>Bad</x:v>
      </x:c>
      <x:c r="B30" s="47" t="n">
        <x:f>COUNTIFS('Results'!$D$2:$D$151,$A30,'Results'!$U$2:$U$151,B$26,'Results'!$Z$2:$Z$151,"Success")</x:f>
        <x:v>0</x:v>
      </x:c>
      <x:c r="C30" s="47" t="n">
        <x:f>COUNTIFS('Results'!$D$2:$D$151,$A30,'Results'!$U$2:$U$151,C$26,'Results'!$Z$2:$Z$151,"Success")</x:f>
        <x:v>7</x:v>
      </x:c>
      <x:c r="D30" s="47" t="n">
        <x:f>COUNTIFS('Results'!$D$2:$D$151,$A30,'Results'!$U$2:$U$151,D$26,'Results'!$Z$2:$Z$151,"Success")</x:f>
        <x:v>21</x:v>
      </x:c>
      <x:c r="E30" s="47" t="n">
        <x:f>COUNTIFS('Results'!$D$2:$D$151,$A30,'Results'!$U$2:$U$151,E$26,'Results'!$Z$2:$Z$151,"Success")</x:f>
        <x:v>2</x:v>
      </x:c>
      <x:c r="F30" s="47" t="n">
        <x:f>COUNTIFS('Results'!$D$2:$D$151,$A30,'Results'!$U$2:$U$151,F$26,'Results'!$Z$2:$Z$151,"Success")</x:f>
        <x:v>0</x:v>
      </x:c>
      <x:c r="G30" s="47" t="n">
        <x:f>SUM(B30:F30)</x:f>
        <x:v>30</x:v>
      </x:c>
    </x:row>
    <x:row r="31">
      <x:c r="A31" s="46" t="str">
        <x:v>Extremely Bad</x:v>
      </x:c>
      <x:c r="B31" s="47" t="n">
        <x:f>COUNTIFS('Results'!$D$2:$D$151,$A31,'Results'!$U$2:$U$151,B$26,'Results'!$Z$2:$Z$151,"Success")</x:f>
        <x:v>0</x:v>
      </x:c>
      <x:c r="C31" s="47" t="n">
        <x:f>COUNTIFS('Results'!$D$2:$D$151,$A31,'Results'!$U$2:$U$151,C$26,'Results'!$Z$2:$Z$151,"Success")</x:f>
        <x:v>0</x:v>
      </x:c>
      <x:c r="D31" s="47" t="n">
        <x:f>COUNTIFS('Results'!$D$2:$D$151,$A31,'Results'!$U$2:$U$151,D$26,'Results'!$Z$2:$Z$151,"Success")</x:f>
        <x:v>2</x:v>
      </x:c>
      <x:c r="E31" s="47" t="n">
        <x:f>COUNTIFS('Results'!$D$2:$D$151,$A31,'Results'!$U$2:$U$151,E$26,'Results'!$Z$2:$Z$151,"Success")</x:f>
        <x:v>23</x:v>
      </x:c>
      <x:c r="F31" s="47" t="n">
        <x:f>COUNTIFS('Results'!$D$2:$D$151,$A31,'Results'!$U$2:$U$151,F$26,'Results'!$Z$2:$Z$151,"Success")</x:f>
        <x:v>5</x:v>
      </x:c>
      <x:c r="G31" s="47" t="n">
        <x:f>SUM(B31:F31)</x:f>
        <x:v>30</x:v>
      </x:c>
    </x:row>
    <x:row r="34" ht="24" customHeight="1">
      <x:c r="A34" s="27" t="str">
        <x:v>Ten largest scoring mismatches</x:v>
      </x:c>
      <x:c r="B34" s="27" t="str">
        <x:v>Ten largest scoring mismatches</x:v>
      </x:c>
      <x:c r="C34" s="27" t="str">
        <x:v>Ten largest scoring mismatches</x:v>
      </x:c>
      <x:c r="D34" s="27" t="str">
        <x:v>Ten largest scoring mismatches</x:v>
      </x:c>
      <x:c r="E34" s="27" t="str">
        <x:v>Ten largest scoring mismatches</x:v>
      </x:c>
      <x:c r="F34" s="27" t="str">
        <x:v>Ten largest scoring mismatches</x:v>
      </x:c>
      <x:c r="G34" s="27" t="str">
        <x:v>Ten largest scoring mismatches</x:v>
      </x:c>
      <x:c r="H34" s="27" t="str">
        <x:v>Ten largest scoring mismatches</x:v>
      </x:c>
    </x:row>
    <x:row r="35">
      <x:c r="A35" s="45" t="str">
        <x:v>Rank</x:v>
      </x:c>
      <x:c r="B35" s="45" t="str">
        <x:v>Draft ID</x:v>
      </x:c>
      <x:c r="C35" s="45" t="str">
        <x:v>Scenario</x:v>
      </x:c>
      <x:c r="D35" s="45" t="str">
        <x:v>Expected</x:v>
      </x:c>
      <x:c r="E35" s="45" t="str">
        <x:v>Predicted</x:v>
      </x:c>
      <x:c r="F35" s="45" t="str">
        <x:v>Expected range</x:v>
      </x:c>
      <x:c r="G35" s="45" t="str">
        <x:v>Average score</x:v>
      </x:c>
      <x:c r="H35" s="9" t="str">
        <x:v>Distance</x:v>
      </x:c>
    </x:row>
    <x:row r="36">
      <x:c r="A36" s="48" t="n">
        <x:v>1</x:v>
      </x:c>
      <x:c r="B36" s="48" t="str">
        <x:v>ZH-NORMAL-014</x:v>
      </x:c>
      <x:c r="C36" s="48" t="str">
        <x:v>014</x:v>
      </x:c>
      <x:c r="D36" s="48" t="str">
        <x:v>Normal</x:v>
      </x:c>
      <x:c r="E36" s="48" t="str">
        <x:v>Excellent</x:v>
      </x:c>
      <x:c r="F36" s="48" t="str">
        <x:v>50-69</x:v>
      </x:c>
      <x:c r="G36" s="49" t="n">
        <x:v>95</x:v>
      </x:c>
      <x:c r="H36" s="50" t="n">
        <x:v>26</x:v>
      </x:c>
    </x:row>
    <x:row r="37">
      <x:c r="A37" s="48" t="n">
        <x:v>2</x:v>
      </x:c>
      <x:c r="B37" s="48" t="str">
        <x:v>ZH-NORMAL-023</x:v>
      </x:c>
      <x:c r="C37" s="48" t="str">
        <x:v>023</x:v>
      </x:c>
      <x:c r="D37" s="48" t="str">
        <x:v>Normal</x:v>
      </x:c>
      <x:c r="E37" s="48" t="str">
        <x:v>Excellent</x:v>
      </x:c>
      <x:c r="F37" s="48" t="str">
        <x:v>50-69</x:v>
      </x:c>
      <x:c r="G37" s="49" t="n">
        <x:v>95</x:v>
      </x:c>
      <x:c r="H37" s="50" t="n">
        <x:v>26</x:v>
      </x:c>
    </x:row>
    <x:row r="38">
      <x:c r="A38" s="48" t="n">
        <x:v>3</x:v>
      </x:c>
      <x:c r="B38" s="48" t="str">
        <x:v>ZH-BAD-002</x:v>
      </x:c>
      <x:c r="C38" s="48" t="str">
        <x:v>002</x:v>
      </x:c>
      <x:c r="D38" s="48" t="str">
        <x:v>Bad</x:v>
      </x:c>
      <x:c r="E38" s="48" t="str">
        <x:v>Good</x:v>
      </x:c>
      <x:c r="F38" s="48" t="str">
        <x:v>30-49</x:v>
      </x:c>
      <x:c r="G38" s="49" t="n">
        <x:v>74</x:v>
      </x:c>
      <x:c r="H38" s="50" t="n">
        <x:v>25</x:v>
      </x:c>
    </x:row>
    <x:row r="39">
      <x:c r="A39" s="48" t="n">
        <x:v>4</x:v>
      </x:c>
      <x:c r="B39" s="48" t="str">
        <x:v>ZH-BAD-009</x:v>
      </x:c>
      <x:c r="C39" s="48" t="str">
        <x:v>009</x:v>
      </x:c>
      <x:c r="D39" s="48" t="str">
        <x:v>Bad</x:v>
      </x:c>
      <x:c r="E39" s="48" t="str">
        <x:v>Good</x:v>
      </x:c>
      <x:c r="F39" s="48" t="str">
        <x:v>30-49</x:v>
      </x:c>
      <x:c r="G39" s="49" t="n">
        <x:v>74</x:v>
      </x:c>
      <x:c r="H39" s="50" t="n">
        <x:v>25</x:v>
      </x:c>
    </x:row>
    <x:row r="40">
      <x:c r="A40" s="48" t="n">
        <x:v>5</x:v>
      </x:c>
      <x:c r="B40" s="48" t="str">
        <x:v>ZH-BAD-022</x:v>
      </x:c>
      <x:c r="C40" s="48" t="str">
        <x:v>022</x:v>
      </x:c>
      <x:c r="D40" s="48" t="str">
        <x:v>Bad</x:v>
      </x:c>
      <x:c r="E40" s="48" t="str">
        <x:v>Good</x:v>
      </x:c>
      <x:c r="F40" s="48" t="str">
        <x:v>30-49</x:v>
      </x:c>
      <x:c r="G40" s="49" t="n">
        <x:v>74</x:v>
      </x:c>
      <x:c r="H40" s="50" t="n">
        <x:v>25</x:v>
      </x:c>
    </x:row>
    <x:row r="41">
      <x:c r="A41" s="48" t="n">
        <x:v>6</x:v>
      </x:c>
      <x:c r="B41" s="48" t="str">
        <x:v>ZH-EXTREMELY-BAD-025</x:v>
      </x:c>
      <x:c r="C41" s="48" t="str">
        <x:v>025</x:v>
      </x:c>
      <x:c r="D41" s="48" t="str">
        <x:v>Extremely Bad</x:v>
      </x:c>
      <x:c r="E41" s="48" t="str">
        <x:v>Normal</x:v>
      </x:c>
      <x:c r="F41" s="48" t="str">
        <x:v>0-29</x:v>
      </x:c>
      <x:c r="G41" s="49" t="n">
        <x:v>54</x:v>
      </x:c>
      <x:c r="H41" s="50" t="n">
        <x:v>25</x:v>
      </x:c>
    </x:row>
    <x:row r="42">
      <x:c r="A42" s="48" t="n">
        <x:v>7</x:v>
      </x:c>
      <x:c r="B42" s="48" t="str">
        <x:v>ZH-NORMAL-004</x:v>
      </x:c>
      <x:c r="C42" s="48" t="str">
        <x:v>004</x:v>
      </x:c>
      <x:c r="D42" s="48" t="str">
        <x:v>Normal</x:v>
      </x:c>
      <x:c r="E42" s="48" t="str">
        <x:v>Excellent</x:v>
      </x:c>
      <x:c r="F42" s="48" t="str">
        <x:v>50-69</x:v>
      </x:c>
      <x:c r="G42" s="49" t="n">
        <x:v>94</x:v>
      </x:c>
      <x:c r="H42" s="50" t="n">
        <x:v>25</x:v>
      </x:c>
    </x:row>
    <x:row r="43">
      <x:c r="A43" s="48" t="n">
        <x:v>8</x:v>
      </x:c>
      <x:c r="B43" s="48" t="str">
        <x:v>ZH-NORMAL-005</x:v>
      </x:c>
      <x:c r="C43" s="48" t="str">
        <x:v>005</x:v>
      </x:c>
      <x:c r="D43" s="48" t="str">
        <x:v>Normal</x:v>
      </x:c>
      <x:c r="E43" s="48" t="str">
        <x:v>Excellent</x:v>
      </x:c>
      <x:c r="F43" s="48" t="str">
        <x:v>50-69</x:v>
      </x:c>
      <x:c r="G43" s="49" t="n">
        <x:v>94</x:v>
      </x:c>
      <x:c r="H43" s="50" t="n">
        <x:v>25</x:v>
      </x:c>
    </x:row>
    <x:row r="44">
      <x:c r="A44" s="48" t="n">
        <x:v>9</x:v>
      </x:c>
      <x:c r="B44" s="48" t="str">
        <x:v>ZH-NORMAL-007</x:v>
      </x:c>
      <x:c r="C44" s="48" t="str">
        <x:v>007</x:v>
      </x:c>
      <x:c r="D44" s="48" t="str">
        <x:v>Normal</x:v>
      </x:c>
      <x:c r="E44" s="48" t="str">
        <x:v>Excellent</x:v>
      </x:c>
      <x:c r="F44" s="48" t="str">
        <x:v>50-69</x:v>
      </x:c>
      <x:c r="G44" s="49" t="n">
        <x:v>92</x:v>
      </x:c>
      <x:c r="H44" s="50" t="n">
        <x:v>23</x:v>
      </x:c>
    </x:row>
    <x:row r="45">
      <x:c r="A45" s="48" t="n">
        <x:v>10</x:v>
      </x:c>
      <x:c r="B45" s="48" t="str">
        <x:v>ZH-BAD-003</x:v>
      </x:c>
      <x:c r="C45" s="48" t="str">
        <x:v>003</x:v>
      </x:c>
      <x:c r="D45" s="48" t="str">
        <x:v>Bad</x:v>
      </x:c>
      <x:c r="E45" s="48" t="str">
        <x:v>Good</x:v>
      </x:c>
      <x:c r="F45" s="48" t="str">
        <x:v>30-49</x:v>
      </x:c>
      <x:c r="G45" s="49" t="n">
        <x:v>71</x:v>
      </x:c>
      <x:c r="H45" s="50" t="n">
        <x:v>22</x:v>
      </x:c>
    </x:row>
    <x:row r="48" ht="24" customHeight="1">
      <x:c r="A48" s="27" t="str">
        <x:v>Lower-quality versions that scored higher</x:v>
      </x:c>
      <x:c r="B48" s="27" t="str">
        <x:v>Lower-quality versions that scored higher</x:v>
      </x:c>
      <x:c r="C48" s="27" t="str">
        <x:v>Lower-quality versions that scored higher</x:v>
      </x:c>
      <x:c r="D48" s="27" t="str">
        <x:v>Lower-quality versions that scored higher</x:v>
      </x:c>
      <x:c r="E48" s="27" t="str">
        <x:v>Lower-quality versions that scored higher</x:v>
      </x:c>
      <x:c r="F48" s="27" t="str">
        <x:v>Lower-quality versions that scored higher</x:v>
      </x:c>
      <x:c r="G48" s="27" t="str">
        <x:v>Lower-quality versions that scored higher</x:v>
      </x:c>
      <x:c r="H48" s="27" t="str">
        <x:v>Lower-quality versions that scored higher</x:v>
      </x:c>
    </x:row>
    <x:row r="49">
      <x:c r="A49" s="9" t="str">
        <x:v>Scenario</x:v>
      </x:c>
      <x:c r="B49" s="10" t="str">
        <x:v>Higher-quality draft</x:v>
      </x:c>
      <x:c r="C49" s="10" t="str">
        <x:v>Higher category</x:v>
      </x:c>
      <x:c r="D49" s="10" t="str">
        <x:v>Higher score</x:v>
      </x:c>
      <x:c r="E49" s="10" t="str">
        <x:v>Lower-quality draft</x:v>
      </x:c>
      <x:c r="F49" s="10" t="str">
        <x:v>Lower category</x:v>
      </x:c>
      <x:c r="G49" s="10" t="str">
        <x:v>Lower score</x:v>
      </x:c>
      <x:c r="H49" s="11" t="str">
        <x:v>Gap</x:v>
      </x:c>
    </x:row>
    <x:row r="50">
      <x:c r="A50" t="str">
        <x:v>026</x:v>
      </x:c>
      <x:c r="B50" t="str">
        <x:v>ZH-GOOD-026</x:v>
      </x:c>
      <x:c r="C50" t="str">
        <x:v>Good</x:v>
      </x:c>
      <x:c r="D50" s="18" t="n">
        <x:v>59</x:v>
      </x:c>
      <x:c r="E50" s="18" t="str">
        <x:v>ZH-NORMAL-026</x:v>
      </x:c>
      <x:c r="F50" s="18" t="str">
        <x:v>Normal</x:v>
      </x:c>
      <x:c r="G50" s="18" t="n">
        <x:v>87</x:v>
      </x:c>
      <x:c r="H50" s="18" t="n">
        <x:v>28</x:v>
      </x:c>
    </x:row>
    <x:row r="51">
      <x:c r="A51" t="str">
        <x:v>001</x:v>
      </x:c>
      <x:c r="B51" t="str">
        <x:v>ZH-GOOD-001</x:v>
      </x:c>
      <x:c r="C51" t="str">
        <x:v>Good</x:v>
      </x:c>
      <x:c r="D51" s="18" t="n">
        <x:v>59</x:v>
      </x:c>
      <x:c r="E51" s="18" t="str">
        <x:v>ZH-NORMAL-001</x:v>
      </x:c>
      <x:c r="F51" s="18" t="str">
        <x:v>Normal</x:v>
      </x:c>
      <x:c r="G51" s="18" t="n">
        <x:v>85</x:v>
      </x:c>
      <x:c r="H51" s="18" t="n">
        <x:v>26</x:v>
      </x:c>
    </x:row>
    <x:row r="52">
      <x:c r="A52" t="str">
        <x:v>007</x:v>
      </x:c>
      <x:c r="B52" t="str">
        <x:v>ZH-GOOD-007</x:v>
      </x:c>
      <x:c r="C52" t="str">
        <x:v>Good</x:v>
      </x:c>
      <x:c r="D52" s="18" t="n">
        <x:v>69</x:v>
      </x:c>
      <x:c r="E52" s="18" t="str">
        <x:v>ZH-NORMAL-007</x:v>
      </x:c>
      <x:c r="F52" s="18" t="str">
        <x:v>Normal</x:v>
      </x:c>
      <x:c r="G52" s="18" t="n">
        <x:v>92</x:v>
      </x:c>
      <x:c r="H52" s="18" t="n">
        <x:v>23</x:v>
      </x:c>
    </x:row>
    <x:row r="53">
      <x:c r="A53" t="str">
        <x:v>009</x:v>
      </x:c>
      <x:c r="B53" t="str">
        <x:v>ZH-GOOD-009</x:v>
      </x:c>
      <x:c r="C53" t="str">
        <x:v>Good</x:v>
      </x:c>
      <x:c r="D53" s="18" t="n">
        <x:v>59</x:v>
      </x:c>
      <x:c r="E53" s="18" t="str">
        <x:v>ZH-BAD-009</x:v>
      </x:c>
      <x:c r="F53" s="18" t="str">
        <x:v>Bad</x:v>
      </x:c>
      <x:c r="G53" s="18" t="n">
        <x:v>74</x:v>
      </x:c>
      <x:c r="H53" s="18" t="n">
        <x:v>15</x:v>
      </x:c>
    </x:row>
    <x:row r="54">
      <x:c r="A54" t="str">
        <x:v>009</x:v>
      </x:c>
      <x:c r="B54" t="str">
        <x:v>ZH-NORMAL-009</x:v>
      </x:c>
      <x:c r="C54" t="str">
        <x:v>Normal</x:v>
      </x:c>
      <x:c r="D54" s="18" t="n">
        <x:v>59</x:v>
      </x:c>
      <x:c r="E54" s="18" t="str">
        <x:v>ZH-BAD-009</x:v>
      </x:c>
      <x:c r="F54" s="18" t="str">
        <x:v>Bad</x:v>
      </x:c>
      <x:c r="G54" s="18" t="n">
        <x:v>74</x:v>
      </x:c>
      <x:c r="H54" s="18" t="n">
        <x:v>15</x:v>
      </x:c>
    </x:row>
    <x:row r="55">
      <x:c r="A55" t="str">
        <x:v>010</x:v>
      </x:c>
      <x:c r="B55" t="str">
        <x:v>ZH-GOOD-010</x:v>
      </x:c>
      <x:c r="C55" t="str">
        <x:v>Good</x:v>
      </x:c>
      <x:c r="D55" s="18" t="n">
        <x:v>59</x:v>
      </x:c>
      <x:c r="E55" s="18" t="str">
        <x:v>ZH-NORMAL-010</x:v>
      </x:c>
      <x:c r="F55" s="18" t="str">
        <x:v>Normal</x:v>
      </x:c>
      <x:c r="G55" s="18" t="n">
        <x:v>74</x:v>
      </x:c>
      <x:c r="H55" s="18" t="n">
        <x:v>15</x:v>
      </x:c>
    </x:row>
    <x:row r="56">
      <x:c r="A56" t="str">
        <x:v>030</x:v>
      </x:c>
      <x:c r="B56" t="str">
        <x:v>ZH-GOOD-030</x:v>
      </x:c>
      <x:c r="C56" t="str">
        <x:v>Good</x:v>
      </x:c>
      <x:c r="D56" s="18" t="n">
        <x:v>74</x:v>
      </x:c>
      <x:c r="E56" s="18" t="str">
        <x:v>ZH-NORMAL-030</x:v>
      </x:c>
      <x:c r="F56" s="18" t="str">
        <x:v>Normal</x:v>
      </x:c>
      <x:c r="G56" s="18" t="n">
        <x:v>89</x:v>
      </x:c>
      <x:c r="H56" s="18" t="n">
        <x:v>15</x:v>
      </x:c>
    </x:row>
    <x:row r="57">
      <x:c r="A57" t="str">
        <x:v>014</x:v>
      </x:c>
      <x:c r="B57" t="str">
        <x:v>ZH-EXCELLENT-014</x:v>
      </x:c>
      <x:c r="C57" t="str">
        <x:v>Excellent</x:v>
      </x:c>
      <x:c r="D57" s="18" t="n">
        <x:v>89</x:v>
      </x:c>
      <x:c r="E57" s="18" t="str">
        <x:v>ZH-GOOD-014</x:v>
      </x:c>
      <x:c r="F57" s="18" t="str">
        <x:v>Good</x:v>
      </x:c>
      <x:c r="G57" s="18" t="n">
        <x:v>96</x:v>
      </x:c>
      <x:c r="H57" s="18" t="n">
        <x:v>7</x:v>
      </x:c>
    </x:row>
    <x:row r="58">
      <x:c r="A58" t="str">
        <x:v>014</x:v>
      </x:c>
      <x:c r="B58" t="str">
        <x:v>ZH-EXCELLENT-014</x:v>
      </x:c>
      <x:c r="C58" t="str">
        <x:v>Excellent</x:v>
      </x:c>
      <x:c r="D58" s="18" t="n">
        <x:v>89</x:v>
      </x:c>
      <x:c r="E58" s="18" t="str">
        <x:v>ZH-NORMAL-014</x:v>
      </x:c>
      <x:c r="F58" s="18" t="str">
        <x:v>Normal</x:v>
      </x:c>
      <x:c r="G58" s="18" t="n">
        <x:v>95</x:v>
      </x:c>
      <x:c r="H58" s="18" t="n">
        <x:v>6</x:v>
      </x:c>
    </x:row>
    <x:row r="59">
      <x:c r="A59" t="str">
        <x:v>023</x:v>
      </x:c>
      <x:c r="B59" t="str">
        <x:v>ZH-GOOD-023</x:v>
      </x:c>
      <x:c r="C59" t="str">
        <x:v>Good</x:v>
      </x:c>
      <x:c r="D59" s="18" t="n">
        <x:v>89</x:v>
      </x:c>
      <x:c r="E59" s="18" t="str">
        <x:v>ZH-NORMAL-023</x:v>
      </x:c>
      <x:c r="F59" s="18" t="str">
        <x:v>Normal</x:v>
      </x:c>
      <x:c r="G59" s="18" t="n">
        <x:v>95</x:v>
      </x:c>
      <x:c r="H59" s="18" t="n">
        <x:v>6</x:v>
      </x:c>
    </x:row>
    <x:row r="60">
      <x:c r="A60" t="str">
        <x:v>004</x:v>
      </x:c>
      <x:c r="B60" t="str">
        <x:v>ZH-GOOD-004</x:v>
      </x:c>
      <x:c r="C60" t="str">
        <x:v>Good</x:v>
      </x:c>
      <x:c r="D60" s="18" t="n">
        <x:v>89</x:v>
      </x:c>
      <x:c r="E60" s="18" t="str">
        <x:v>ZH-NORMAL-004</x:v>
      </x:c>
      <x:c r="F60" s="18" t="str">
        <x:v>Normal</x:v>
      </x:c>
      <x:c r="G60" s="18" t="n">
        <x:v>94</x:v>
      </x:c>
      <x:c r="H60" s="18" t="n">
        <x:v>5</x:v>
      </x:c>
    </x:row>
    <x:row r="61">
      <x:c r="A61" t="str">
        <x:v>005</x:v>
      </x:c>
      <x:c r="B61" t="str">
        <x:v>ZH-GOOD-005</x:v>
      </x:c>
      <x:c r="C61" t="str">
        <x:v>Good</x:v>
      </x:c>
      <x:c r="D61" s="18" t="n">
        <x:v>89</x:v>
      </x:c>
      <x:c r="E61" s="18" t="str">
        <x:v>ZH-NORMAL-005</x:v>
      </x:c>
      <x:c r="F61" s="18" t="str">
        <x:v>Normal</x:v>
      </x:c>
      <x:c r="G61" s="18" t="n">
        <x:v>94</x:v>
      </x:c>
      <x:c r="H61" s="18" t="n">
        <x:v>5</x:v>
      </x:c>
    </x:row>
    <x:row r="62">
      <x:c r="A62" t="str">
        <x:v>017</x:v>
      </x:c>
      <x:c r="B62" t="str">
        <x:v>ZH-NORMAL-017</x:v>
      </x:c>
      <x:c r="C62" t="str">
        <x:v>Normal</x:v>
      </x:c>
      <x:c r="D62" s="18" t="n">
        <x:v>59</x:v>
      </x:c>
      <x:c r="E62" s="18" t="str">
        <x:v>ZH-BAD-017</x:v>
      </x:c>
      <x:c r="F62" s="18" t="str">
        <x:v>Bad</x:v>
      </x:c>
      <x:c r="G62" s="18" t="n">
        <x:v>64</x:v>
      </x:c>
      <x:c r="H62" s="18" t="n">
        <x:v>5</x:v>
      </x:c>
    </x:row>
    <x:row r="63">
      <x:c r="A63" t="str">
        <x:v>019</x:v>
      </x:c>
      <x:c r="B63" t="str">
        <x:v>ZH-EXCELLENT-019</x:v>
      </x:c>
      <x:c r="C63" t="str">
        <x:v>Excellent</x:v>
      </x:c>
      <x:c r="D63" s="18" t="n">
        <x:v>95</x:v>
      </x:c>
      <x:c r="E63" s="18" t="str">
        <x:v>ZH-GOOD-019</x:v>
      </x:c>
      <x:c r="F63" s="18" t="str">
        <x:v>Good</x:v>
      </x:c>
      <x:c r="G63" s="18" t="n">
        <x:v>98</x:v>
      </x:c>
      <x:c r="H63" s="18" t="n">
        <x:v>3</x:v>
      </x:c>
    </x:row>
    <x:row r="64">
      <x:c r="A64" t="str">
        <x:v>002</x:v>
      </x:c>
      <x:c r="B64" t="str">
        <x:v>ZH-EXCELLENT-002</x:v>
      </x:c>
      <x:c r="C64" t="str">
        <x:v>Excellent</x:v>
      </x:c>
      <x:c r="D64" s="18" t="n">
        <x:v>92</x:v>
      </x:c>
      <x:c r="E64" s="18" t="str">
        <x:v>ZH-GOOD-002</x:v>
      </x:c>
      <x:c r="F64" s="18" t="str">
        <x:v>Good</x:v>
      </x:c>
      <x:c r="G64" s="18" t="n">
        <x:v>94</x:v>
      </x:c>
      <x:c r="H64" s="18" t="n">
        <x:v>2</x:v>
      </x:c>
    </x:row>
    <x:row r="65">
      <x:c r="A65" t="str">
        <x:v>003</x:v>
      </x:c>
      <x:c r="B65" t="str">
        <x:v>ZH-EXCELLENT-003</x:v>
      </x:c>
      <x:c r="C65" t="str">
        <x:v>Excellent</x:v>
      </x:c>
      <x:c r="D65" s="18" t="n">
        <x:v>93</x:v>
      </x:c>
      <x:c r="E65" s="18" t="str">
        <x:v>ZH-GOOD-003</x:v>
      </x:c>
      <x:c r="F65" s="18" t="str">
        <x:v>Good</x:v>
      </x:c>
      <x:c r="G65" s="18" t="n">
        <x:v>94</x:v>
      </x:c>
      <x:c r="H65" s="18" t="n">
        <x:v>1</x:v>
      </x:c>
    </x:row>
    <x:row r="66">
      <x:c r="A66" t="str">
        <x:v>006</x:v>
      </x:c>
      <x:c r="B66" t="str">
        <x:v>ZH-GOOD-006</x:v>
      </x:c>
      <x:c r="C66" t="str">
        <x:v>Good</x:v>
      </x:c>
      <x:c r="D66" s="18" t="n">
        <x:v>85</x:v>
      </x:c>
      <x:c r="E66" s="18" t="str">
        <x:v>ZH-NORMAL-006</x:v>
      </x:c>
      <x:c r="F66" s="18" t="str">
        <x:v>Normal</x:v>
      </x:c>
      <x:c r="G66" s="18" t="n">
        <x:v>86</x:v>
      </x:c>
      <x:c r="H66" s="18" t="n">
        <x:v>1</x:v>
      </x:c>
    </x:row>
    <x:row r="67">
      <x:c r="A67" t="str">
        <x:v>022</x:v>
      </x:c>
      <x:c r="B67" t="str">
        <x:v>ZH-EXCELLENT-022</x:v>
      </x:c>
      <x:c r="C67" t="str">
        <x:v>Excellent</x:v>
      </x:c>
      <x:c r="D67" s="18" t="n">
        <x:v>94</x:v>
      </x:c>
      <x:c r="E67" s="18" t="str">
        <x:v>ZH-GOOD-022</x:v>
      </x:c>
      <x:c r="F67" s="18" t="str">
        <x:v>Good</x:v>
      </x:c>
      <x:c r="G67" s="18" t="n">
        <x:v>95</x:v>
      </x:c>
      <x:c r="H67" s="18" t="n">
        <x:v>1</x:v>
      </x:c>
    </x:row>
    <x:row r="68">
      <x:c r="A68" t="str">
        <x:v>024</x:v>
      </x:c>
      <x:c r="B68" t="str">
        <x:v>ZH-EXCELLENT-024</x:v>
      </x:c>
      <x:c r="C68" t="str">
        <x:v>Excellent</x:v>
      </x:c>
      <x:c r="D68" s="18" t="n">
        <x:v>95</x:v>
      </x:c>
      <x:c r="E68" s="18" t="str">
        <x:v>ZH-GOOD-024</x:v>
      </x:c>
      <x:c r="F68" s="18" t="str">
        <x:v>Good</x:v>
      </x:c>
      <x:c r="G68" s="18" t="n">
        <x:v>96</x:v>
      </x:c>
      <x:c r="H68" s="18" t="n">
        <x:v>1</x:v>
      </x:c>
    </x:row>
    <x:row r="71" ht="24" customHeight="1">
      <x:c r="A71" s="27" t="str">
        <x:v>Repeated errors and suspicious patterns</x:v>
      </x:c>
      <x:c r="B71" s="27" t="str">
        <x:v>Repeated errors and suspicious patterns</x:v>
      </x:c>
      <x:c r="C71" s="27" t="str">
        <x:v>Repeated errors and suspicious patterns</x:v>
      </x:c>
      <x:c r="D71" s="27" t="str">
        <x:v>Repeated errors and suspicious patterns</x:v>
      </x:c>
      <x:c r="E71" s="27" t="str">
        <x:v>Repeated errors and suspicious patterns</x:v>
      </x:c>
      <x:c r="F71" s="27" t="str">
        <x:v>Repeated errors and suspicious patterns</x:v>
      </x:c>
      <x:c r="G71" s="27" t="str">
        <x:v>Repeated errors and suspicious patterns</x:v>
      </x:c>
      <x:c r="H71" s="27" t="str">
        <x:v>Repeated errors and suspicious patterns</x:v>
      </x:c>
      <x:c r="I71" s="27" t="str">
        <x:v>Repeated errors and suspicious patterns</x:v>
      </x:c>
      <x:c r="J71" s="27" t="str">
        <x:v>Repeated errors and suspicious patterns</x:v>
      </x:c>
    </x:row>
    <x:row r="72" ht="28" customHeight="1">
      <x:c r="A72" s="54" t="str">
        <x:v>19 lower-quality/higher-score inversion(s) were detected.</x:v>
      </x:c>
      <x:c r="B72" s="54"/>
      <x:c r="C72" s="54"/>
      <x:c r="D72" s="54"/>
      <x:c r="E72" s="54"/>
      <x:c r="F72" s="54"/>
      <x:c r="G72" s="54"/>
      <x:c r="H72" s="54"/>
      <x:c r="I72" s="54"/>
      <x:c r="J72" s="54"/>
    </x:row>
  </x:sheetData>
  <x:mergeCells>
    <x:mergeCell ref="A1:J1"/>
    <x:mergeCell ref="A2:J2"/>
    <x:mergeCell ref="A4:B4"/>
    <x:mergeCell ref="D4:J4"/>
    <x:mergeCell ref="D5:J5"/>
    <x:mergeCell ref="D6:J6"/>
    <x:mergeCell ref="D7:J7"/>
    <x:mergeCell ref="D8:J8"/>
    <x:mergeCell ref="D9:J9"/>
    <x:mergeCell ref="D10:J10"/>
    <x:mergeCell ref="A25:G25"/>
    <x:mergeCell ref="A34:H34"/>
    <x:mergeCell ref="A48:H48"/>
    <x:mergeCell ref="A71:J71"/>
    <x:mergeCell ref="A72:J7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2" hidden="0" customWidth="1"/>
    <x:col min="3" max="3" width="12" hidden="0" customWidth="1"/>
    <x:col min="4" max="4" width="11" hidden="0" customWidth="1"/>
    <x:col min="5" max="5" width="10" hidden="0" customWidth="1"/>
    <x:col min="6" max="6" width="11" hidden="0" customWidth="1"/>
    <x:col min="7" max="7" width="11" hidden="0" customWidth="1"/>
    <x:col min="8" max="8" width="11" hidden="0" customWidth="1"/>
    <x:col min="9" max="9" width="11" hidden="0" customWidth="1"/>
    <x:col min="10" max="10" width="17" hidden="0" customWidth="1"/>
    <x:col min="11" max="11" width="12" hidden="0" customWidth="1"/>
    <x:col min="12" max="12" width="11" hidden="0" customWidth="1"/>
    <x:col min="13" max="13" width="11" hidden="0" customWidth="1"/>
    <x:col min="14" max="14" width="10" hidden="0" customWidth="1"/>
    <x:col min="15" max="15" width="11" hidden="0" customWidth="1"/>
    <x:col min="16" max="16" width="10" hidden="0" customWidth="1"/>
    <x:col min="17" max="17" width="13" hidden="0" customWidth="1"/>
    <x:col min="18" max="18" width="12" hidden="0" customWidth="1"/>
    <x:col min="19" max="19" width="11" hidden="0" customWidth="1"/>
  </x:cols>
  <x:sheetData>
    <x:row r="1" ht="34" customHeight="1">
      <x:c r="A1" s="22" t="str">
        <x:v>Category Summary</x:v>
      </x:c>
      <x:c r="B1" s="22" t="str">
        <x:v>Category Summary</x:v>
      </x:c>
      <x:c r="C1" s="22" t="str">
        <x:v>Category Summary</x:v>
      </x:c>
      <x:c r="D1" s="22" t="str">
        <x:v>Category Summary</x:v>
      </x:c>
      <x:c r="E1" s="22" t="str">
        <x:v>Category Summary</x:v>
      </x:c>
      <x:c r="F1" s="22" t="str">
        <x:v>Category Summary</x:v>
      </x:c>
      <x:c r="G1" s="22" t="str">
        <x:v>Category Summary</x:v>
      </x:c>
      <x:c r="H1" s="22" t="str">
        <x:v>Category Summary</x:v>
      </x:c>
      <x:c r="I1" s="22" t="str">
        <x:v>Category Summary</x:v>
      </x:c>
      <x:c r="J1" s="22" t="str">
        <x:v>Category Summary</x:v>
      </x:c>
      <x:c r="K1" s="22" t="str">
        <x:v>Category Summary</x:v>
      </x:c>
      <x:c r="L1" s="22" t="str">
        <x:v>Category Summary</x:v>
      </x:c>
      <x:c r="M1" s="22" t="str">
        <x:v>Category Summary</x:v>
      </x:c>
      <x:c r="N1" s="22" t="str">
        <x:v>Category Summary</x:v>
      </x:c>
      <x:c r="O1" s="22" t="str">
        <x:v>Category Summary</x:v>
      </x:c>
      <x:c r="P1" s="22" t="str">
        <x:v>Category Summary</x:v>
      </x:c>
      <x:c r="Q1" s="22" t="str">
        <x:v>Category Summary</x:v>
      </x:c>
      <x:c r="R1" s="22" t="str">
        <x:v>Category Summary</x:v>
      </x:c>
      <x:c r="S1" s="22" t="str">
        <x:v>Category Summary</x:v>
      </x:c>
    </x:row>
    <x:row r="2">
      <x:c r="A2" s="45" t="str">
        <x:v>Category</x:v>
      </x:c>
      <x:c r="B2" s="45" t="str">
        <x:v>Expected min</x:v>
      </x:c>
      <x:c r="C2" s="45" t="str">
        <x:v>Expected max</x:v>
      </x:c>
      <x:c r="D2" s="45" t="str">
        <x:v>Successful</x:v>
      </x:c>
      <x:c r="E2" s="45" t="str">
        <x:v>Failed</x:v>
      </x:c>
      <x:c r="F2" s="45" t="str">
        <x:v>Average</x:v>
      </x:c>
      <x:c r="G2" s="45" t="str">
        <x:v>Median</x:v>
      </x:c>
      <x:c r="H2" s="45" t="str">
        <x:v>Minimum</x:v>
      </x:c>
      <x:c r="I2" s="45" t="str">
        <x:v>Maximum</x:v>
      </x:c>
      <x:c r="J2" s="45" t="str">
        <x:v>Std dev (population)</x:v>
      </x:c>
      <x:c r="K2" s="45" t="str">
        <x:v>Inside count</x:v>
      </x:c>
      <x:c r="L2" s="45" t="str">
        <x:v>Inside %</x:v>
      </x:c>
      <x:c r="M2" s="45" t="str">
        <x:v>Below count</x:v>
      </x:c>
      <x:c r="N2" s="45" t="str">
        <x:v>Below %</x:v>
      </x:c>
      <x:c r="O2" s="45" t="str">
        <x:v>Above count</x:v>
      </x:c>
      <x:c r="P2" s="45" t="str">
        <x:v>Above %</x:v>
      </x:c>
      <x:c r="Q2" s="45" t="str">
        <x:v>Mean distance</x:v>
      </x:c>
      <x:c r="R2" s="45" t="str">
        <x:v>Correct count</x:v>
      </x:c>
      <x:c r="S2" s="45" t="str">
        <x:v>Accuracy</x:v>
      </x:c>
    </x:row>
    <x:row r="3">
      <x:c r="A3" s="57" t="str">
        <x:v>Excellent</x:v>
      </x:c>
      <x:c r="B3" s="47" t="n">
        <x:v>85</x:v>
      </x:c>
      <x:c r="C3" s="47" t="n">
        <x:v>100</x:v>
      </x:c>
      <x:c r="D3" s="47" t="n">
        <x:f>COUNTIFS('Results'!$D$2:$D$151,$A3,'Results'!$Z$2:$Z$151,"Success")</x:f>
        <x:v>30</x:v>
      </x:c>
      <x:c r="E3" s="47" t="n">
        <x:f>COUNTIFS('Results'!$D$2:$D$151,$A3,'Results'!$Z$2:$Z$151,"Error")</x:f>
        <x:v>0</x:v>
      </x:c>
      <x:c r="F3" s="49" t="n">
        <x:f>IF(D3=0,"",SUMIFS('Results'!$H$2:$H$151,'Results'!$D$2:$D$151,$A3,'Results'!$Z$2:$Z$151,"Success")/D3)</x:f>
        <x:v>94.36666666666666</x:v>
      </x:c>
      <x:c r="G3" s="49" t="n">
        <x:f>IF(D3=0,"",MEDIAN(_xlfn._xlws.FILTER('Results'!$H$2:$H$151,('Results'!$D$2:$D$151=$A3)*('Results'!$Z$2:$Z$151="Success"))))</x:f>
        <x:v>95</x:v>
      </x:c>
      <x:c r="H3" s="49" t="n">
        <x:f>IF(D3=0,"",MINIFS('Results'!$H$2:$H$151,'Results'!$D$2:$D$151,$A3,'Results'!$Z$2:$Z$151,"Success"))</x:f>
        <x:v>89</x:v>
      </x:c>
      <x:c r="I3" s="49" t="n">
        <x:f>IF(D3=0,"",MAXIFS('Results'!$H$2:$H$151,'Results'!$D$2:$D$151,$A3,'Results'!$Z$2:$Z$151,"Success"))</x:f>
        <x:v>96</x:v>
      </x:c>
      <x:c r="J3" s="49" t="n">
        <x:f>IF(D3=0,"",STDEV.P(_xlfn._xlws.FILTER('Results'!$H$2:$H$151,('Results'!$D$2:$D$151=$A3)*('Results'!$Z$2:$Z$151="Success"))))</x:f>
        <x:v>1.8345450541089352</x:v>
      </x:c>
      <x:c r="K3" s="47" t="n">
        <x:f>COUNTIFS('Results'!$D$2:$D$151,$A3,'Results'!$Z$2:$Z$151,"Success",'Results'!$Q$2:$Q$151,"Yes")</x:f>
        <x:v>30</x:v>
      </x:c>
      <x:c r="L3" s="58" t="n">
        <x:f>IF(D3=0,0,K3/D3)</x:f>
        <x:v>1</x:v>
      </x:c>
      <x:c r="M3" s="47" t="n">
        <x:f>COUNTIFS('Results'!$D$2:$D$151,$A3,'Results'!$Z$2:$Z$151,"Success",'Results'!$S$2:$S$151,"&gt;0")</x:f>
        <x:v>0</x:v>
      </x:c>
      <x:c r="N3" s="58" t="n">
        <x:f>IF(D3=0,0,M3/D3)</x:f>
        <x:v>0</x:v>
      </x:c>
      <x:c r="O3" s="47" t="n">
        <x:f>COUNTIFS('Results'!$D$2:$D$151,$A3,'Results'!$Z$2:$Z$151,"Success",'Results'!$T$2:$T$151,"&gt;0")</x:f>
        <x:v>0</x:v>
      </x:c>
      <x:c r="P3" s="58" t="n">
        <x:f>IF(D3=0,0,O3/D3)</x:f>
        <x:v>0</x:v>
      </x:c>
      <x:c r="Q3" s="49" t="n">
        <x:f>IF(D3=0,"",SUMIFS('Results'!$R$2:$R$151,'Results'!$D$2:$D$151,$A3,'Results'!$Z$2:$Z$151,"Success")/D3)</x:f>
        <x:v>0</x:v>
      </x:c>
      <x:c r="R3" s="47" t="n">
        <x:f>COUNTIFS('Results'!$D$2:$D$151,$A3,'Results'!$Z$2:$Z$151,"Success",'Results'!$V$2:$V$151,"Yes")</x:f>
        <x:v>30</x:v>
      </x:c>
      <x:c r="S3" s="58" t="n">
        <x:f>IF(D3=0,0,R3/D3)</x:f>
        <x:v>1</x:v>
      </x:c>
    </x:row>
    <x:row r="4">
      <x:c r="A4" s="57" t="str">
        <x:v>Good</x:v>
      </x:c>
      <x:c r="B4" s="47" t="n">
        <x:v>70</x:v>
      </x:c>
      <x:c r="C4" s="47" t="n">
        <x:v>84</x:v>
      </x:c>
      <x:c r="D4" s="47" t="n">
        <x:f>COUNTIFS('Results'!$D$2:$D$151,$A4,'Results'!$Z$2:$Z$151,"Success")</x:f>
        <x:v>30</x:v>
      </x:c>
      <x:c r="E4" s="47" t="n">
        <x:f>COUNTIFS('Results'!$D$2:$D$151,$A4,'Results'!$Z$2:$Z$151,"Error")</x:f>
        <x:v>0</x:v>
      </x:c>
      <x:c r="F4" s="49" t="n">
        <x:f>IF(D4=0,"",SUMIFS('Results'!$H$2:$H$151,'Results'!$D$2:$D$151,$A4,'Results'!$Z$2:$Z$151,"Success")/D4)</x:f>
        <x:v>86.26666666666667</x:v>
      </x:c>
      <x:c r="G4" s="49" t="n">
        <x:f>IF(D4=0,"",MEDIAN(_xlfn._xlws.FILTER('Results'!$H$2:$H$151,('Results'!$D$2:$D$151=$A4)*('Results'!$Z$2:$Z$151="Success"))))</x:f>
        <x:v>89</x:v>
      </x:c>
      <x:c r="H4" s="49" t="n">
        <x:f>IF(D4=0,"",MINIFS('Results'!$H$2:$H$151,'Results'!$D$2:$D$151,$A4,'Results'!$Z$2:$Z$151,"Success"))</x:f>
        <x:v>59</x:v>
      </x:c>
      <x:c r="I4" s="49" t="n">
        <x:f>IF(D4=0,"",MAXIFS('Results'!$H$2:$H$151,'Results'!$D$2:$D$151,$A4,'Results'!$Z$2:$Z$151,"Success"))</x:f>
        <x:v>98</x:v>
      </x:c>
      <x:c r="J4" s="49" t="n">
        <x:f>IF(D4=0,"",STDEV.P(_xlfn._xlws.FILTER('Results'!$H$2:$H$151,('Results'!$D$2:$D$151=$A4)*('Results'!$Z$2:$Z$151="Success"))))</x:f>
        <x:v>12.269021513099114</x:v>
      </x:c>
      <x:c r="K4" s="47" t="n">
        <x:f>COUNTIFS('Results'!$D$2:$D$151,$A4,'Results'!$Z$2:$Z$151,"Success",'Results'!$Q$2:$Q$151,"Yes")</x:f>
        <x:v>1</x:v>
      </x:c>
      <x:c r="L4" s="58" t="n">
        <x:f>IF(D4=0,0,K4/D4)</x:f>
        <x:v>0.03333333333333333</x:v>
      </x:c>
      <x:c r="M4" s="47" t="n">
        <x:f>COUNTIFS('Results'!$D$2:$D$151,$A4,'Results'!$Z$2:$Z$151,"Success",'Results'!$S$2:$S$151,"&gt;0")</x:f>
        <x:v>5</x:v>
      </x:c>
      <x:c r="N4" s="58" t="n">
        <x:f>IF(D4=0,0,M4/D4)</x:f>
        <x:v>0.16666666666666666</x:v>
      </x:c>
      <x:c r="O4" s="47" t="n">
        <x:f>COUNTIFS('Results'!$D$2:$D$151,$A4,'Results'!$Z$2:$Z$151,"Success",'Results'!$T$2:$T$151,"&gt;0")</x:f>
        <x:v>24</x:v>
      </x:c>
      <x:c r="P4" s="58" t="n">
        <x:f>IF(D4=0,0,O4/D4)</x:f>
        <x:v>0.8</x:v>
      </x:c>
      <x:c r="Q4" s="49" t="n">
        <x:f>IF(D4=0,"",SUMIFS('Results'!$R$2:$R$151,'Results'!$D$2:$D$151,$A4,'Results'!$Z$2:$Z$151,"Success")/D4)</x:f>
        <x:v>7.933333333333334</x:v>
      </x:c>
      <x:c r="R4" s="47" t="n">
        <x:f>COUNTIFS('Results'!$D$2:$D$151,$A4,'Results'!$Z$2:$Z$151,"Success",'Results'!$V$2:$V$151,"Yes")</x:f>
        <x:v>1</x:v>
      </x:c>
      <x:c r="S4" s="58" t="n">
        <x:f>IF(D4=0,0,R4/D4)</x:f>
        <x:v>0.03333333333333333</x:v>
      </x:c>
    </x:row>
    <x:row r="5">
      <x:c r="A5" s="57" t="str">
        <x:v>Normal</x:v>
      </x:c>
      <x:c r="B5" s="47" t="n">
        <x:v>50</x:v>
      </x:c>
      <x:c r="C5" s="47" t="n">
        <x:v>69</x:v>
      </x:c>
      <x:c r="D5" s="47" t="n">
        <x:f>COUNTIFS('Results'!$D$2:$D$151,$A5,'Results'!$Z$2:$Z$151,"Success")</x:f>
        <x:v>30</x:v>
      </x:c>
      <x:c r="E5" s="47" t="n">
        <x:f>COUNTIFS('Results'!$D$2:$D$151,$A5,'Results'!$Z$2:$Z$151,"Error")</x:f>
        <x:v>0</x:v>
      </x:c>
      <x:c r="F5" s="49" t="n">
        <x:f>IF(D5=0,"",SUMIFS('Results'!$H$2:$H$151,'Results'!$D$2:$D$151,$A5,'Results'!$Z$2:$Z$151,"Success")/D5)</x:f>
        <x:v>81.5</x:v>
      </x:c>
      <x:c r="G5" s="49" t="n">
        <x:f>IF(D5=0,"",MEDIAN(_xlfn._xlws.FILTER('Results'!$H$2:$H$151,('Results'!$D$2:$D$151=$A5)*('Results'!$Z$2:$Z$151="Success"))))</x:f>
        <x:v>86</x:v>
      </x:c>
      <x:c r="H5" s="49" t="n">
        <x:f>IF(D5=0,"",MINIFS('Results'!$H$2:$H$151,'Results'!$D$2:$D$151,$A5,'Results'!$Z$2:$Z$151,"Success"))</x:f>
        <x:v>59</x:v>
      </x:c>
      <x:c r="I5" s="49" t="n">
        <x:f>IF(D5=0,"",MAXIFS('Results'!$H$2:$H$151,'Results'!$D$2:$D$151,$A5,'Results'!$Z$2:$Z$151,"Success"))</x:f>
        <x:v>95</x:v>
      </x:c>
      <x:c r="J5" s="49" t="n">
        <x:f>IF(D5=0,"",STDEV.P(_xlfn._xlws.FILTER('Results'!$H$2:$H$151,('Results'!$D$2:$D$151=$A5)*('Results'!$Z$2:$Z$151="Success"))))</x:f>
        <x:v>11.089785089591834</x:v>
      </x:c>
      <x:c r="K5" s="47" t="n">
        <x:f>COUNTIFS('Results'!$D$2:$D$151,$A5,'Results'!$Z$2:$Z$151,"Success",'Results'!$Q$2:$Q$151,"Yes")</x:f>
        <x:v>4</x:v>
      </x:c>
      <x:c r="L5" s="58" t="n">
        <x:f>IF(D5=0,0,K5/D5)</x:f>
        <x:v>0.13333333333333333</x:v>
      </x:c>
      <x:c r="M5" s="47" t="n">
        <x:f>COUNTIFS('Results'!$D$2:$D$151,$A5,'Results'!$Z$2:$Z$151,"Success",'Results'!$S$2:$S$151,"&gt;0")</x:f>
        <x:v>0</x:v>
      </x:c>
      <x:c r="N5" s="58" t="n">
        <x:f>IF(D5=0,0,M5/D5)</x:f>
        <x:v>0</x:v>
      </x:c>
      <x:c r="O5" s="47" t="n">
        <x:f>COUNTIFS('Results'!$D$2:$D$151,$A5,'Results'!$Z$2:$Z$151,"Success",'Results'!$T$2:$T$151,"&gt;0")</x:f>
        <x:v>26</x:v>
      </x:c>
      <x:c r="P5" s="58" t="n">
        <x:f>IF(D5=0,0,O5/D5)</x:f>
        <x:v>0.8666666666666667</x:v>
      </x:c>
      <x:c r="Q5" s="49" t="n">
        <x:f>IF(D5=0,"",SUMIFS('Results'!$R$2:$R$151,'Results'!$D$2:$D$151,$A5,'Results'!$Z$2:$Z$151,"Success")/D5)</x:f>
        <x:v>13.833333333333334</x:v>
      </x:c>
      <x:c r="R5" s="47" t="n">
        <x:f>COUNTIFS('Results'!$D$2:$D$151,$A5,'Results'!$Z$2:$Z$151,"Success",'Results'!$V$2:$V$151,"Yes")</x:f>
        <x:v>4</x:v>
      </x:c>
      <x:c r="S5" s="58" t="n">
        <x:f>IF(D5=0,0,R5/D5)</x:f>
        <x:v>0.13333333333333333</x:v>
      </x:c>
    </x:row>
    <x:row r="6">
      <x:c r="A6" s="57" t="str">
        <x:v>Bad</x:v>
      </x:c>
      <x:c r="B6" s="47" t="n">
        <x:v>30</x:v>
      </x:c>
      <x:c r="C6" s="47" t="n">
        <x:v>49</x:v>
      </x:c>
      <x:c r="D6" s="47" t="n">
        <x:f>COUNTIFS('Results'!$D$2:$D$151,$A6,'Results'!$Z$2:$Z$151,"Success")</x:f>
        <x:v>30</x:v>
      </x:c>
      <x:c r="E6" s="47" t="n">
        <x:f>COUNTIFS('Results'!$D$2:$D$151,$A6,'Results'!$Z$2:$Z$151,"Error")</x:f>
        <x:v>0</x:v>
      </x:c>
      <x:c r="F6" s="49" t="n">
        <x:f>IF(D6=0,"",SUMIFS('Results'!$H$2:$H$151,'Results'!$D$2:$D$151,$A6,'Results'!$Z$2:$Z$151,"Success")/D6)</x:f>
        <x:v>58.96666666666667</x:v>
      </x:c>
      <x:c r="G6" s="49" t="n">
        <x:f>IF(D6=0,"",MEDIAN(_xlfn._xlws.FILTER('Results'!$H$2:$H$151,('Results'!$D$2:$D$151=$A6)*('Results'!$Z$2:$Z$151="Success"))))</x:f>
        <x:v>59</x:v>
      </x:c>
      <x:c r="H6" s="49" t="n">
        <x:f>IF(D6=0,"",MINIFS('Results'!$H$2:$H$151,'Results'!$D$2:$D$151,$A6,'Results'!$Z$2:$Z$151,"Success"))</x:f>
        <x:v>40</x:v>
      </x:c>
      <x:c r="I6" s="49" t="n">
        <x:f>IF(D6=0,"",MAXIFS('Results'!$H$2:$H$151,'Results'!$D$2:$D$151,$A6,'Results'!$Z$2:$Z$151,"Success"))</x:f>
        <x:v>74</x:v>
      </x:c>
      <x:c r="J6" s="49" t="n">
        <x:f>IF(D6=0,"",STDEV.P(_xlfn._xlws.FILTER('Results'!$H$2:$H$151,('Results'!$D$2:$D$151=$A6)*('Results'!$Z$2:$Z$151="Success"))))</x:f>
        <x:v>8.7272879839934</x:v>
      </x:c>
      <x:c r="K6" s="47" t="n">
        <x:f>COUNTIFS('Results'!$D$2:$D$151,$A6,'Results'!$Z$2:$Z$151,"Success",'Results'!$Q$2:$Q$151,"Yes")</x:f>
        <x:v>2</x:v>
      </x:c>
      <x:c r="L6" s="58" t="n">
        <x:f>IF(D6=0,0,K6/D6)</x:f>
        <x:v>0.06666666666666667</x:v>
      </x:c>
      <x:c r="M6" s="47" t="n">
        <x:f>COUNTIFS('Results'!$D$2:$D$151,$A6,'Results'!$Z$2:$Z$151,"Success",'Results'!$S$2:$S$151,"&gt;0")</x:f>
        <x:v>0</x:v>
      </x:c>
      <x:c r="N6" s="58" t="n">
        <x:f>IF(D6=0,0,M6/D6)</x:f>
        <x:v>0</x:v>
      </x:c>
      <x:c r="O6" s="47" t="n">
        <x:f>COUNTIFS('Results'!$D$2:$D$151,$A6,'Results'!$Z$2:$Z$151,"Success",'Results'!$T$2:$T$151,"&gt;0")</x:f>
        <x:v>28</x:v>
      </x:c>
      <x:c r="P6" s="58" t="n">
        <x:f>IF(D6=0,0,O6/D6)</x:f>
        <x:v>0.9333333333333333</x:v>
      </x:c>
      <x:c r="Q6" s="49" t="n">
        <x:f>IF(D6=0,"",SUMIFS('Results'!$R$2:$R$151,'Results'!$D$2:$D$151,$A6,'Results'!$Z$2:$Z$151,"Success")/D6)</x:f>
        <x:v>10.366666666666667</x:v>
      </x:c>
      <x:c r="R6" s="47" t="n">
        <x:f>COUNTIFS('Results'!$D$2:$D$151,$A6,'Results'!$Z$2:$Z$151,"Success",'Results'!$V$2:$V$151,"Yes")</x:f>
        <x:v>2</x:v>
      </x:c>
      <x:c r="S6" s="58" t="n">
        <x:f>IF(D6=0,0,R6/D6)</x:f>
        <x:v>0.06666666666666667</x:v>
      </x:c>
    </x:row>
    <x:row r="7">
      <x:c r="A7" s="57" t="str">
        <x:v>Extremely Bad</x:v>
      </x:c>
      <x:c r="B7" s="47" t="n">
        <x:v>0</x:v>
      </x:c>
      <x:c r="C7" s="47" t="n">
        <x:v>29</x:v>
      </x:c>
      <x:c r="D7" s="47" t="n">
        <x:f>COUNTIFS('Results'!$D$2:$D$151,$A7,'Results'!$Z$2:$Z$151,"Success")</x:f>
        <x:v>30</x:v>
      </x:c>
      <x:c r="E7" s="47" t="n">
        <x:f>COUNTIFS('Results'!$D$2:$D$151,$A7,'Results'!$Z$2:$Z$151,"Error")</x:f>
        <x:v>0</x:v>
      </x:c>
      <x:c r="F7" s="49" t="n">
        <x:f>IF(D7=0,"",SUMIFS('Results'!$H$2:$H$151,'Results'!$D$2:$D$151,$A7,'Results'!$Z$2:$Z$151,"Success")/D7)</x:f>
        <x:v>38.13333333333333</x:v>
      </x:c>
      <x:c r="G7" s="49" t="n">
        <x:f>IF(D7=0,"",MEDIAN(_xlfn._xlws.FILTER('Results'!$H$2:$H$151,('Results'!$D$2:$D$151=$A7)*('Results'!$Z$2:$Z$151="Success"))))</x:f>
        <x:v>39</x:v>
      </x:c>
      <x:c r="H7" s="49" t="n">
        <x:f>IF(D7=0,"",MINIFS('Results'!$H$2:$H$151,'Results'!$D$2:$D$151,$A7,'Results'!$Z$2:$Z$151,"Success"))</x:f>
        <x:v>10</x:v>
      </x:c>
      <x:c r="I7" s="49" t="n">
        <x:f>IF(D7=0,"",MAXIFS('Results'!$H$2:$H$151,'Results'!$D$2:$D$151,$A7,'Results'!$Z$2:$Z$151,"Success"))</x:f>
        <x:v>54</x:v>
      </x:c>
      <x:c r="J7" s="49" t="n">
        <x:f>IF(D7=0,"",STDEV.P(_xlfn._xlws.FILTER('Results'!$H$2:$H$151,('Results'!$D$2:$D$151=$A7)*('Results'!$Z$2:$Z$151="Success"))))</x:f>
        <x:v>9.091143431323088</x:v>
      </x:c>
      <x:c r="K7" s="47" t="n">
        <x:f>COUNTIFS('Results'!$D$2:$D$151,$A7,'Results'!$Z$2:$Z$151,"Success",'Results'!$Q$2:$Q$151,"Yes")</x:f>
        <x:v>5</x:v>
      </x:c>
      <x:c r="L7" s="58" t="n">
        <x:f>IF(D7=0,0,K7/D7)</x:f>
        <x:v>0.16666666666666666</x:v>
      </x:c>
      <x:c r="M7" s="47" t="n">
        <x:f>COUNTIFS('Results'!$D$2:$D$151,$A7,'Results'!$Z$2:$Z$151,"Success",'Results'!$S$2:$S$151,"&gt;0")</x:f>
        <x:v>0</x:v>
      </x:c>
      <x:c r="N7" s="58" t="n">
        <x:f>IF(D7=0,0,M7/D7)</x:f>
        <x:v>0</x:v>
      </x:c>
      <x:c r="O7" s="47" t="n">
        <x:f>COUNTIFS('Results'!$D$2:$D$151,$A7,'Results'!$Z$2:$Z$151,"Success",'Results'!$T$2:$T$151,"&gt;0")</x:f>
        <x:v>25</x:v>
      </x:c>
      <x:c r="P7" s="58" t="n">
        <x:f>IF(D7=0,0,O7/D7)</x:f>
        <x:v>0.8333333333333334</x:v>
      </x:c>
      <x:c r="Q7" s="49" t="n">
        <x:f>IF(D7=0,"",SUMIFS('Results'!$R$2:$R$151,'Results'!$D$2:$D$151,$A7,'Results'!$Z$2:$Z$151,"Success")/D7)</x:f>
        <x:v>9.966666666666667</x:v>
      </x:c>
      <x:c r="R7" s="47" t="n">
        <x:f>COUNTIFS('Results'!$D$2:$D$151,$A7,'Results'!$Z$2:$Z$151,"Success",'Results'!$V$2:$V$151,"Yes")</x:f>
        <x:v>5</x:v>
      </x:c>
      <x:c r="S7" s="58" t="n">
        <x:f>IF(D7=0,0,R7/D7)</x:f>
        <x:v>0.16666666666666666</x:v>
      </x:c>
    </x:row>
  </x:sheetData>
  <x:mergeCells>
    <x:mergeCell ref="A1:S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6" hidden="0" customWidth="1"/>
    <x:col min="2" max="2" width="11" hidden="0" customWidth="1"/>
    <x:col min="3" max="3" width="18" hidden="0" customWidth="1"/>
    <x:col min="4" max="4" width="9" hidden="0" customWidth="1"/>
    <x:col min="5" max="5" width="13" hidden="0" customWidth="1"/>
    <x:col min="6" max="6" width="25" hidden="0" customWidth="1"/>
    <x:col min="7" max="7" width="54" hidden="0" customWidth="1"/>
    <x:col min="8" max="8" width="11" hidden="0" customWidth="1"/>
    <x:col min="9" max="9" width="17" hidden="0" customWidth="1"/>
    <x:col min="10" max="10" width="24" hidden="0" customWidth="1"/>
  </x:cols>
  <x:sheetData>
    <x:row r="1" ht="34" customHeight="1">
      <x:c r="A1" s="22" t="str">
        <x:v>Error Log</x:v>
      </x:c>
      <x:c r="B1" s="22" t="str">
        <x:v>Error Log</x:v>
      </x:c>
      <x:c r="C1" s="22" t="str">
        <x:v>Error Log</x:v>
      </x:c>
      <x:c r="D1" s="22" t="str">
        <x:v>Error Log</x:v>
      </x:c>
      <x:c r="E1" s="22" t="str">
        <x:v>Error Log</x:v>
      </x:c>
      <x:c r="F1" s="22" t="str">
        <x:v>Error Log</x:v>
      </x:c>
      <x:c r="G1" s="22" t="str">
        <x:v>Error Log</x:v>
      </x:c>
      <x:c r="H1" s="22" t="str">
        <x:v>Error Log</x:v>
      </x:c>
      <x:c r="I1" s="22" t="str">
        <x:v>Error Log</x:v>
      </x:c>
      <x:c r="J1" s="22" t="str">
        <x:v>Error Log</x:v>
      </x:c>
    </x:row>
    <x:row r="2">
      <x:c r="A2" s="9" t="str">
        <x:v>Draft ID</x:v>
      </x:c>
      <x:c r="B2" s="10" t="str">
        <x:v>Scenario</x:v>
      </x:c>
      <x:c r="C2" s="10" t="str">
        <x:v>Category</x:v>
      </x:c>
      <x:c r="D2" s="10" t="str">
        <x:v>Repeat</x:v>
      </x:c>
      <x:c r="E2" s="10" t="str">
        <x:v>Error type</x:v>
      </x:c>
      <x:c r="F2" s="10" t="str">
        <x:v>Error code</x:v>
      </x:c>
      <x:c r="G2" s="10" t="str">
        <x:v>Error message</x:v>
      </x:c>
      <x:c r="H2" s="10" t="str">
        <x:v>Retry count</x:v>
      </x:c>
      <x:c r="I2" s="10" t="str">
        <x:v>Response time (ms)</x:v>
      </x:c>
      <x:c r="J2" s="11" t="str">
        <x:v>Timestamp</x:v>
      </x:c>
    </x:row>
    <x:row r="3">
      <x:c r="A3" s="60" t="str">
        <x:v>No errors are recorded in the current results file.</x:v>
      </x:c>
      <x:c r="B3" s="60" t="str">
        <x:v>No errors are recorded in the current results file.</x:v>
      </x:c>
      <x:c r="C3" s="60" t="str">
        <x:v>No errors are recorded in the current results file.</x:v>
      </x:c>
      <x:c r="D3" s="60" t="str">
        <x:v>No errors are recorded in the current results file.</x:v>
      </x:c>
      <x:c r="E3" s="60" t="str">
        <x:v>No errors are recorded in the current results file.</x:v>
      </x:c>
      <x:c r="F3" s="60" t="str">
        <x:v>No errors are recorded in the current results file.</x:v>
      </x:c>
      <x:c r="G3" s="60" t="str">
        <x:v>No errors are recorded in the current results file.</x:v>
      </x:c>
      <x:c r="H3" s="60" t="str">
        <x:v>No errors are recorded in the current results file.</x:v>
      </x:c>
      <x:c r="I3" s="60" t="str">
        <x:v>No errors are recorded in the current results file.</x:v>
      </x:c>
      <x:c r="J3" s="60" t="str">
        <x:v>No errors are recorded in the current results file.</x:v>
      </x:c>
    </x:row>
  </x:sheetData>
  <x:mergeCells>
    <x:mergeCell ref="A1:J1"/>
    <x:mergeCell ref="A3:J3"/>
  </x:mergeCells>
  <x:pageMargins left="0.7" right="0.7" top="0.75" bottom="0.75" header="0.3" footer="0.3"/>
</x:worksheet>
</file>