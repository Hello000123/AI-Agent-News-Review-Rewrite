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4a48f612924412" /></Relationships>
</file>

<file path=xl/workbook.xml><?xml version="1.0" encoding="utf-8"?>
<x:workbook xmlns:x="http://schemas.openxmlformats.org/spreadsheetml/2006/main">
  <x:sheets>
    <x:sheet xmlns:r="http://schemas.openxmlformats.org/officeDocument/2006/relationships" name="Drafts" sheetId="1" r:id="Rc752dc427b63478d"/>
    <x:sheet xmlns:r="http://schemas.openxmlformats.org/officeDocument/2006/relationships" name="Results" sheetId="2" r:id="Rab2bd3dcce444d23"/>
    <x:sheet xmlns:r="http://schemas.openxmlformats.org/officeDocument/2006/relationships" name="Summary" sheetId="3" r:id="Rd7defd7c3b1a4fdc"/>
    <x:sheet xmlns:r="http://schemas.openxmlformats.org/officeDocument/2006/relationships" name="Category Summary" sheetId="4" r:id="Rabecc026d6904387"/>
    <x:sheet xmlns:r="http://schemas.openxmlformats.org/officeDocument/2006/relationships" name="Error Log" sheetId="5" r:id="R63cec1f478a940e6"/>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
    <x:numFmt numFmtId="201" formatCode="0"/>
    <x:numFmt numFmtId="202" formatCode="0.0"/>
    <x:numFmt numFmtId="203" formatCode="#,##0"/>
    <x:numFmt numFmtId="204" formatCode="yyyy-mm-dd hh:mm:ss"/>
    <x:numFmt numFmtId="205" formatCode="0.0%"/>
  </x:numFmts>
  <x:fonts count="11">
    <x:font>
      <x:sz val="11"/>
      <x:name val="Carlito"/>
    </x:font>
    <x:font>
      <x:b/>
      <x:sz val="10"/>
      <x:color rgb="FFFFFFFF"/>
      <x:name val="Carlito"/>
    </x:font>
    <x:font>
      <x:b/>
      <x:sz val="18"/>
      <x:color rgb="FFFFFFFF"/>
      <x:name val="Carlito"/>
    </x:font>
    <x:font>
      <x:i/>
      <x:sz val="10"/>
      <x:color rgb="FF374151"/>
      <x:name val="Carlito"/>
    </x:font>
    <x:font>
      <x:b/>
      <x:sz val="11"/>
      <x:color rgb="FFFFFFFF"/>
      <x:name val="Carlito"/>
    </x:font>
    <x:font>
      <x:b/>
      <x:sz val="11"/>
      <x:color rgb="FF374151"/>
      <x:name val="Carlito"/>
    </x:font>
    <x:font>
      <x:b/>
      <x:sz val="11"/>
      <x:color rgb="FF17324D"/>
      <x:name val="Carlito"/>
    </x:font>
    <x:font>
      <x:sz val="11"/>
      <x:color rgb="FF374151"/>
      <x:name val="Carlito"/>
    </x:font>
    <x:font>
      <x:b/>
      <x:sz val="11"/>
      <x:name val="Carlito"/>
    </x:font>
    <x:font>
      <x:sz val="11"/>
      <x:color rgb="FF92400E"/>
      <x:name val="Carlito"/>
    </x:font>
    <x:font>
      <x:b/>
      <x:sz val="11"/>
      <x:color rgb="FF166534"/>
      <x:name val="Carlito"/>
    </x:font>
  </x:fonts>
  <x:fills count="10">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087E8B"/>
      </x:patternFill>
    </x:fill>
    <x:fill>
      <x:patternFill patternType="solid">
        <x:fgColor rgb="FFF3F4F6"/>
      </x:patternFill>
    </x:fill>
    <x:fill>
      <x:patternFill patternType="solid">
        <x:fgColor rgb="FFFFFFFF"/>
      </x:patternFill>
    </x:fill>
    <x:fill>
      <x:patternFill patternType="solid">
        <x:fgColor rgb="FFDDF3F4"/>
      </x:patternFill>
    </x:fill>
    <x:fill>
      <x:patternFill patternType="solid">
        <x:fgColor rgb="FFFEF3C7"/>
      </x:patternFill>
    </x:fill>
    <x:fill>
      <x:patternFill patternType="solid">
        <x:fgColor rgb="FFDCFCE7"/>
      </x:patternFill>
    </x:fill>
  </x:fills>
  <x:borders count="5">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6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200"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205" fontId="6" fillId="6" borderId="0" xfId="0" applyNumberFormat="1" applyFont="1" applyFill="1" applyBorder="1"/>
    <x:xf numFmtId="202" fontId="6" fillId="6" borderId="0" xfId="0" applyNumberFormat="1" applyFont="1" applyFill="1" applyBorder="1"/>
    <x:xf numFmtId="0" fontId="4" fillId="4" borderId="4" xfId="0" applyNumberFormat="1" applyFont="1" applyFill="1" applyBorder="1" applyAlignment="1">
      <x:alignment vertical="center"/>
    </x:xf>
    <x:xf numFmtId="0" fontId="5" fillId="5" borderId="4" xfId="0" applyNumberFormat="1" applyFont="1" applyFill="1" applyBorder="1"/>
    <x:xf numFmtId="0" fontId="6" fillId="6" borderId="4" xfId="0" applyNumberFormat="1" applyFont="1" applyFill="1" applyBorder="1"/>
    <x:xf numFmtId="205" fontId="6" fillId="6" borderId="4" xfId="0" applyNumberFormat="1" applyFont="1" applyFill="1" applyBorder="1"/>
    <x:xf numFmtId="202" fontId="6" fillId="6" borderId="4" xfId="0" applyNumberFormat="1" applyFont="1" applyFill="1" applyBorder="1"/>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xf numFmtId="0" fontId="7" fillId="7" borderId="0" xfId="0" applyNumberFormat="1" applyFont="1" applyFill="1" applyBorder="1" applyAlignment="1">
      <x:alignment vertical="top" wrapText="1"/>
    </x:xf>
    <x:xf numFmtId="0" fontId="8" fillId="5" borderId="0" xfId="0" applyNumberFormat="1" applyFont="1" applyFill="1" applyBorder="1"/>
    <x:xf numFmtId="201" fontId="0" fillId="0" borderId="0" xfId="0" applyNumberFormat="1" applyFont="1" applyFill="1" applyBorder="1"/>
    <x:xf numFmtId="0" fontId="1" fillId="2" borderId="4" xfId="0" applyNumberFormat="1" applyFont="1" applyFill="1" applyBorder="1" applyAlignment="1">
      <x:alignment vertical="center" wrapText="1"/>
    </x:xf>
    <x:xf numFmtId="0" fontId="8" fillId="5" borderId="4" xfId="0" applyNumberFormat="1" applyFont="1" applyFill="1" applyBorder="1"/>
    <x:xf numFmtId="201" fontId="0" fillId="0" borderId="4" xfId="0" applyNumberFormat="1" applyFont="1" applyFill="1" applyBorder="1"/>
    <x:xf numFmtId="0" fontId="0" fillId="0" borderId="4" xfId="0" applyNumberFormat="1" applyFont="1" applyFill="1" applyBorder="1"/>
    <x:xf numFmtId="202" fontId="0" fillId="0" borderId="4" xfId="0" applyNumberFormat="1" applyFont="1" applyFill="1" applyBorder="1"/>
    <x:xf numFmtId="202" fontId="0" fillId="0" borderId="1" xfId="0" applyNumberFormat="1" applyFont="1" applyFill="1" applyBorder="1"/>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9" fillId="8" borderId="0" xfId="0" applyNumberFormat="1" applyFont="1" applyFill="1" applyBorder="1" applyAlignment="1">
      <x:alignment vertical="top" wrapText="1"/>
    </x:xf>
    <x:xf numFmtId="0" fontId="6" fillId="3" borderId="0" xfId="0" applyNumberFormat="1" applyFont="1" applyFill="1" applyBorder="1"/>
    <x:xf numFmtId="205" fontId="0" fillId="0" borderId="0" xfId="0" applyNumberFormat="1" applyFont="1" applyFill="1" applyBorder="1"/>
    <x:xf numFmtId="0" fontId="6" fillId="3" borderId="4" xfId="0" applyNumberFormat="1" applyFont="1" applyFill="1" applyBorder="1"/>
    <x:xf numFmtId="205" fontId="0" fillId="0" borderId="4" xfId="0" applyNumberFormat="1" applyFont="1" applyFill="1" applyBorder="1"/>
    <x:xf numFmtId="0" fontId="0" fillId="9" borderId="0" xfId="0" applyNumberFormat="1" applyFont="1" applyFill="1" applyBorder="1"/>
    <x:xf numFmtId="0" fontId="10" fillId="9" borderId="0" xfId="0" applyNumberFormat="1" applyFont="1" applyFill="1" applyBorder="1"/>
  </x:cellXfs>
  <x:cellStyles count="1">
    <x:cellStyle name="Normal" xfId="0"/>
  </x:cellStyles>
  <x:dxfs count="3">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3c64564d7944f9" /><Relationship Type="http://schemas.openxmlformats.org/officeDocument/2006/relationships/theme" Target="/xl/theme/theme1.xml" Id="Ra8b58501604045cd" /><Relationship Type="http://schemas.openxmlformats.org/officeDocument/2006/relationships/sharedStrings" Target="/xl/sharedStrings.xml" Id="R361ecc320e5242d0" /><Relationship Type="http://schemas.openxmlformats.org/officeDocument/2006/relationships/worksheet" Target="/xl/worksheets/sheet1.xml" Id="Rc752dc427b63478d" /><Relationship Type="http://schemas.openxmlformats.org/officeDocument/2006/relationships/worksheet" Target="/xl/worksheets/sheet2.xml" Id="Rab2bd3dcce444d23" /><Relationship Type="http://schemas.openxmlformats.org/officeDocument/2006/relationships/worksheet" Target="/xl/worksheets/sheet3.xml" Id="Rd7defd7c3b1a4fdc" /><Relationship Type="http://schemas.openxmlformats.org/officeDocument/2006/relationships/worksheet" Target="/xl/worksheets/sheet4.xml" Id="Rabecc026d6904387" /><Relationship Type="http://schemas.openxmlformats.org/officeDocument/2006/relationships/worksheet" Target="/xl/worksheets/sheet5.xml" Id="R63cec1f478a940e6" /></Relationships>
</file>

<file path=xl/tables/table1.xml><?xml version="1.0" encoding="utf-8"?>
<x:table xmlns:x="http://schemas.openxmlformats.org/spreadsheetml/2006/main" id="1" name="ChineseReviewDraftsTable" displayName="ChineseReviewDraftsTable" ref="A1:G151" headerRowCount="1" totalsRowCount="0" totalsRowShown="0">
  <x:tableColumns count="7">
    <x:tableColumn id="1" name="Global order"/>
    <x:tableColumn id="2" name="Draft ID"/>
    <x:tableColumn id="3" name="Scenario ID"/>
    <x:tableColumn id="4" name="Category"/>
    <x:tableColumn id="5" name="Expected minimum"/>
    <x:tableColumn id="6" name="Expected maximum"/>
    <x:tableColumn id="7" name="Complete draft text"/>
  </x:tableColumns>
  <x:tableStyleInfo name="TableStyleMedium2" showFirstColumn="0" showLastColumn="0" showRowStripes="1" showColumnStripes="0"/>
</x:table>
</file>

<file path=xl/tables/table2.xml><?xml version="1.0" encoding="utf-8"?>
<x:table xmlns:x="http://schemas.openxmlformats.org/spreadsheetml/2006/main" id="2" name="ChineseReviewResultsTable" displayName="ChineseReviewResultsTable" ref="A1:AH151" headerRowCount="1" totalsRowCount="0" totalsRowShown="0">
  <x:tableColumns count="34">
    <x:tableColumn id="1" name="Global order"/>
    <x:tableColumn id="2" name="Draft ID"/>
    <x:tableColumn id="3" name="Scenario ID"/>
    <x:tableColumn id="4" name="Category"/>
    <x:tableColumn id="5" name="Expected minimum"/>
    <x:tableColumn id="6" name="Expected maximum"/>
    <x:tableColumn id="7" name="Repeat"/>
    <x:tableColumn id="8" name="Actual overall score"/>
    <x:tableColumn id="9" name="Factual completeness"/>
    <x:tableColumn id="10" name="Structure"/>
    <x:tableColumn id="11" name="Clarity"/>
    <x:tableColumn id="12" name="Language quality"/>
    <x:tableColumn id="13" name="Professionalism"/>
    <x:tableColumn id="14" name="Attribution"/>
    <x:tableColumn id="15" name="Weighted score"/>
    <x:tableColumn id="16" name="Applied score cap"/>
    <x:tableColumn id="17" name="In expected range"/>
    <x:tableColumn id="18" name="Distance from range"/>
    <x:tableColumn id="19" name="Distance below"/>
    <x:tableColumn id="20" name="Distance above"/>
    <x:tableColumn id="21" name="Predicted category"/>
    <x:tableColumn id="22" name="Category correct"/>
    <x:tableColumn id="23" name="Readiness band"/>
    <x:tableColumn id="24" name="Decision"/>
    <x:tableColumn id="25" name="Pass score"/>
    <x:tableColumn id="26" name="Test status"/>
    <x:tableColumn id="27" name="Error type"/>
    <x:tableColumn id="28" name="Error code"/>
    <x:tableColumn id="29" name="Error message"/>
    <x:tableColumn id="30" name="Retry count"/>
    <x:tableColumn id="31" name="Response time (ms)"/>
    <x:tableColumn id="32" name="Model name"/>
    <x:tableColumn id="33" name="Test timestamp"/>
    <x:tableColumn id="34" name="HTTP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a42ff02697d43d0" /></Relationships>
</file>

<file path=xl/worksheets/_rels/sheet2.xml.rels>&#65279;<?xml version="1.0" encoding="utf-8"?><Relationships xmlns="http://schemas.openxmlformats.org/package/2006/relationships"><Relationship Type="http://schemas.openxmlformats.org/officeDocument/2006/relationships/table" Target="/xl/tables/table2.xml" Id="Ra3d6c24cd61644a4"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6" hidden="0" customWidth="1"/>
    <x:col min="3" max="3" width="12" hidden="0" customWidth="1"/>
    <x:col min="4" max="4" width="18" hidden="0" customWidth="1"/>
    <x:col min="5" max="5" width="14" hidden="0" customWidth="1"/>
    <x:col min="6" max="6" width="14" hidden="0" customWidth="1"/>
    <x:col min="7" max="7" width="92" hidden="0" customWidth="1"/>
  </x:cols>
  <x:sheetData>
    <x:row r="1">
      <x:c r="A1" s="9" t="str">
        <x:v>Global order</x:v>
      </x:c>
      <x:c r="B1" s="10" t="str">
        <x:v>Draft ID</x:v>
      </x:c>
      <x:c r="C1" s="10" t="str">
        <x:v>Scenario ID</x:v>
      </x:c>
      <x:c r="D1" s="10" t="str">
        <x:v>Category</x:v>
      </x:c>
      <x:c r="E1" s="10" t="str">
        <x:v>Expected minimum</x:v>
      </x:c>
      <x:c r="F1" s="10" t="str">
        <x:v>Expected maximum</x:v>
      </x:c>
      <x:c r="G1" s="11" t="str">
        <x:v>Complete draft text</x:v>
      </x:c>
    </x:row>
    <x:row r="2" ht="132" hidden="0" customHeight="1">
      <x:c r="A2" s="15" t="str">
        <x:v>001</x:v>
      </x:c>
      <x:c r="B2" s="12" t="str">
        <x:v>ZH-EXCELLENT-001</x:v>
      </x:c>
      <x:c r="C2" s="15" t="str">
        <x:v>001</x:v>
      </x:c>
      <x:c r="D2" s="12" t="str">
        <x:v>Excellent</x:v>
      </x:c>
      <x:c r="E2" s="16" t="n">
        <x:v>85</x:v>
      </x:c>
      <x:c r="F2" s="16" t="n">
        <x:v>100</x:v>
      </x:c>
      <x:c r="G2" s="14" t="str">
        <x:v>港灣包裝今日（9月8日）宣布，將投資6,800萬港元擴建荃灣柴灣角生產基地，以應付本地餐飲及外賣業對可回收食品包裝的需求。工程會把毗鄰一個面積18,000平方呎的單位納入現有廠房，並增設兩條採用水性塗層技術的紙餐盒生產線；全部設備投入運作後，整體產能預計提高四成。
擴建工程將於今年10月展開，預計明年3月試產、5月全面投產。公司表示，施工會分區進行，現有訂單及送貨安排不受影響。新生產線亦會加裝廢氣回收及用水循環系統，目標把每件產品涉及的揮發性溶劑排放降低三成。
港灣包裝行政總裁梁卓謙表示，公司會優先向本地供應商採購設備及物料，並在未來12個月新增65個技術、品質管理及物流職位。公司將於9月下旬在荃灣舉行招聘日，職位詳情會在官方網站公布。港灣包裝亦會在工程期間設立查詢熱線，讓附近商戶及居民反映噪音、交通或其他施工問題。</x:v>
      </x:c>
    </x:row>
    <x:row r="3" ht="145.1999969482422" hidden="0" customHeight="1">
      <x:c r="A3" s="15" t="str">
        <x:v>002</x:v>
      </x:c>
      <x:c r="B3" s="12" t="str">
        <x:v>ZH-EXCELLENT-002</x:v>
      </x:c>
      <x:c r="C3" s="15" t="str">
        <x:v>002</x:v>
      </x:c>
      <x:c r="D3" s="12" t="str">
        <x:v>Excellent</x:v>
      </x:c>
      <x:c r="E3" s="16" t="n">
        <x:v>85</x:v>
      </x:c>
      <x:c r="F3" s="16" t="n">
        <x:v>100</x:v>
      </x:c>
      <x:c r="G3" s="14" t="str">
        <x:v>深水埗啟航書院與明途基金今日公布，將於2026/27學年推出「STEM同行助學計劃」，為區內120名來自基層家庭的中一至中三學生提供免費課後科學及科技培訓。基金撥款180萬港元，承擔學費、教材、借用手提電腦及交通津貼，獲取錄的學生毋須繳付任何費用。
課程由10月至翌年3月進行，為期24周，逢星期六在啟航書院上課。內容涵蓋機械人設計、基礎編程、數據分析及解難訓練，學生會以小組形式完成一項社區科技專題，並於明年4月的公開成果展介紹作品。校方將安排30名教師、工程師及大專生擔任導師，每組最多四名學生。
申請期為8月4日至22日。就讀深水埗區中學、獲學校或註冊社工推薦並能證明有經濟需要的學生均可申請；甄選會考慮學習動機，而非以既有科技成績為主要準則。申請表可於啟航書院網站下載，亦可經參與學校遞交。校長周慧琳表示，計劃希望減少學生因器材和課程費用而失去接觸科技教育的機會。</x:v>
      </x:c>
    </x:row>
    <x:row r="4" ht="145.1999969482422" hidden="0" customHeight="1">
      <x:c r="A4" s="15" t="str">
        <x:v>003</x:v>
      </x:c>
      <x:c r="B4" s="12" t="str">
        <x:v>ZH-EXCELLENT-003</x:v>
      </x:c>
      <x:c r="C4" s="15" t="str">
        <x:v>003</x:v>
      </x:c>
      <x:c r="D4" s="12" t="str">
        <x:v>Excellent</x:v>
      </x:c>
      <x:c r="E4" s="16" t="n">
        <x:v>85</x:v>
      </x:c>
      <x:c r="F4" s="16" t="n">
        <x:v>100</x:v>
      </x:c>
      <x:c r="G4" s="14" t="str">
        <x:v>本地初創語港智能（LinguaDock）今日推出粵語人工智能客戶服務平台「粵聲通」，協助零售、餐飲及專業服務中小企處理電話和網上查詢。平台可辨識廣東話、英語及兩者夾雜的日常說法，並透過企業提供的產品資料建立回覆知識庫；遇到投訴、退款，或系統對答案信心不足時，系統會把對話連同摘要轉交真人員工跟進。
粵聲通同時支援語音及文字渠道，管理介面可顯示輪候時間、常見問題和轉接原因。語港智能表示，早前與20間零售店及服務公司進行12個月測試，首輪查詢的平均處理時間縮短32%，系統把個案分派至正確部門的比率為91%；有關數字來自參與企業的內部紀錄，並不代表所有客戶均會取得相同效果。
月費由1,280港元起，按同時處理的對話數目分級，企業可於10月10日起登記14日試用。客戶可選用香港區域雲端儲存資料，亦可設定保存期限；企業資料不會在未獲同意下用於訓練共用模型。公司將於9月28日舉行網上示範，講解系統設定、人工接手流程及私隱管理。</x:v>
      </x:c>
    </x:row>
    <x:row r="5" ht="145.1999969482422" hidden="0" customHeight="1">
      <x:c r="A5" s="15" t="str">
        <x:v>004</x:v>
      </x:c>
      <x:c r="B5" s="12" t="str">
        <x:v>ZH-EXCELLENT-004</x:v>
      </x:c>
      <x:c r="C5" s="15" t="str">
        <x:v>004</x:v>
      </x:c>
      <x:c r="D5" s="12" t="str">
        <x:v>Excellent</x:v>
      </x:c>
      <x:c r="E5" s="16" t="n">
        <x:v>85</x:v>
      </x:c>
      <x:c r="F5" s="16" t="n">
        <x:v>100</x:v>
      </x:c>
      <x:c r="G5" s="14" t="str">
        <x:v>海景區文化協會將於11月14日至15日，在海景海濱長廊及毗鄰市民廣場舉辦首屆「海景週末文化墟」。活動每日由上午11時至晚上8時開放，免費入場，預計兩天吸引約12,000人次。主辦方希望以表演、手作和飲食，展示區內不同年齡及文化背景居民的創作。
場內設有80個攤位，包括本地工藝、舊物修復、少數族裔食品及青年創業產品。海濱舞台會安排粵劇折子戲、學生樂隊及社區舞蹈演出；兒童可參加粵語故事劇場和再造物料工作坊。所有工作坊均免費，但部分場次須由10月26日起在活動網站預約。場內採用可重用杯，飲品攤位會收取20元按金，交還杯具時全數退回。
為配合人流，廣場對出的海濱路將於兩日上午9時至晚上10時分段封閉。主辦方每20分鐘提供免費接駁車往返海景站A出口，並在兩個入口設無障礙通道。如天文台於活動開始前兩小時發出八號烈風或暴風信號，節目將取消；大雨時，主要表演及已預約工作坊會移至海景社區會堂。最新安排會在官方社交專頁公布。</x:v>
      </x:c>
    </x:row>
    <x:row r="6" ht="145.1999969482422" hidden="0" customHeight="1">
      <x:c r="A6" s="15" t="str">
        <x:v>005</x:v>
      </x:c>
      <x:c r="B6" s="12" t="str">
        <x:v>ZH-EXCELLENT-005</x:v>
      </x:c>
      <x:c r="C6" s="15" t="str">
        <x:v>005</x:v>
      </x:c>
      <x:c r="D6" s="12" t="str">
        <x:v>Excellent</x:v>
      </x:c>
      <x:c r="E6" s="16" t="n">
        <x:v>85</x:v>
      </x:c>
      <x:c r="F6" s="16" t="n">
        <x:v>100</x:v>
      </x:c>
      <x:c r="G6" s="14" t="str">
        <x:v>綠峰專線小巴今日宣布，88M號線「青嶺邨—泊岸站」的試辦期將延長三個月，由原定9月30日結束改為運作至12月31日。營辦商表示，延長安排旨在收集上班繁忙時間以外的乘客需求及新增站點使用數據，再決定是否申請把路線轉為恆常服務。現行全程車費6.5元及3元長者、學生優惠維持不變。
由10月2日起，路線將增停青嶺市政大樓及東灣醫療中心。星期一至五上午7時至9時30分、下午5時至8時，班次會由每10分鐘加密至每8分鐘一班；其餘時段維持約15分鐘一班。周末服務時間仍為上午8時至晚上10時，不另加班次。車站位置及修訂時間表會於9月26日在各站牌和營辦商網站公布。
88M於7月1日開始試辦，首11周錄得約36,000人次，平均載客率為68%，其中青嶺邨開出的早上班次使用率最高。綠峰會在車廂放置二維碼收集意見，並於12月中向地區交通諮詢小組提交客量、準點及投訴資料。營辦商提醒，新增車站或令全程行車時間增加約四分鐘，乘客應預留時間。</x:v>
      </x:c>
    </x:row>
    <x:row r="7" ht="145.1999969482422" hidden="0" customHeight="1">
      <x:c r="A7" s="15" t="str">
        <x:v>006</x:v>
      </x:c>
      <x:c r="B7" s="12" t="str">
        <x:v>ZH-EXCELLENT-006</x:v>
      </x:c>
      <x:c r="C7" s="15" t="str">
        <x:v>006</x:v>
      </x:c>
      <x:c r="D7" s="12" t="str">
        <x:v>Excellent</x:v>
      </x:c>
      <x:c r="E7" s="16" t="n">
        <x:v>85</x:v>
      </x:c>
      <x:c r="F7" s="16" t="n">
        <x:v>100</x:v>
      </x:c>
      <x:c r="G7" s="14" t="str">
        <x:v>鮮港超市將於10月1日起，在全港12間分店試行可重用外賣餐盒按金計劃，首階段為期六個月。顧客在參與分店購買熟食、沙律或即製麵食時，可選用計劃餐盒並繳付20元按金；餐盒在30日內交回任何一間參與分店，經櫃位掃描盒身編碼後，按金會退回八達通或原有電子付款帳戶。顧客毋須在交還前自行徹底清洗，但須倒去剩餘食物。
計劃由鮮港超市與本地循環餐具營運商「循環盒社」合作。回收餐盒每日送往合資格中央清洗場，以高溫清洗、消毒和檢查；破裂或未能再使用的餐盒會退出流通並交由物料回收商處理。每次選用可重用餐盒，顧客可即時獲2元熟食優惠，按金則不等同購物折扣。
12間試點包括港島、九龍及新界各四間分店，完整名單及退還櫃位時間會於9月20日在鮮港網站和應用程式公布。公司以六個月內取代120,000個即棄餐盒、回收率達八成為目標，並會每月公布借出及歸還數字。試行結束後，鮮港會按衞生檢查結果、顧客意見及周轉成本決定是否擴展至其他分店。</x:v>
      </x:c>
    </x:row>
    <x:row r="8" ht="145.1999969482422" hidden="0" customHeight="1">
      <x:c r="A8" s="15" t="str">
        <x:v>007</x:v>
      </x:c>
      <x:c r="B8" s="12" t="str">
        <x:v>ZH-EXCELLENT-007</x:v>
      </x:c>
      <x:c r="C8" s="15" t="str">
        <x:v>007</x:v>
      </x:c>
      <x:c r="D8" s="12" t="str">
        <x:v>Excellent</x:v>
      </x:c>
      <x:c r="E8" s="16" t="n">
        <x:v>85</x:v>
      </x:c>
      <x:c r="F8" s="16" t="n">
        <x:v>100</x:v>
      </x:c>
      <x:c r="G8" s="14" t="str">
        <x:v>屯門卓峰工業園宣布，將投資2,300萬港元，在園內八幢廠房天台安裝合共3,200塊太陽能板。系統總裝機容量為1.8兆瓦，預計每年可產生約190萬度電，足以供應工業園公共照明、升降機及管理設施約六成用電；按項目顧問的估算，每年可減少約720公噸碳排放。
工程由日澄能源承建，11月起分四階段施工，預計明年5月完成接駁及測試。首批兩幢廠房會於明年1月開始供電。施工範圍只限天台和指定機電房，租戶可照常營運；涉及吊運設備的工序會安排在星期日早上，承建商須提前七日通知受影響租戶。
項目已完成結構負重、消防通道及反光影響評估。太陽能板之間保留不少於1.2米維修通道，並設遙距監測和自動斷電裝置。卓峰表示，產生的電力會優先供園區共用設施，剩餘部分按現行接駁安排輸入電網，收益撥作下一輪節能工程。公司將每季在租戶平台公布發電量、系統停機時間及減排估算方法，明年6月亦會委託獨立工程師驗收。</x:v>
      </x:c>
    </x:row>
    <x:row r="9" ht="145.1999969482422" hidden="0" customHeight="1">
      <x:c r="A9" s="15" t="str">
        <x:v>008</x:v>
      </x:c>
      <x:c r="B9" s="12" t="str">
        <x:v>ZH-EXCELLENT-008</x:v>
      </x:c>
      <x:c r="C9" s="15" t="str">
        <x:v>008</x:v>
      </x:c>
      <x:c r="D9" s="12" t="str">
        <x:v>Excellent</x:v>
      </x:c>
      <x:c r="E9" s="16" t="n">
        <x:v>85</x:v>
      </x:c>
      <x:c r="F9" s="16" t="n">
        <x:v>100</x:v>
      </x:c>
      <x:c r="G9" s="14" t="str">
        <x:v>新界閱讀服務處將於9月7日推出「閱行新界」流動圖書服務，以三輛電動閱覽車巡迴元朗、北區及大埔合共18個地點，先試行六個月。每個站點每周停靠兩次，每次最少三小時，服務對象包括偏遠鄉郊居民、長者、兒童及未能方便前往固定圖書館的人士。完整時間表會於8月24日在服務處網站、區內學校及屋邨告示板公布。
每輛車備有約1,500冊中英文圖書，三車合共4,500冊，涵蓋兒童讀物、實用資訊、小說及大字版書籍。持有效會員證的市民可即場借還、領取預約書和續借；未有會員證者可憑香港身份證明及住址資料免費登記。車上亦設平板電腦，每站安排職員協助市民使用電子書及網上公共服務。
三輛車均配備輪椅升降台、低身服務桌和助聽系統。服務處以半年接待25,000人次及借出40,000冊次為目標，之後按各站人流及借閱情況調整路線。八號烈風或暴風信號生效期間服務暫停；黑色暴雨警告在出發前發出，當節班次亦會取消。臨時改動會於出車前至少一小時透過網站及電話錄音熱線公布。</x:v>
      </x:c>
    </x:row>
    <x:row r="10" ht="171.60000610351562" hidden="0" customHeight="1">
      <x:c r="A10" s="15" t="str">
        <x:v>009</x:v>
      </x:c>
      <x:c r="B10" s="12" t="str">
        <x:v>ZH-EXCELLENT-009</x:v>
      </x:c>
      <x:c r="C10" s="15" t="str">
        <x:v>009</x:v>
      </x:c>
      <x:c r="D10" s="12" t="str">
        <x:v>Excellent</x:v>
      </x:c>
      <x:c r="E10" s="16" t="n">
        <x:v>85</x:v>
      </x:c>
      <x:c r="F10" s="16" t="n">
        <x:v>100</x:v>
      </x:c>
      <x:c r="G10" s="14" t="str">
        <x:v>本地環境科技公司清感科技（AirSense）今日發布室內空氣質素感應器AirSense Mini，供家庭、小型辦公室及店舖使用。裝置可每分鐘量度PM2.5、二氧化碳、總揮發性有機化合物、溫度和濕度，並以機身燈環顯示即時狀況；用戶連接Wi-Fi後，可在手機應用程式查看趨勢、設定通風提示及匯出30日紀錄。公司強調產品只提供環境數據，不能代替醫療或法定檢測。
AirSense Mini建議零售價為899港元，8月25日起接受預訂，9月15日在官方網店及15間指定零售點發售。家庭版的即時讀數、提示和30日儲存毋須月費。需要管理多個位置的商戶可選用每月98元的分析服務，集中比較最多十部裝置及下載報表。產品使用USB-C供電，附兩年保養；用戶可在應用程式預約年度校準，每次收費180元。
清感科技早前在50間餐廳和辦公室試用三個月，並按回饋簡化提示設定及加入離線警報。帳戶資料和感應紀錄會分開儲存，用戶可隨時刪除雲端數據，也可選擇只在手機保留紀錄。公司將於9月首兩個周末在九龍灣體驗中心提供示範，預約詳情會於8月25日公布。</x:v>
      </x:c>
    </x:row>
    <x:row r="11" ht="158.39999389648438" hidden="0" customHeight="1">
      <x:c r="A11" s="15" t="str">
        <x:v>010</x:v>
      </x:c>
      <x:c r="B11" s="12" t="str">
        <x:v>ZH-EXCELLENT-010</x:v>
      </x:c>
      <x:c r="C11" s="15" t="str">
        <x:v>010</x:v>
      </x:c>
      <x:c r="D11" s="12" t="str">
        <x:v>Excellent</x:v>
      </x:c>
      <x:c r="E11" s="16" t="n">
        <x:v>85</x:v>
      </x:c>
      <x:c r="F11" s="16" t="n">
        <x:v>100</x:v>
      </x:c>
      <x:c r="G11" s="14" t="str">
        <x:v>經緯物流（Meridian Logistics）今日公布，葵青配送中心第二期擴建工程已完成，新增120,000平方呎倉庫樓面，令中心總面積增至420,000平方呎。新區將於10月2日投入營運，整體貨板儲存量可提升35%至58,000板位，主要承接電商、零售補貨及快速消費品客戶。公司在項目投資1.6億港元，包括建築改裝、自動分揀設備及倉庫管理系統。
新增分揀線每小時最高可處理9,000件包裹，並以條碼核對目的地和重量；異常件會轉到人工檢查區，不會自動退回。現有客戶的庫存會在9月至11月分批移至新區，公司稱搬運安排在非繁忙時段進行，服務毋須停頓。擴建亦新增110個倉務、系統維護、車隊調度及客戶服務職位，當中七成已完成招聘。
經緯物流另在新區預留25,000平方呎興建溫控倉，預計明年1月啟用，服務需要攝氏2至8度儲存的貨物；該部分不包括在10月新增的常溫容量內。行政總裁何志朗表示，公司暫不因擴建調整基本倉租，個別客戶收費仍按儲量和服務組合協議。經緯會在首季運作後公布準時出庫率、設備使用率及能源消耗，以評估擴建效益。</x:v>
      </x:c>
    </x:row>
    <x:row r="12" ht="105.5999984741211" hidden="0" customHeight="1">
      <x:c r="A12" s="15" t="str">
        <x:v>011</x:v>
      </x:c>
      <x:c r="B12" s="12" t="str">
        <x:v>ZH-EXCELLENT-011</x:v>
      </x:c>
      <x:c r="C12" s="15" t="str">
        <x:v>011</x:v>
      </x:c>
      <x:c r="D12" s="12" t="str">
        <x:v>Excellent</x:v>
      </x:c>
      <x:c r="E12" s="16" t="n">
        <x:v>85</x:v>
      </x:c>
      <x:c r="F12" s="16" t="n">
        <x:v>100</x:v>
      </x:c>
      <x:c r="G12" s="14" t="str">
        <x:v>聲橋社區協會將於2026年8月3日至11月28日推出「流動聽力站」，安排隔音檢查車巡迴九龍東12個屋苑，為60歲或以上居民提供免費基礎聽力篩查。首站設於晴橋邨，每個屋苑逢星期一、三及六上午10時至下午4時服務，每日設30個名額，參加者可由7月20日起透過協會網站或電話預約，餘額亦接受即場登記。每次檢查約需25分鐘，由註冊聽力學家先了解病歷及用藥情況，再進行耳道觀察和純音測試，完成後即場解釋結果。協會強調，篩查並非醫療診斷；如發現中度或以上聽力下降、耳痛或單側異常，團隊會在取得同意後轉介參加者到合作診所跟進。計劃獲明音基金撥款68萬元，亦包括兩場照顧者講座及廣東話、英語和圖像版護耳資料。聲橋預計四個月可服務1,080人，並會以不記名數據評估長者使用聽力服務的障礙，個人結果只保存六個月。完整巡迴時間表及無障礙上車安排已上載至協會網站。</x:v>
      </x:c>
    </x:row>
    <x:row r="13" ht="105.5999984741211" hidden="0" customHeight="1">
      <x:c r="A13" s="15" t="str">
        <x:v>012</x:v>
      </x:c>
      <x:c r="B13" s="12" t="str">
        <x:v>ZH-EXCELLENT-012</x:v>
      </x:c>
      <x:c r="C13" s="15" t="str">
        <x:v>012</x:v>
      </x:c>
      <x:c r="D13" s="12" t="str">
        <x:v>Excellent</x:v>
      </x:c>
      <x:c r="E13" s="16" t="n">
        <x:v>85</x:v>
      </x:c>
      <x:c r="F13" s="16" t="n">
        <x:v>100</x:v>
      </x:c>
      <x:c r="G13" s="14" t="str">
        <x:v>翠庭苑業主委員會公布，屋苑三座樓宇共六部升降機將於2026年8月10日至12月18日分階段更新，以改善設備老化及近年故障增加的情況。工程總值1,260萬元，由屋苑維修儲備支付，項目包括更換曳引摩打、控制板、門感應器及緊急通訊系統，並為機廂加裝節能照明和樓層語音提示。承辦商每次只會停用同一座的一部升降機，另一部維持服務；一般施工時間為星期一至六上午9時至下午6時，鑽鑿等較嘈雜工序只在上午10時至下午5時進行。首階段由翠庭一座東面升降機開始，每部預計停用約三星期，通過獨立安全檢驗後才會重開。管理公司安居物業已聯絡登記使用輪椅或行動不便的住戶，工程期間可預約樓層陪同行動及電動上落樓梯機，藥物和基本日用品亦可代送上門。居民可在大堂告示、屋苑應用程式及每周五更新的工程專頁查閱進度；如有緊急需要，可致電24小時服務熱線。業主委員會表示，工程已預留兩星期緩衝期，如測試或零件付運延誤，會至少七日前通知受影響住戶。</x:v>
      </x:c>
    </x:row>
    <x:row r="14" ht="105.5999984741211" hidden="0" customHeight="1">
      <x:c r="A14" s="15" t="str">
        <x:v>013</x:v>
      </x:c>
      <x:c r="B14" s="12" t="str">
        <x:v>ZH-EXCELLENT-013</x:v>
      </x:c>
      <x:c r="C14" s="15" t="str">
        <x:v>013</x:v>
      </x:c>
      <x:c r="D14" s="12" t="str">
        <x:v>Excellent</x:v>
      </x:c>
      <x:c r="E14" s="16" t="n">
        <x:v>85</x:v>
      </x:c>
      <x:c r="F14" s="16" t="n">
        <x:v>100</x:v>
      </x:c>
      <x:c r="G14" s="14" t="str">
        <x:v>海織酒店宣布，由西九龍一幢1958年紡織貨倉活化而成的「織港館」將於2026年9月15日正式開幕，並於8月1日起接受訂房。酒店以三年時間、投資1.8億元修復大樓，保留紅磚外牆、鋸齒形屋頂及原有貨運路軌，同時加固結構和增設無障礙通道。新翼設48間客房、一個向公眾免費開放的小型紡織展廊，以及以本地食材入饌的餐廳。展廊首展收錄72件由昔日工人及區內家庭借出的工具、布辦和口述歷史，所有展品已取得借用及展示授權。設計團隊邀請六名香港設計師和14個本地工藝單位參與，將回收木梭及舊廠窗框改造成房內家具，但涉及逃生及承重的部件全部採用新材料。項目新增20個全職職位，並與城織學院合作，每月安排兩場廣東話導賞。酒店表示，活化工程已通過消防、樓宇及酒店牌照檢查；為免增加附近交通負荷，住客接送區設於貨倉道內側，旅遊巴須預約時段。酒店會把9月15日至10月14日完成入住的客房收入5%撥作展品保育及口述歷史整理，並在年底公布款項總額。</x:v>
      </x:c>
    </x:row>
    <x:row r="15" ht="105.5999984741211" hidden="0" customHeight="1">
      <x:c r="A15" s="15" t="str">
        <x:v>014</x:v>
      </x:c>
      <x:c r="B15" s="12" t="str">
        <x:v>ZH-EXCELLENT-014</x:v>
      </x:c>
      <x:c r="C15" s="15" t="str">
        <x:v>014</x:v>
      </x:c>
      <x:c r="D15" s="12" t="str">
        <x:v>Excellent</x:v>
      </x:c>
      <x:c r="E15" s="16" t="n">
        <x:v>85</x:v>
      </x:c>
      <x:c r="F15" s="16" t="n">
        <x:v>100</x:v>
      </x:c>
      <x:c r="G15" s="14" t="str">
        <x:v>浪升體育基金將於2026年10月3日至4日在將軍澳啟航運動場舉辦首屆「浪升青年足球盃」，讓16支學校及社區U15隊伍、共240名男女球員參賽。賽事首日進行四組循環賽，次日舉行八強至決賽；每隊可註冊15人，所有球員須在2011年1月1日或之後出生，並提交家長同意書及健康聲明。報名期由7月20日至8月14日，參賽費全免，如超額申請，主辦方會按地區分布及隊伍男女比例甄選，結果於8月21日公布。兩日賽事均由上午9時至下午6時舉行，觀眾免費入場，場內設飲水站、急救室及兩個無障礙觀賽區。基金會在比賽前為教練安排運動急救及公平競技工作坊，球證則由新域足球裁判會派出。冠軍隊可獲3萬元器材資助，款項須在半年內用於青少年訓練並提交單據。若天文或場地狀況令賽事無法安全進行，整項賽事將順延至10月10日至11日，主辦方會在每日早上6時前經網站及短訊公布。浪升表示，活動獲海峰社區基金贊助，但甄選和賽果不受贊助機構參與。</x:v>
      </x:c>
    </x:row>
    <x:row r="16" ht="118.80000305175781" hidden="0" customHeight="1">
      <x:c r="A16" s="15" t="str">
        <x:v>015</x:v>
      </x:c>
      <x:c r="B16" s="12" t="str">
        <x:v>ZH-EXCELLENT-015</x:v>
      </x:c>
      <x:c r="C16" s="15" t="str">
        <x:v>015</x:v>
      </x:c>
      <x:c r="D16" s="12" t="str">
        <x:v>Excellent</x:v>
      </x:c>
      <x:c r="E16" s="16" t="n">
        <x:v>85</x:v>
      </x:c>
      <x:c r="F16" s="16" t="n">
        <x:v>100</x:v>
      </x:c>
      <x:c r="G16" s="14" t="str">
        <x:v>北角城市記憶館將於2026年8月20日推出免費網上平台「北角生活數碼檔案」，首階段公開8,400項由1945年至2000年的相片、街道圖、店舖單據、錄音及口述歷史。為期18個月的整理及數碼化工程獲遠帆文化基金撥款320萬元，並有420名居民及昔日商戶借出或捐贈資料。平台提供繁體中文及英文介面，使用者可按年份、街道及主題搜尋；獲授權項目可下載高解像檔案作非商業用途，其餘項目因版權或受訪者私隱限制，只能在網頁瀏覽節錄。館方表示，每項資料均由兩名研究員核對日期、人物及來源，未能完全確認的內容會清楚標示，公眾亦可提交更正及補充證據，由編輯小組每月審議。開放當日，記憶館會舉行兩場免費工作坊，第一場由下午2時至3時15分，第二場由下午3時45分至5時，示範搜尋、保存家庭照片及錄製長者訪談；每場40人，須於8月1日起網上登記。館方不會公開捐贈者的電話或住址，原始授權書亦與檔案分開加密保存。第二階段計劃在2027年初加入戰後工業及渡海交通專題，實際上載數量將視權利核實進度公布。</x:v>
      </x:c>
    </x:row>
    <x:row r="17" ht="118.80000305175781" hidden="0" customHeight="1">
      <x:c r="A17" s="15" t="str">
        <x:v>016</x:v>
      </x:c>
      <x:c r="B17" s="12" t="str">
        <x:v>ZH-EXCELLENT-016</x:v>
      </x:c>
      <x:c r="C17" s="15" t="str">
        <x:v>016</x:v>
      </x:c>
      <x:c r="D17" s="12" t="str">
        <x:v>Excellent</x:v>
      </x:c>
      <x:c r="E17" s="16" t="n">
        <x:v>85</x:v>
      </x:c>
      <x:c r="F17" s="16" t="n">
        <x:v>100</x:v>
      </x:c>
      <x:c r="G17" s="14" t="str">
        <x:v>本地連鎖店金穗烘焙宣布，由2026年9月1日起在全線18間分店推行新的致敏原標示制度，涵蓋120款現製及預先包裝麵包、蛋糕和小食。產品包裝及貨架牌會以圖示列明含麩質穀物、奶、蛋、花生、木本堅果、大豆、芝麻或亞硫酸鹽八類成分，旁邊的二維碼則連接完整配料、配方更新日期和常見問題。制度經九個月盤點及測試，由獨立食物安全顧問覆核；中央工場與分店員工合共286人亦須在8月底前完成配料核對、器具分隔和顧客查詢培訓。金穗指出，大部分產品在共用工場及焗爐製作，即使不以某種致敏原入饌，仍可能在製作過程接觸微量成分，因此相關貨架會展示「共用生產環境」提示，不能宣稱產品完全不含致敏原。嚴重過敏顧客應先向值班主管查詢，並按個人醫療建議決定是否購買。配方若有改動，電子資料會即日更新，實體標籤最遲在下一批產品更換；舊包裝則會加貼修訂標籤後才出售。公司設三個月過渡監察期，每周抽查標示，顧客亦可透過收據上的專線報告錯漏，經核實的產品會即時停售及更正。</x:v>
      </x:c>
    </x:row>
    <x:row r="18" ht="105.5999984741211" hidden="0" customHeight="1">
      <x:c r="A18" s="15" t="str">
        <x:v>017</x:v>
      </x:c>
      <x:c r="B18" s="12" t="str">
        <x:v>ZH-EXCELLENT-017</x:v>
      </x:c>
      <x:c r="C18" s="15" t="str">
        <x:v>017</x:v>
      </x:c>
      <x:c r="D18" s="12" t="str">
        <x:v>Excellent</x:v>
      </x:c>
      <x:c r="E18" s="16" t="n">
        <x:v>85</x:v>
      </x:c>
      <x:c r="F18" s="16" t="n">
        <x:v>100</x:v>
      </x:c>
      <x:c r="G18" s="14" t="str">
        <x:v>同心信貸合作社與東岸商戶聯盟將於2026年8月26日下午2時至5時30分，在觀塘創業匯中心合辦免費小企業現金流工作坊，協助僱員不多於20人的本地商戶預早識別短期資金缺口。課程以廣東話進行，設80個名額，由註冊會計師林佩珊及合作社風險管理主管周永康主講，內容包括製作13星期滾動現金流預測、縮短收款周期、比較貸款實際成本，以及辨識偽冒付款通知和更改供應商戶口的詐騙手法。參加者會以虛構零售店個案完成練習，毋須提交公司的銀行結單、客戶名單或營業數據。報名由7月22日起至8月19日，商戶可在合作社網站登記；如超額，主辦方會優先取錄20人以下企業，每間企業最多兩人，結果於8月21日電郵通知。場地設輪椅通道及即時文字字幕，有需要人士應在報名時註明。主辦方強調活動不會現場銷售貸款，講者只以統一例子講解融資費用，不會按出席者資料進行信貸評估。講義及試算表在活動後七日內免費上載，未獲名額的申請者亦可下載；查詢可聯絡東岸商戶聯盟秘書處。</x:v>
      </x:c>
    </x:row>
    <x:row r="19" ht="105.5999984741211" hidden="0" customHeight="1">
      <x:c r="A19" s="15" t="str">
        <x:v>018</x:v>
      </x:c>
      <x:c r="B19" s="12" t="str">
        <x:v>ZH-EXCELLENT-018</x:v>
      </x:c>
      <x:c r="C19" s="15" t="str">
        <x:v>018</x:v>
      </x:c>
      <x:c r="D19" s="12" t="str">
        <x:v>Excellent</x:v>
      </x:c>
      <x:c r="E19" s="16" t="n">
        <x:v>85</x:v>
      </x:c>
      <x:c r="F19" s="16" t="n">
        <x:v>100</x:v>
      </x:c>
      <x:c r="G19" s="14" t="str">
        <x:v>城南工程處將於2026年8月17日至11月6日為河閘行人天橋進行保養。該橋連接河畔道及港盛商場，工程費用840萬元，包括重鋪橋面防水層、更換伸縮接縫、翻新鋼架防銹塗層，以及把原有燈具更換為LED照明。為維持日間通行，承辦商會分段圍封，上午5時至晚上11時保留最少1.5米闊通道；每逢星期一至四晚上11時至翌晨5時則搬運大型物料，天橋在該時段全段關閉。另有兩次周末全日封橋，分別為9月12至13日及10月17至18日。封閉期間，行人可使用河畔道地面燈號過路處繞行，路程約增加280米，整條替代路線設下斜路緣，輪椅及嬰兒車均可使用。工程處會在兩端、巴士站及商場入口設置方向牌，繁忙時段另派人員協助。嘈雜工序不得在凌晨1時後進行，承辦商亦會使用隔音屏及每日清走碎料。若八號或以上熱帶氣旋警告、黑色暴雨警告或安全檢測影響進度，封橋日期可能改動，當局會至少48小時前在現場及網站公布；緊急改動則經商場廣播和區內短訊平台通知。</x:v>
      </x:c>
    </x:row>
    <x:row r="20" ht="118.80000305175781" hidden="0" customHeight="1">
      <x:c r="A20" s="15" t="str">
        <x:v>019</x:v>
      </x:c>
      <x:c r="B20" s="12" t="str">
        <x:v>ZH-EXCELLENT-019</x:v>
      </x:c>
      <x:c r="C20" s="15" t="str">
        <x:v>019</x:v>
      </x:c>
      <x:c r="D20" s="12" t="str">
        <x:v>Excellent</x:v>
      </x:c>
      <x:c r="E20" s="16" t="n">
        <x:v>85</x:v>
      </x:c>
      <x:c r="F20" s="16" t="n">
        <x:v>100</x:v>
      </x:c>
      <x:c r="G20" s="14" t="str">
        <x:v>民生設施署將於2026年9月7日至2027年2月28日，在和景街市試行「市集通」免費公共Wi-Fi，讓檔戶、顧客及熟食中心使用者在場內連接網絡。署方在濕貨區、熟食中心及公共座位共安裝36個接達點，每部裝置每次連線60分鐘，時限屆滿後可重新連接，不設每日次數上限；為維持多人同時使用，每部裝置下載速度上限為20Mbps。使用者只須選擇MarketLink-Free並同意服務條款，毋須輸入姓名、電話或電郵。系統會為保安及故障調查記錄裝置技術識別碼、連線時間和使用流量，不會保存瀏覽內容，資料經加密並在30日後自動刪除。網絡不展示商業廣告，惟會阻擋已知惡意網站；涉及付款、醫療或其他敏感資料時，署方仍建議市民使用可信任的私人網絡。試驗獲智慧社區基金撥款190萬元，涵蓋安裝、六個月維護和獨立網絡安全檢查。計劃首兩周逢星期一及三上午10時至下午1時設數碼支援站，協助長者連線。署方會按覆蓋率、繁忙時段速度、用戶問卷及事故數目評估成效，試驗後再決定是否延續；技術問題可向街市服務處報告。</x:v>
      </x:c>
    </x:row>
    <x:row r="21" ht="118.80000305175781" hidden="0" customHeight="1">
      <x:c r="A21" s="15" t="str">
        <x:v>020</x:v>
      </x:c>
      <x:c r="B21" s="12" t="str">
        <x:v>ZH-EXCELLENT-020</x:v>
      </x:c>
      <x:c r="C21" s="15" t="str">
        <x:v>020</x:v>
      </x:c>
      <x:c r="D21" s="12" t="str">
        <x:v>Excellent</x:v>
      </x:c>
      <x:c r="E21" s="16" t="n">
        <x:v>85</x:v>
      </x:c>
      <x:c r="F21" s="16" t="n">
        <x:v>100</x:v>
      </x:c>
      <x:c r="G21" s="14" t="str">
        <x:v>電灣能源宣布，位於東臨工業區的VoltBay電動車充電樞紐將於2026年10月12日投入服務。場站全日24小時開放，設24個充電車位，包括16個最高輸出120kW的直流快充位及8個22kW交流充電位，其中兩個車位加闊並設低位操作屏，方便輪椅使用者。直流和交流充電分別按每度電3.2元及2.4元收費；充電完成後設15分鐘寬限期，其後每分鐘收取1元佔位費，應用程式會在完成前10分鐘及完成時發出提示。駕駛者可用VoltBay應用程式預約最長30分鐘的到場時段，亦可即場以感應式信用卡付款，毋須成為會員。項目投資4,800萬元，車棚裝有180塊太陽能板，按設計估算可提供場站每年約12%用電，其餘電力則由公共電網供應；場內另設電池系統，在繁忙時間調節負荷，而非作停電時全面後備。場站職員每日由上午7時至晚上11時當值，其餘時段可透過對講機聯絡24小時支援中心。開幕首七日充電費八折，佔位費不設折扣。公司表示，設備已完成負載及消防測試，並會在網站每月公布可用率和故障處理時間。</x:v>
      </x:c>
    </x:row>
    <x:row r="22" ht="92.4000015258789" hidden="0" customHeight="1">
      <x:c r="A22" s="15" t="str">
        <x:v>021</x:v>
      </x:c>
      <x:c r="B22" s="12" t="str">
        <x:v>ZH-EXCELLENT-021</x:v>
      </x:c>
      <x:c r="C22" s="15" t="str">
        <x:v>021</x:v>
      </x:c>
      <x:c r="D22" s="12" t="str">
        <x:v>Excellent</x:v>
      </x:c>
      <x:c r="E22" s="16" t="n">
        <x:v>85</x:v>
      </x:c>
      <x:c r="F22" s="16" t="n">
        <x:v>100</x:v>
      </x:c>
      <x:c r="G22" s="14" t="str">
        <x:v>東港大學城市氣候研究中心今日（2026年7月20日）公布為期一年的城市熱島研究。研究團隊於2025年5月至2026年4月，在港灣東、北嶺、河畔、新橋、海榮及青嶼六區設置120個溫濕度感應器，並結合流動測量車及衛星影像，分析不同時段的地面和街道氣溫。結果顯示，下午3時至5時最炎熱；樓宇密集、樹蔭不足的商業地段，平均較海旁及綠化地帶高2.8攝氏度，個別無遮蔭路口的差距更達4.1度。中心建議優先在巴士站和長者設施附近增設樹蔭及飲水點，並在公營建築試用淺色隔熱屋頂。校方已把匿名化數據及研究方法上載至公開平台，供社區團體和規劃人員下載，亦會在8月至10月與六區居民舉行諮詢會，評估首批改善地點。研究由大學可持續城市基金資助，完整報告已通過校外同行審閱。</x:v>
      </x:c>
    </x:row>
    <x:row r="23" ht="92.4000015258789" hidden="0" customHeight="1">
      <x:c r="A23" s="15" t="str">
        <x:v>022</x:v>
      </x:c>
      <x:c r="B23" s="12" t="str">
        <x:v>ZH-EXCELLENT-022</x:v>
      </x:c>
      <x:c r="C23" s="15" t="str">
        <x:v>022</x:v>
      </x:c>
      <x:c r="D23" s="12" t="str">
        <x:v>Excellent</x:v>
      </x:c>
      <x:c r="E23" s="16" t="n">
        <x:v>85</x:v>
      </x:c>
      <x:c r="F23" s="16" t="n">
        <x:v>100</x:v>
      </x:c>
      <x:c r="G23" s="14" t="str">
        <x:v>安步社區服務社與城安消防協會今日（2026年7月16日）在青嶺邨宣布推出「家居防火同行」教育計劃。計劃由8月至12月在20個公共屋邨舉行60場免費工作坊，預計服務3,000個家庭，內容包括濃煙下逃生、火警鐘及滅火氈使用、鋰電池充電風險，以及如何協助長者和行動不便人士制定撤離安排。每場活動由註冊消防工程人員及受訓社工帶領，參加者可即場演練並獲發中、英文及尼泊爾文家居檢查表。兩個機構亦會為300戶獨居長者提供預約上門風險評估，但不會代替法定消防檢查。首批工作坊7月22日起接受網上及電話報名，居民可致電3108 6620查詢。計劃獲安居社區基金撥款180萬元，成效將按參加者演練表現及三個月後的家居改善情況評估，總結報告預定明年2月公開。</x:v>
      </x:c>
    </x:row>
    <x:row r="24" ht="79.19999694824219" hidden="0" customHeight="1">
      <x:c r="A24" s="15" t="str">
        <x:v>023</x:v>
      </x:c>
      <x:c r="B24" s="12" t="str">
        <x:v>ZH-EXCELLENT-023</x:v>
      </x:c>
      <x:c r="C24" s="15" t="str">
        <x:v>023</x:v>
      </x:c>
      <x:c r="D24" s="12" t="str">
        <x:v>Excellent</x:v>
      </x:c>
      <x:c r="E24" s="16" t="n">
        <x:v>85</x:v>
      </x:c>
      <x:c r="F24" s="16" t="n">
        <x:v>100</x:v>
      </x:c>
      <x:c r="G24" s="14" t="str">
        <x:v>環織資源有限公司今日（2026年7月24日）宣布，8月1日起在本港建立紡織品收集及再造網絡，首階段於8個商場和12個屋苑設置共40個密封回收箱。市民可投入已清潔及乾爽的衣物、床單、毛巾和布袋，鞋履、濕衣、地氈及受化學品污染的布料則不獲接收。每個回收箱均附二維碼，使用者可查閱收運日期及批次去向。物料每周運往新田工業區的分揀中心；狀況良好的衣物會交由三間社福機構重用，破損布料則按棉、聚酯纖維及混紡成分分類，再製成隔音棉或再生紗。公司目標首年回收300公噸紡織品，並承諾每季公布收集量、重用比例、再造比例及棄置量，由獨立審核機構核對。網絡由環織投資2,400萬元建立，合作物業毋須向居民收費，地點及接收守則已上載至官方網站。</x:v>
      </x:c>
    </x:row>
    <x:row r="25" ht="92.4000015258789" hidden="0" customHeight="1">
      <x:c r="A25" s="15" t="str">
        <x:v>024</x:v>
      </x:c>
      <x:c r="B25" s="12" t="str">
        <x:v>ZH-EXCELLENT-024</x:v>
      </x:c>
      <x:c r="C25" s="15" t="str">
        <x:v>024</x:v>
      </x:c>
      <x:c r="D25" s="12" t="str">
        <x:v>Excellent</x:v>
      </x:c>
      <x:c r="E25" s="16" t="n">
        <x:v>85</x:v>
      </x:c>
      <x:c r="F25" s="16" t="n">
        <x:v>100</x:v>
      </x:c>
      <x:c r="G25" s="14" t="str">
        <x:v>匠途協會今日（2026年7月28日）聯同18間本地中小企推出為期12個月的「手藝承傳學徒計劃」，為18至30歲青年提供60個有津貼的學徒名額，涵蓋木工、金工、霓虹招牌修復及舞台道具製作四個範疇。計劃於10月6日開課，學員每月可獲15,000元培訓津貼，七成時間在配對企業接受實務訓練，其餘時間由職業培訓導師教授安全、繪圖、物料管理及報價知識。每名學員均有一名合資格師傅及一名就業顧問跟進，完成1,400小時訓練和作品評核後，可獲業界認可證書；合作企業承諾為表現合格者提供至少一次正式職位面試。申請期由8月1日至8月15日，毋須相關學歷或經驗，入圍者須出席能力體驗及面談。計劃由創藝人才基金撥款1,080萬元資助，參與企業另行承擔工具和保險費用，協會將於計劃結束後公布留任率及學員去向。</x:v>
      </x:c>
    </x:row>
    <x:row r="26" ht="92.4000015258789" hidden="0" customHeight="1">
      <x:c r="A26" s="15" t="str">
        <x:v>025</x:v>
      </x:c>
      <x:c r="B26" s="12" t="str">
        <x:v>ZH-EXCELLENT-025</x:v>
      </x:c>
      <x:c r="C26" s="15" t="str">
        <x:v>025</x:v>
      </x:c>
      <x:c r="D26" s="12" t="str">
        <x:v>Excellent</x:v>
      </x:c>
      <x:c r="E26" s="16" t="n">
        <x:v>85</x:v>
      </x:c>
      <x:c r="F26" s="16" t="n">
        <x:v>100</x:v>
      </x:c>
      <x:c r="G26" s="14" t="str">
        <x:v>網上零售平台迅達購今日（2026年7月30日）宣布，8月5日起把即日送貨服務由六個配送區擴展至十個，新增北嶺、河畔、新橋及海榮，覆蓋範圍內約42萬個住宅及商業地址。顧客於當日下午2時前完成付款，可選擇在晚上6時至10時收貨；每張訂單運費38元，購物滿500元免運費。服務首階段適用於標有「即日達」的約12,000款商品，冷藏食品、大型傢俬、預訂貨品及第三方跨境商品不包括在內。迅達購為擴展服務在三區增設微型配送站，並添置24輛電動貨車，預計每日最高處理6,500張即日訂單。遇上八號或以上熱帶氣旋警告、黑色暴雨警告或道路封閉，平台會暫停時段並讓顧客改期或全數退回運費。顧客可在結帳頁輸入地址確認資格及追蹤訂單，公司會在營運三個月後公布準時率和投訴數據。</x:v>
      </x:c>
    </x:row>
    <x:row r="27" ht="92.4000015258789" hidden="0" customHeight="1">
      <x:c r="A27" s="15" t="str">
        <x:v>026</x:v>
      </x:c>
      <x:c r="B27" s="12" t="str">
        <x:v>ZH-EXCELLENT-026</x:v>
      </x:c>
      <x:c r="C27" s="15" t="str">
        <x:v>026</x:v>
      </x:c>
      <x:c r="D27" s="12" t="str">
        <x:v>Excellent</x:v>
      </x:c>
      <x:c r="E27" s="16" t="n">
        <x:v>85</x:v>
      </x:c>
      <x:c r="F27" s="16" t="n">
        <x:v>100</x:v>
      </x:c>
      <x:c r="G27" s="14" t="str">
        <x:v>銀匙社企與樂齡同行基金今日（2026年8月3日）公布長者膳食配送合作計劃，9月1日至明年2月28日在港灣東、北嶺、河畔及新橋四區試行，為500名經評估屬低收入及獨居或雙老家庭的65歲以上居民提供每周五份午餐。計劃由12間持牌社區餐廳按註冊營養師設計的四周循環餐單烹調，餐膳設普通、軟餐及糖尿病友善三種選擇，每份由基金補貼後收費10元，送餐及保溫費不另收費。受訓配送員會在星期一至五上午11時至下午1時上門，若長者連續兩次未應門，將按事先同意的程序聯絡照顧者或社工。申請須由社福機構、醫療人員或屋邨辦事處轉介，8月10日起接受登記。基金為半年試點投入420萬元，當中包括餐費、配送、營養評估及保險；兩個機構將以送達率、膳食滿意度和營養風險變化評估成效，結果預定明年4月公布。</x:v>
      </x:c>
    </x:row>
    <x:row r="28" ht="92.4000015258789" hidden="0" customHeight="1">
      <x:c r="A28" s="15" t="str">
        <x:v>027</x:v>
      </x:c>
      <x:c r="B28" s="12" t="str">
        <x:v>ZH-EXCELLENT-027</x:v>
      </x:c>
      <x:c r="C28" s="15" t="str">
        <x:v>027</x:v>
      </x:c>
      <x:c r="D28" s="12" t="str">
        <x:v>Excellent</x:v>
      </x:c>
      <x:c r="E28" s="16" t="n">
        <x:v>85</x:v>
      </x:c>
      <x:c r="F28" s="16" t="n">
        <x:v>100</x:v>
      </x:c>
      <x:c r="G28" s="14" t="str">
        <x:v>星灣文化事務處今日（2026年8月6日）公布「極光海濱光影匯」，活動將於8月21日至9月6日一連三個周末、逢星期五至日，在星灣海濱長廊免費上演。每晚7時30分及8時30分各有一場18分鐘節目，透過建築投影、低空激光及音樂，呈現港口由漁業、造船到綠色航運的虛構故事，並展出八組本地藝術家和學生共同創作的燈光裝置。觀眾毋須預約，場地每場可容納4,000人，額滿後會暫停進場；主辦方建議使用港鐵星灣站D出口，附近不設活動專用泊車位。為配合人流，海濱東段在活動日下午5時至晚上10時實施單向步行，單車徑暫停開放。所有激光均按安全標準避開民居、道路及航道，若天文台在下午5時仍發出三號或以上熱帶氣旋警告、紅色或黑色暴雨警告，當晚節目取消。星期六首場提供粵語口述影像，無障礙觀賞區可於活動前七日登記。</x:v>
      </x:c>
    </x:row>
    <x:row r="29" ht="92.4000015258789" hidden="0" customHeight="1">
      <x:c r="A29" s="15" t="str">
        <x:v>028</x:v>
      </x:c>
      <x:c r="B29" s="12" t="str">
        <x:v>ZH-EXCELLENT-028</x:v>
      </x:c>
      <x:c r="C29" s="15" t="str">
        <x:v>028</x:v>
      </x:c>
      <x:c r="D29" s="12" t="str">
        <x:v>Excellent</x:v>
      </x:c>
      <x:c r="E29" s="16" t="n">
        <x:v>85</x:v>
      </x:c>
      <x:c r="F29" s="16" t="n">
        <x:v>100</x:v>
      </x:c>
      <x:c r="G29" s="14" t="str">
        <x:v>智能裝置生產商新域製造今日（2026年7月20日）宣布，在宏橋工業園建立自動化機械人生產線，總投資1.2億元，預計11月完成驗收並投入商業生產。新線設有38台協作及檢測機械人，負責電路板裝嵌、外殼鎖固、視覺檢測和包裝，主要生產家居能源感應器。公司估計全面運作後每月產能可由25萬件增至40萬件，提升六成，產品瑕疵率則可由現時1.7%降至約1.1%，即減少約35%。廠內140名現職員工將分批接受至少80小時的程式設定、保養及安全培訓，公司承諾不會因今次自動化計劃裁員，部分重複工序職位會轉為設備監控及品質分析。生產線電力中七成將由園區認證的可再生能源供應，實際能源及產能數據會在運作六個月後公布。投資由公司儲備及綠色設備貸款各佔一半，首批產品預定12月付運。</x:v>
      </x:c>
    </x:row>
    <x:row r="30" ht="92.4000015258789" hidden="0" customHeight="1">
      <x:c r="A30" s="15" t="str">
        <x:v>029</x:v>
      </x:c>
      <x:c r="B30" s="12" t="str">
        <x:v>ZH-EXCELLENT-029</x:v>
      </x:c>
      <x:c r="C30" s="15" t="str">
        <x:v>029</x:v>
      </x:c>
      <x:c r="D30" s="12" t="str">
        <x:v>Excellent</x:v>
      </x:c>
      <x:c r="E30" s="16" t="n">
        <x:v>85</x:v>
      </x:c>
      <x:c r="F30" s="16" t="n">
        <x:v>100</x:v>
      </x:c>
      <x:c r="G30" s="14" t="str">
        <x:v>守線科技協會今日（2026年7月27日）宣布，8月1日起營運中小企網絡事故支援熱線3188 7711，為本港僱用少於100人的企業提供全年無休、24小時初步應變協助。服務涵蓋勒索軟件、釣魚電郵、帳戶被盜及懷疑資料外洩；12名輪班事故分析員會先協助企業隔離受影響裝置、保存紀錄、重設存取權限及評估通報需要。每宗個案首兩小時遙距分流和指引免費，如需到場鑑證、系統復修或法律意見，職員須先提供書面範圍及報價，企業可自行決定是否購買。求助者亦可透過協會網站提交加密表格，緊急人身風險仍應致電999。協會只會在企業同意或法律規定下向警方及監管機構披露資料，個案紀錄在結案90日後刪除，匿名統計則用於季度威脅報告。熱線獲商業數碼韌性基金資助兩年，首季目標處理600宗查詢，服務成效及收費個案比例將公開。</x:v>
      </x:c>
    </x:row>
    <x:row r="31" ht="92.4000015258789" hidden="0" customHeight="1">
      <x:c r="A31" s="15" t="str">
        <x:v>030</x:v>
      </x:c>
      <x:c r="B31" s="12" t="str">
        <x:v>ZH-EXCELLENT-030</x:v>
      </x:c>
      <x:c r="C31" s="15" t="str">
        <x:v>030</x:v>
      </x:c>
      <x:c r="D31" s="12" t="str">
        <x:v>Excellent</x:v>
      </x:c>
      <x:c r="E31" s="16" t="n">
        <x:v>85</x:v>
      </x:c>
      <x:c r="F31" s="16" t="n">
        <x:v>100</x:v>
      </x:c>
      <x:c r="G31" s="14" t="str">
        <x:v>善港基金今日（2026年7月18日）公布6月12日水災援助基金的首份收支報告。截至7月15日，基金共收到2,860萬元捐款，已撥付2,140萬元：其中1,200萬元以每戶1萬元緊急現金形式發放予港灣東、河畔及新橋1,200個受影響家庭；650萬元用於維修13間社區中心、幼兒設施及長者服務站；240萬元支付清潔用品、臨時床具和運輸；50萬元為付款平台、核實個案及核數等行政開支，佔總捐款1.75%。餘下720萬元將保留作第二階段家居及小商戶復修補助，申請期至8月31日。獨立核數師啟衡會計師事務所已核對銀行紀錄、受助名單及抽樣單據，未發現未經授權支出。為保障私隱，公開帳目不列受助者姓名，但網站提供按地區、用途及日期分類的交易總表。基金承諾每季更新帳目，下一份經審閱報告於9月30日發布，未使用款項在計劃明年3月結束後將按捐款條款轉撥同類災害援助。</x:v>
      </x:c>
    </x:row>
    <x:row r="32" ht="118.80000305175781" hidden="0" customHeight="1">
      <x:c r="A32" s="15" t="str">
        <x:v>031</x:v>
      </x:c>
      <x:c r="B32" s="12" t="str">
        <x:v>ZH-GOOD-001</x:v>
      </x:c>
      <x:c r="C32" s="15" t="str">
        <x:v>001</x:v>
      </x:c>
      <x:c r="D32" s="12" t="str">
        <x:v>Good</x:v>
      </x:c>
      <x:c r="E32" s="16" t="n">
        <x:v>70</x:v>
      </x:c>
      <x:c r="F32" s="16" t="n">
        <x:v>84</x:v>
      </x:c>
      <x:c r="G32" s="14" t="str">
        <x:v>港灣包裝宣布投資6,800萬港元，擴充位於荃灣柴灣角的食品包裝廠。計劃會新增18,000平方呎生產空間及兩條紙餐盒生產線，使用水性塗層，預計可令全廠產能增加約四成，回應餐飲和外賣市場對可回收包裝的需求。
工程由10月開始，明年3月先行試產，並計劃在5月全面運作。公司稱施工會逐步進行，所以現有客戶的供貨不會受到明顯影響。新設備也設有廢氣回收和循環用水裝置，令生產更環保，亦希望減少三成溶劑排放。
行政總裁梁卓謙表示，擴建不只是增加產量，也會增加就業。公司預計一年內聘請65名員工，包括技術員、品質管理和物流人員，9月底會安排招聘活動。港灣包裝會提供查詢渠道處理附近商戶對工程的意見，但活動地點和熱線詳情稍後才公布。整項擴建既提升產量，也提升公司的本地供應能力。</x:v>
      </x:c>
    </x:row>
    <x:row r="33" ht="132" hidden="0" customHeight="1">
      <x:c r="A33" s="15" t="str">
        <x:v>032</x:v>
      </x:c>
      <x:c r="B33" s="12" t="str">
        <x:v>ZH-GOOD-002</x:v>
      </x:c>
      <x:c r="C33" s="15" t="str">
        <x:v>002</x:v>
      </x:c>
      <x:c r="D33" s="12" t="str">
        <x:v>Good</x:v>
      </x:c>
      <x:c r="E33" s="16" t="n">
        <x:v>70</x:v>
      </x:c>
      <x:c r="F33" s="16" t="n">
        <x:v>84</x:v>
      </x:c>
      <x:c r="G33" s="14" t="str">
        <x:v>啟航書院與明途基金將在新學年合辦課後STEM助學計劃，提供120個名額予深水埗區中一至中三學生。基金會投放180萬元，支付課堂、教材、電腦借用及部分交通開支，參加者不用另交學費。
計劃由10月起一連24周，主要在星期六上課，學生會學習機械人、編程、數據分析和解難方法，之後製作一個與社區有關的科技項目。作品預計明年4月公開展出。校方找來教師、工程師和大專生共30人協助，每組約四名學生，讓導師能較多照顧各組。
有興趣學生可於8月4日至22日申請，須由學校或社工推薦，並提交家庭經濟需要資料。校方說甄選會重視動機，不會單看科技科目成績。表格可在學校網站取得，也可以交給參與學校。不過，交通津貼的發放方法及成果展地點仍待確認。校長周慧琳稱，希望讓資源較少的學生都有機會接觸科技，這個機會可讓他們多接觸科技。</x:v>
      </x:c>
    </x:row>
    <x:row r="34" ht="132" hidden="0" customHeight="1">
      <x:c r="A34" s="15" t="str">
        <x:v>033</x:v>
      </x:c>
      <x:c r="B34" s="12" t="str">
        <x:v>ZH-GOOD-003</x:v>
      </x:c>
      <x:c r="C34" s="15" t="str">
        <x:v>003</x:v>
      </x:c>
      <x:c r="D34" s="12" t="str">
        <x:v>Good</x:v>
      </x:c>
      <x:c r="E34" s="16" t="n">
        <x:v>70</x:v>
      </x:c>
      <x:c r="F34" s="16" t="n">
        <x:v>84</x:v>
      </x:c>
      <x:c r="G34" s="14" t="str">
        <x:v>語港智能（LinguaDock）推出名為「粵聲通」的AI客戶服務工具，主要供香港零售、餐飲及服務業中小企使用。工具能處理廣東話、英文和中英夾雜的電話或文字查詢，企業可上載產品資料建立答案；如遇退款、投訴等較複雜個案，對話會轉交真人員工。
平台另有後台報表，顯示客戶等候時間、熱門問題和轉接個案。公司過去12個月在20間企業試用，稱平均處理時間減少32%，分派正確率達91%。不過這些是測試企業的結果，實際表現會視乎資料是否完整和使用情況而不同。
服務月費1,280元起，10月10日開放登記，並提供14日試用。用戶可以選擇在香港區域雲端儲存對話和自行設定保留期，公司表示未經同意不會把企業內容用作訓練共用模型。語港智能將在9月底舉行網上介紹會，但參加連結稍後公布。這套工具希望幫中小企減輕重複查詢，也希望改善回覆速度。</x:v>
      </x:c>
    </x:row>
    <x:row r="35" ht="132" hidden="0" customHeight="1">
      <x:c r="A35" s="15" t="str">
        <x:v>034</x:v>
      </x:c>
      <x:c r="B35" s="12" t="str">
        <x:v>ZH-GOOD-004</x:v>
      </x:c>
      <x:c r="C35" s="15" t="str">
        <x:v>004</x:v>
      </x:c>
      <x:c r="D35" s="12" t="str">
        <x:v>Good</x:v>
      </x:c>
      <x:c r="E35" s="16" t="n">
        <x:v>70</x:v>
      </x:c>
      <x:c r="F35" s="16" t="n">
        <x:v>84</x:v>
      </x:c>
      <x:c r="G35" s="14" t="str">
        <x:v>海景區文化協會將在11月14及15日舉行「海景週末文化墟」，地點是海濱長廊和市民廣場，時間由上午11時至晚上8時，市民可以免費入場。大會估計兩日約有12,000人次參加。
文化墟共有80個攤位，售賣手作、修復舊物、不同文化的食品和青年創業產品。節目亦有粵劇、學生樂隊、社區舞蹈、兒童故事劇場及環保工作坊。工作坊免費，部分需要在10月26日起網上預約。飲品攤位使用可重用杯，先收20元，還杯後便會退回。
海濱路在活動當日會分段封閉，大會將由海景站A出口提供接駁車，大約每20分鐘一班。遇上大雨，部分節目會移到海景社區會堂；如懸掛八號風球，活動會取消，詳情會在社交平台更新。主辦方表示場地設有無障礙入口。由於節目很多，市民出發前應再查看時間，而各表演的完整次序仍待公布。</x:v>
      </x:c>
    </x:row>
    <x:row r="36" ht="118.80000305175781" hidden="0" customHeight="1">
      <x:c r="A36" s="15" t="str">
        <x:v>035</x:v>
      </x:c>
      <x:c r="B36" s="12" t="str">
        <x:v>ZH-GOOD-005</x:v>
      </x:c>
      <x:c r="C36" s="15" t="str">
        <x:v>005</x:v>
      </x:c>
      <x:c r="D36" s="12" t="str">
        <x:v>Good</x:v>
      </x:c>
      <x:c r="E36" s="16" t="n">
        <x:v>70</x:v>
      </x:c>
      <x:c r="F36" s="16" t="n">
        <x:v>84</x:v>
      </x:c>
      <x:c r="G36" s="14" t="str">
        <x:v>綠峰專線小巴把88M青嶺邨至泊岸站的試辦期延長至12月31日，比原定9月底多三個月。全程收費仍是6.5元，長者和學生3元優惠亦會保留。公司希望透過延長期觀察非繁忙時間客量，再考慮路線是否長期運作。
10月2日起，小巴會新增青嶺市政大樓和東灣醫療中心兩個站。平日早上7時至9時半、下午5時至8時，班次由10分鐘一班改為約8分鐘一班；其他時間仍然大約15分鐘一班，周末服務安排沒有大改動。新增車站估計令全程多用約四分鐘。
路線自7月試行以來，11周有約36,000人次乘搭，平均載客率68%，早上的青嶺邨班次較多人。營辦商會在車內用二維碼收集乘客意見，年底整理客量及準時資料。新時間表和站位在9月26日起張貼，乘客亦可查閱營辦商網站。</x:v>
      </x:c>
    </x:row>
    <x:row r="37" ht="132" hidden="0" customHeight="1">
      <x:c r="A37" s="15" t="str">
        <x:v>036</x:v>
      </x:c>
      <x:c r="B37" s="12" t="str">
        <x:v>ZH-GOOD-006</x:v>
      </x:c>
      <x:c r="C37" s="15" t="str">
        <x:v>006</x:v>
      </x:c>
      <x:c r="D37" s="12" t="str">
        <x:v>Good</x:v>
      </x:c>
      <x:c r="E37" s="16" t="n">
        <x:v>70</x:v>
      </x:c>
      <x:c r="F37" s="16" t="n">
        <x:v>84</x:v>
      </x:c>
      <x:c r="G37" s="14" t="str">
        <x:v>鮮港超市10月1日起在12間分店推出可重用餐盒試驗，為期六個月。顧客購買熟食、沙律或即製麵食，可付20元按金轉用重用盒；30日內拿到任何參與分店交還，掃描盒上編碼後，款項會退回八達通或原本的電子付款方式。交還前要倒清食物，毋須在家自行消毒。
餐盒會由合作機構循環盒社每日收集，再送到中央設施高溫清洗和檢查。不能繼續使用的餐盒將交回收商處理。顧客每次採用重用盒可獲2元熟食優惠，這項優惠與20元按金分開計算。
參加分店分布港九新界，名單9月20日在公司網站及應用程式公布。鮮港希望半年減少120,000個即棄盒，回收率達八成，並會定期交代使用量。試驗後會按衞生、成本和意見決定是否增加分店。不過，個別分店的退盒櫃位開放時間可能不同，顧客到店前最好先查閱，相關時間稍後才會完整列出。</x:v>
      </x:c>
    </x:row>
    <x:row r="38" ht="118.80000305175781" hidden="0" customHeight="1">
      <x:c r="A38" s="15" t="str">
        <x:v>037</x:v>
      </x:c>
      <x:c r="B38" s="12" t="str">
        <x:v>ZH-GOOD-007</x:v>
      </x:c>
      <x:c r="C38" s="15" t="str">
        <x:v>007</x:v>
      </x:c>
      <x:c r="D38" s="12" t="str">
        <x:v>Good</x:v>
      </x:c>
      <x:c r="E38" s="16" t="n">
        <x:v>70</x:v>
      </x:c>
      <x:c r="F38" s="16" t="n">
        <x:v>84</x:v>
      </x:c>
      <x:c r="G38" s="14" t="str">
        <x:v>卓峰工業園計劃在屯門園區八幢廠房天台鋪設3,200塊太陽能板，投資2,300萬元，裝機容量合共1.8兆瓦。項目估計每年生產190萬度電，可應付公共照明、升降機和管理設施約六成用量，並減少約720公噸碳排放。
日澄能源會由11月開始分階段施工，明年5月完成，首兩幢大樓最快1月先供電。工業園稱工程主要在天台及機電房進行，不會要求租戶停業；大型吊運多安排在星期日，受影響公司會提早七日收到通知。
園方已為天台做負重和消防通道評估，系統也會加裝遙距監察及自動斷電。所產電力先供公共位置使用，有剩餘才輸入電網，收入留作其他節能項目。卓峰承諾每季公布發電資料，明年完工後交獨立工程師驗收。不過，首階段實際吊運日期要視乎天氣，日程可能有少量調整，租戶需留意平台通知。</x:v>
      </x:c>
    </x:row>
    <x:row r="39" ht="132" hidden="0" customHeight="1">
      <x:c r="A39" s="15" t="str">
        <x:v>038</x:v>
      </x:c>
      <x:c r="B39" s="12" t="str">
        <x:v>ZH-GOOD-008</x:v>
      </x:c>
      <x:c r="C39" s="15" t="str">
        <x:v>008</x:v>
      </x:c>
      <x:c r="D39" s="12" t="str">
        <x:v>Good</x:v>
      </x:c>
      <x:c r="E39" s="16" t="n">
        <x:v>70</x:v>
      </x:c>
      <x:c r="F39" s="16" t="n">
        <x:v>84</x:v>
      </x:c>
      <x:c r="G39" s="14" t="str">
        <x:v>新界閱讀服務處9月7日起安排三輛電動流動圖書車，走訪元朗、北區及大埔18個站點，試行六個月。每個地點每星期服務兩次，每次至少三小時，方便鄉郊居民、長者和小朋友借書。詳細停站表會在8月24日上網及張貼於學校和屋邨。
三輛車合共放置4,500本中英文書，包括兒童書、小說、實用資訊和大字版讀物。會員可借還、續借或拿取已預約書籍，未入會的市民帶同身份及住址資料可免費登記。車上有平板電腦，職員亦會教市民使用電子書和部分網上服務。
車輛設輪椅升降台、較低服務桌及助聽設備。服務處希望半年有25,000人次到訪及借出40,000冊次，再按使用量檢討路線。八號風球及黑雨可能令班次取消，消息會在網站和電話熱線公布，熱線號碼要待時間表一併發布。</x:v>
      </x:c>
    </x:row>
    <x:row r="40" ht="158.39999389648438" hidden="0" customHeight="1">
      <x:c r="A40" s="15" t="str">
        <x:v>039</x:v>
      </x:c>
      <x:c r="B40" s="12" t="str">
        <x:v>ZH-GOOD-009</x:v>
      </x:c>
      <x:c r="C40" s="15" t="str">
        <x:v>009</x:v>
      </x:c>
      <x:c r="D40" s="12" t="str">
        <x:v>Good</x:v>
      </x:c>
      <x:c r="E40" s="16" t="n">
        <x:v>70</x:v>
      </x:c>
      <x:c r="F40" s="16" t="n">
        <x:v>84</x:v>
      </x:c>
      <x:c r="G40" s="14" t="str">
        <x:v>清感科技（AirSense）推出AirSense Mini室內空氣感應器，供住宅、小型辦公室及店舖使用。裝置每分鐘讀取PM2.5、二氧化碳、揮發性有機化合物、溫度和濕度，燈環會提示目前狀況。連上Wi-Fi後，用戶可用手機查看走勢、接收通風提醒和下載30日紀錄。公司提醒，讀數並非醫療診斷或正式環境檢測。
產品售價899元，8月25日預訂，9月15日起在網店和15個零售點發售。一般用戶不需月費便可用基本功能；商戶如要同時管理最多十部機及下載分析報表，可付每月98元。裝置以USB-C供電，有兩年保養，年度校準服務每次180元。
產品曾在50間餐廳及辦公室試用三個月，公司按意見改動提示設定。用戶可以刪除雲端紀錄，或把資料只留在手機。9月初會在九龍灣提供周末示範，確實時段稍後開放預約。產品可以幫助用戶留意通風情況，但實際改善仍須由用戶採取行動。</x:v>
      </x:c>
    </x:row>
    <x:row r="41" ht="132" hidden="0" customHeight="1">
      <x:c r="A41" s="15" t="str">
        <x:v>040</x:v>
      </x:c>
      <x:c r="B41" s="12" t="str">
        <x:v>ZH-GOOD-010</x:v>
      </x:c>
      <x:c r="C41" s="15" t="str">
        <x:v>010</x:v>
      </x:c>
      <x:c r="D41" s="12" t="str">
        <x:v>Good</x:v>
      </x:c>
      <x:c r="E41" s="16" t="n">
        <x:v>70</x:v>
      </x:c>
      <x:c r="F41" s="16" t="n">
        <x:v>84</x:v>
      </x:c>
      <x:c r="G41" s="14" t="str">
        <x:v>經緯物流（Meridian Logistics）葵青配送中心新增的120,000平方呎倉區將於10月2日投入運作，中心總面積增至420,000平方呎。貨板容量提高35%至58,000個板位，主要供電商、零售補貨和快速消費品客戶使用。第二期投資1.6億元，包括改建、自動分揀設備和倉庫管理系統。
新分揀線每小時最多處理9,000件包裹，以條碼核對目的地和重量，異常件交人手檢查。現有客戶的存貨會在9月至11月分批搬入，公司稱會使用較少出貨的時段，服務不用暫停。新增110個職位中約七成已完成招聘。
另有25,000平方呎預留作攝氏2至8度溫控倉，明年1月啟用，不計入10月新增的常溫容量。行政總裁何志朗表示基本倉租暫時不變，不同客戶仍按儲量和服務議價。公司會在運作首季後公布部分營運指標，但實際發布日期未定。</x:v>
      </x:c>
    </x:row>
    <x:row r="42" ht="79.19999694824219" hidden="0" customHeight="1">
      <x:c r="A42" s="15" t="str">
        <x:v>041</x:v>
      </x:c>
      <x:c r="B42" s="12" t="str">
        <x:v>ZH-GOOD-011</x:v>
      </x:c>
      <x:c r="C42" s="15" t="str">
        <x:v>011</x:v>
      </x:c>
      <x:c r="D42" s="12" t="str">
        <x:v>Good</x:v>
      </x:c>
      <x:c r="E42" s="16" t="n">
        <x:v>70</x:v>
      </x:c>
      <x:c r="F42" s="16" t="n">
        <x:v>84</x:v>
      </x:c>
      <x:c r="G42" s="14" t="str">
        <x:v>聲橋社區協會宣布，「流動聽力站」將於8月3日至11月28日巡迴九龍東12個屋苑，免費為60歲或以上居民檢查聽力。首站設在晴橋邨，各站逢星期一、三及六上午10時至下午4時服務，每日30個名額。居民可由7月20日起上網或致電預約，尚有餘額才接受即場登記。註冊聽力學家會先簡單查問病歷，再觀察耳道和做純音測試，整個過程約25分鐘，完成後解釋初步結果。若聽力明顯下降，職員可在參加者同意後安排轉介；服務只屬篩查，不能代替醫生診斷。計劃獲明音基金資助68萬元，目標服務1,080人，另會舉辦護耳講座，但講座日期尚未列入這次公布。巡迴日期會放在協會網站。</x:v>
      </x:c>
    </x:row>
    <x:row r="43" ht="79.19999694824219" hidden="0" customHeight="1">
      <x:c r="A43" s="15" t="str">
        <x:v>042</x:v>
      </x:c>
      <x:c r="B43" s="12" t="str">
        <x:v>ZH-GOOD-012</x:v>
      </x:c>
      <x:c r="C43" s="15" t="str">
        <x:v>012</x:v>
      </x:c>
      <x:c r="D43" s="12" t="str">
        <x:v>Good</x:v>
      </x:c>
      <x:c r="E43" s="16" t="n">
        <x:v>70</x:v>
      </x:c>
      <x:c r="F43" s="16" t="n">
        <x:v>84</x:v>
      </x:c>
      <x:c r="G43" s="14" t="str">
        <x:v>翠庭苑將由8月10日起為三座樓宇的六部升降機進行更新，工程預計12月18日完成。今次項目費用為1,260萬元，由屋苑維修儲備支付，會更換摩打、控制板、門感應器和緊急通訊裝置，機廂亦會裝設較省電的燈。每部升降機預計停用約三星期，承辦商會在同一座保留另一部升降機運作，完成檢驗後才恢復服務。首部停用的是一座東面升降機。一般工程在星期一至六上午9時至下午6時進行，而較嘈雜的工序會縮短時段，以減少滋擾。安居物業管理公司會為行動不便住戶提供電動上落樓梯機和樓層陪同，住戶須預約。管理處會在大堂及屋苑應用程式公布每周進度，並設24小時熱線。業主委員會稱，如零件運送影響時間表，會提早通知居民，工程也留有緩衝時間。</x:v>
      </x:c>
    </x:row>
    <x:row r="44" ht="79.19999694824219" hidden="0" customHeight="1">
      <x:c r="A44" s="15" t="str">
        <x:v>043</x:v>
      </x:c>
      <x:c r="B44" s="12" t="str">
        <x:v>ZH-GOOD-013</x:v>
      </x:c>
      <x:c r="C44" s="15" t="str">
        <x:v>013</x:v>
      </x:c>
      <x:c r="D44" s="12" t="str">
        <x:v>Good</x:v>
      </x:c>
      <x:c r="E44" s="16" t="n">
        <x:v>70</x:v>
      </x:c>
      <x:c r="F44" s="16" t="n">
        <x:v>84</x:v>
      </x:c>
      <x:c r="G44" s="14" t="str">
        <x:v>海織酒店位於西九龍的新翼「織港館」將於9月15日開幕，客房由8月1日起接受預訂。新翼由一座1958年的紡織貨倉改建，酒店投資1.8億元，工程做了三年，保留紅磚牆、鋸齒形屋頂和部分舊路軌。館內有48間客房、餐廳和免費開放的小型展廊，首展會展出昔日工人及居民借出的72件工具、布辦和訪談資料。酒店找來本地設計師和工藝單位製作部分家具，大樓亦已加固並改善無障礙設施。項目新增20個全職職位，並與城織學院每月合辦兩次廣東話導賞。酒店稱工程已完成安全和牌照檢查，旅遊巴進入接送區前要預約。開幕首月客房收入的5%會用於展品保育及整理口述歷史，實際款項要到年底才公布。</x:v>
      </x:c>
    </x:row>
    <x:row r="45" ht="79.19999694824219" hidden="0" customHeight="1">
      <x:c r="A45" s="15" t="str">
        <x:v>044</x:v>
      </x:c>
      <x:c r="B45" s="12" t="str">
        <x:v>ZH-GOOD-014</x:v>
      </x:c>
      <x:c r="C45" s="15" t="str">
        <x:v>014</x:v>
      </x:c>
      <x:c r="D45" s="12" t="str">
        <x:v>Good</x:v>
      </x:c>
      <x:c r="E45" s="16" t="n">
        <x:v>70</x:v>
      </x:c>
      <x:c r="F45" s="16" t="n">
        <x:v>84</x:v>
      </x:c>
      <x:c r="G45" s="14" t="str">
        <x:v>浪升體育基金將於10月3日及4日在將軍澳啟航運動場舉行青年足球盃，邀請16支學校和社區U15隊伍、約240名男女球員參加。首日進行分組賽，第二日是淘汰賽和決賽；每隊可報15人，球員須在2011年1月1日或之後出生，並交家長同意書。報名期由7月20日至8月14日，費用全免，超額時會參考隊伍所在地區和男女比例甄選。兩日均由上午9時至下午6時比賽，公眾可免費入場，現場有飲水、急救和無障礙觀賽位置。主辦方亦會為教練辦急救及公平競技工作坊。冠軍可獲3萬元器材資助，用作青少年訓練。若天氣不適合比賽，活動改至10月10及11日，網站和短訊會在早上發出通知。</x:v>
      </x:c>
    </x:row>
    <x:row r="46" ht="92.4000015258789" hidden="0" customHeight="1">
      <x:c r="A46" s="15" t="str">
        <x:v>045</x:v>
      </x:c>
      <x:c r="B46" s="12" t="str">
        <x:v>ZH-GOOD-015</x:v>
      </x:c>
      <x:c r="C46" s="15" t="str">
        <x:v>015</x:v>
      </x:c>
      <x:c r="D46" s="12" t="str">
        <x:v>Good</x:v>
      </x:c>
      <x:c r="E46" s="16" t="n">
        <x:v>70</x:v>
      </x:c>
      <x:c r="F46" s="16" t="n">
        <x:v>84</x:v>
      </x:c>
      <x:c r="G46" s="14" t="str">
        <x:v>北角城市記憶館將於8月20日啟用「北角生活數碼檔案」，讓公眾免費瀏覽8,400項與區內生活有關的相片、地圖、單據、錄音和口述歷史，年代由1945年至2000年。這個18個月項目獲遠帆文化基金資助320萬元，資料來自420名居民和昔日商戶。平台有繁體中文及英文介面，可按年份、街道或主題搜尋；部分已取得授權的高解像檔案可供非商業下載，涉及版權和私隱的項目只展示節錄。館方稱研究員會核對資料來源，未能確認的日期也會作標記，使用者可以提交更正。推出當日會舉辦兩場工作坊，內容包括保存家庭照片和訪問長者，每場40人，8月1日起接受網上登記。館方表示不會公開提供資料人士的住址和電話，明年初亦希望增加工業和渡海交通專題，但尚未公布新增項目數目。</x:v>
      </x:c>
    </x:row>
    <x:row r="47" ht="79.19999694824219" hidden="0" customHeight="1">
      <x:c r="A47" s="15" t="str">
        <x:v>046</x:v>
      </x:c>
      <x:c r="B47" s="12" t="str">
        <x:v>ZH-GOOD-016</x:v>
      </x:c>
      <x:c r="C47" s="15" t="str">
        <x:v>016</x:v>
      </x:c>
      <x:c r="D47" s="12" t="str">
        <x:v>Good</x:v>
      </x:c>
      <x:c r="E47" s="16" t="n">
        <x:v>70</x:v>
      </x:c>
      <x:c r="F47" s="16" t="n">
        <x:v>84</x:v>
      </x:c>
      <x:c r="G47" s="14" t="str">
        <x:v>金穗烘焙將由9月1日起，在18間分店為120款麵包、蛋糕和小食使用新的致敏原標籤。包裝和貨架牌會用圖示標出麩質穀物、奶、蛋、花生、木本堅果、大豆、芝麻及亞硫酸鹽，顧客掃描二維碼可查看完整配料和更新日期。公司用了九個月整理配方，並請獨立食物安全顧問覆核，286名中央工場和分店員工會在8月底前接受培訓。金穗提醒，產品大多在共用工場和焗爐生產，沒有直接加入某項致敏成分，也不代表完全沒有交叉接觸風險；嚴重過敏人士應先向職員查詢。配方改動時，網上資料會先更新，實體標籤在下一批產品更換。公司首三個月會每周抽查，顧客可用熱線報告錯漏，核實有問題的產品會先暫停出售再更正。</x:v>
      </x:c>
    </x:row>
    <x:row r="48" ht="79.19999694824219" hidden="0" customHeight="1">
      <x:c r="A48" s="15" t="str">
        <x:v>047</x:v>
      </x:c>
      <x:c r="B48" s="12" t="str">
        <x:v>ZH-GOOD-017</x:v>
      </x:c>
      <x:c r="C48" s="15" t="str">
        <x:v>017</x:v>
      </x:c>
      <x:c r="D48" s="12" t="str">
        <x:v>Good</x:v>
      </x:c>
      <x:c r="E48" s="16" t="n">
        <x:v>70</x:v>
      </x:c>
      <x:c r="F48" s="16" t="n">
        <x:v>84</x:v>
      </x:c>
      <x:c r="G48" s="14" t="str">
        <x:v>同心信貸合作社和東岸商戶聯盟將於8月26日下午2時至5時30分，在觀塘創業匯中心舉行免費現金流工作坊，對象主要是僱員不多於20人的小企業。活動有80個名額，以廣東話授課，由會計師林佩珊和合作社風險管理主管周永康講解13星期現金流預測、收款管理、貸款成本及常見付款詐騙。參加者會用虛構店舖資料做練習，不需要交出公司的銀行或客戶資料。網上報名由7月22日至8月19日，每間企業最多兩人；申請太多時，小企業會優先，結果以電郵通知。場地有輪椅通道和即時字幕，參加者可在表格提出需要。主辦方表示不會在活動中推銷貸款，課後一星期內會上載講義和試算表，未獲名額的申請者也可免費下載。</x:v>
      </x:c>
    </x:row>
    <x:row r="49" ht="79.19999694824219" hidden="0" customHeight="1">
      <x:c r="A49" s="15" t="str">
        <x:v>048</x:v>
      </x:c>
      <x:c r="B49" s="12" t="str">
        <x:v>ZH-GOOD-018</x:v>
      </x:c>
      <x:c r="C49" s="15" t="str">
        <x:v>018</x:v>
      </x:c>
      <x:c r="D49" s="12" t="str">
        <x:v>Good</x:v>
      </x:c>
      <x:c r="E49" s="16" t="n">
        <x:v>70</x:v>
      </x:c>
      <x:c r="F49" s="16" t="n">
        <x:v>84</x:v>
      </x:c>
      <x:c r="G49" s="14" t="str">
        <x:v>城南工程處將於8月17日至11月6日維修連接河畔道和港盛商場的河閘行人天橋，工程費用840萬元。項目包括更換橋面防水層和伸縮接縫、為鋼架重新髹上防銹塗層，以及改用LED燈。日間會分段施工，保留最少1.5米通道；每逢星期一至四晚上11時至早上5時運送大型物料，天橋需要全段關閉。9月12至13日和10月17至18日兩個周末亦會全日封橋。市民可改用河畔道地面燈號過路處，路程增加約280米，替代路線適合輪椅和嬰兒車。工程處會加設指示牌，繁忙時間有人協助，並用隔音屏減少噪音。如惡劣天氣或檢測令日期有變，會在現場和網站預早公布，緊急改動另經商場廣播通知。</x:v>
      </x:c>
    </x:row>
    <x:row r="50" ht="79.19999694824219" hidden="0" customHeight="1">
      <x:c r="A50" s="15" t="str">
        <x:v>049</x:v>
      </x:c>
      <x:c r="B50" s="12" t="str">
        <x:v>ZH-GOOD-019</x:v>
      </x:c>
      <x:c r="C50" s="15" t="str">
        <x:v>019</x:v>
      </x:c>
      <x:c r="D50" s="12" t="str">
        <x:v>Good</x:v>
      </x:c>
      <x:c r="E50" s="16" t="n">
        <x:v>70</x:v>
      </x:c>
      <x:c r="F50" s="16" t="n">
        <x:v>84</x:v>
      </x:c>
      <x:c r="G50" s="14" t="str">
        <x:v>民生設施署將由9月7日至明年2月28日，在和景街市試行「市集通」免費Wi-Fi。濕貨區、熟食中心和公共座位合共有36個接達點，每次連線可用60分鐘，到時後可再次連接，並沒有每日上限。每部裝置的下載速度限制為20Mbps，以免繁忙時段由少數人佔用網絡。使用者選擇MarketLink-Free及同意條款便可上網，不用登記姓名、電話或電郵。系統只會記錄技術識別碼、連線時間和流量作保安及維修用途，資料加密保存30日，並不儲存瀏覽內容。網絡沒有商業廣告，也會封鎖已知惡意網站；處理付款等敏感資料時，市民仍應使用可信任網絡。計劃獲190萬元資助，首兩周逢星期一及三設支援站協助長者。署方會在六個月後評估覆蓋、速度和意見，再決定是否延續服務。</x:v>
      </x:c>
    </x:row>
    <x:row r="51" ht="79.19999694824219" hidden="0" customHeight="1">
      <x:c r="A51" s="15" t="str">
        <x:v>050</x:v>
      </x:c>
      <x:c r="B51" s="12" t="str">
        <x:v>ZH-GOOD-020</x:v>
      </x:c>
      <x:c r="C51" s="15" t="str">
        <x:v>020</x:v>
      </x:c>
      <x:c r="D51" s="12" t="str">
        <x:v>Good</x:v>
      </x:c>
      <x:c r="E51" s="16" t="n">
        <x:v>70</x:v>
      </x:c>
      <x:c r="F51" s="16" t="n">
        <x:v>84</x:v>
      </x:c>
      <x:c r="G51" s="14" t="str">
        <x:v>電灣能源在東臨工業區興建的VoltBay充電樞紐將於10月12日啟用，24小時開放，共有24個車位。當中16個是最高120kW直流快充，另外8個提供22kW交流充電，兩個加闊車位配有較低的操作屏。直流充電每度電3.2元，交流為2.4元；完成充電後有15分鐘離場時間，之後每分鐘收1元佔位費。車主可用應用程式預約30分鐘到場時段，也可即場以感應式信用卡付款，不必先入會。項目投資4,800萬元，車棚的太陽能板預計提供約12%全年用電，電池則協助繁忙時間調節負荷。職員由朝7時至晚上11時在場，深夜可經對講機找支援中心。開幕首星期充電費八折，佔位費照常收取，運作數據其後會按月公布。</x:v>
      </x:c>
    </x:row>
    <x:row r="52" ht="66" hidden="0" customHeight="1">
      <x:c r="A52" s="15" t="str">
        <x:v>051</x:v>
      </x:c>
      <x:c r="B52" s="12" t="str">
        <x:v>ZH-GOOD-021</x:v>
      </x:c>
      <x:c r="C52" s="15" t="str">
        <x:v>021</x:v>
      </x:c>
      <x:c r="D52" s="12" t="str">
        <x:v>Good</x:v>
      </x:c>
      <x:c r="E52" s="16" t="n">
        <x:v>70</x:v>
      </x:c>
      <x:c r="F52" s="16" t="n">
        <x:v>84</x:v>
      </x:c>
      <x:c r="G52" s="14" t="str">
        <x:v>東港大學發表城市熱島研究，團隊在港灣東等六區設置120個感應器，並配合測量車和衛星影像，研究由去年5月做到今年4月。結果指下午3時至5時最熱；樓宇密集而樹蔭較少的商業地段，平均比海旁及綠化地帶高2.8度，個別無遮蔭路口相差4.1度。研究人員建議先在巴士站和長者設施附近增加樹蔭及飲水點，公營建築亦可試用淺色屋頂。校方已公開數據，8月至10月會在六區諮詢居民，以揀選首批改善位置。研究希望協助規劃部門，也希望社區找出炎熱地點，兩方面都可用同一批公開數據作參考。</x:v>
      </x:c>
    </x:row>
    <x:row r="53" ht="79.19999694824219" hidden="0" customHeight="1">
      <x:c r="A53" s="15" t="str">
        <x:v>052</x:v>
      </x:c>
      <x:c r="B53" s="12" t="str">
        <x:v>ZH-GOOD-022</x:v>
      </x:c>
      <x:c r="C53" s="15" t="str">
        <x:v>022</x:v>
      </x:c>
      <x:c r="D53" s="12" t="str">
        <x:v>Good</x:v>
      </x:c>
      <x:c r="E53" s="16" t="n">
        <x:v>70</x:v>
      </x:c>
      <x:c r="F53" s="16" t="n">
        <x:v>84</x:v>
      </x:c>
      <x:c r="G53" s="14" t="str">
        <x:v>安步社區服務社聯同城安消防協會，8月至12月在20個公共屋邨辦60場免費防火工作坊，預計有3,000個家庭參與。課程涵蓋濃煙逃生、火警鐘、滅火氈和鋰電池充電，也會講家中長者或行動不便人士的撤離安排。消防工程人員與社工會帶領演練，參加者可取得多種語言的家居檢查表。另有300戶獨居長者可預約上門風險評估，這不代替法定消防檢查。7月22日起可網上或致電3108 6620報名。主辦機構會在活動後跟進住戶有否改善，也會再跟進計劃成效，結果預計明年初公布；各屋邨的場次則要按報名資料查閱。</x:v>
      </x:c>
    </x:row>
    <x:row r="54" ht="66" hidden="0" customHeight="1">
      <x:c r="A54" s="15" t="str">
        <x:v>053</x:v>
      </x:c>
      <x:c r="B54" s="12" t="str">
        <x:v>ZH-GOOD-023</x:v>
      </x:c>
      <x:c r="C54" s="15" t="str">
        <x:v>023</x:v>
      </x:c>
      <x:c r="D54" s="12" t="str">
        <x:v>Good</x:v>
      </x:c>
      <x:c r="E54" s="16" t="n">
        <x:v>70</x:v>
      </x:c>
      <x:c r="F54" s="16" t="n">
        <x:v>84</x:v>
      </x:c>
      <x:c r="G54" s="14" t="str">
        <x:v>環織資源8月1日起在8個商場及12個屋苑設置40個紡織品回收箱，接收洗淨和乾爽的衣物、床單、毛巾及布袋，鞋履、濕衣、地氈和受化學品污染的布料不收。物料每星期送往新田分揀，可再穿的衣物交給三間社福機構，破損布料按纖維再製成隔音棉或再生紗。箱上二維碼可查看收運日期和批次去向。公司首年目標回收300公噸，收集、重用和再造數字會每季公布，也會公布未能處理的數量。居民不用付費，各處採用同一接收守則，接收物品都是按同一套守則處理。</x:v>
      </x:c>
    </x:row>
    <x:row r="55" ht="66" hidden="0" customHeight="1">
      <x:c r="A55" s="15" t="str">
        <x:v>054</x:v>
      </x:c>
      <x:c r="B55" s="12" t="str">
        <x:v>ZH-GOOD-024</x:v>
      </x:c>
      <x:c r="C55" s="15" t="str">
        <x:v>024</x:v>
      </x:c>
      <x:c r="D55" s="12" t="str">
        <x:v>Good</x:v>
      </x:c>
      <x:c r="E55" s="16" t="n">
        <x:v>70</x:v>
      </x:c>
      <x:c r="F55" s="16" t="n">
        <x:v>84</x:v>
      </x:c>
      <x:c r="G55" s="14" t="str">
        <x:v>匠途協會與18間中小企合辦一年制手藝學徒計劃，為18至30歲青年提供60個名額，範疇有木工、金工、霓虹招牌修復和舞台道具。課程10月6日開始，學員每月獲15,000元培訓津貼，大部分時間到企業跟師傅實習，其餘課堂學安全、繪圖和物料管理。完成指定時數及作品評核可取得業界證書，表現合格者會獲合作企業安排一次職位面試，但面試並不等同獲聘。申請期是8月1日至15日，毋須相關學歷或經驗，入圍者仍要參加能力體驗和面談。每人有師傅和就業顧問跟進，學習有人跟進，就業方面亦會有人跟進。</x:v>
      </x:c>
    </x:row>
    <x:row r="56" ht="66" hidden="0" customHeight="1">
      <x:c r="A56" s="15" t="str">
        <x:v>055</x:v>
      </x:c>
      <x:c r="B56" s="12" t="str">
        <x:v>ZH-GOOD-025</x:v>
      </x:c>
      <x:c r="C56" s="15" t="str">
        <x:v>025</x:v>
      </x:c>
      <x:c r="D56" s="12" t="str">
        <x:v>Good</x:v>
      </x:c>
      <x:c r="E56" s="16" t="n">
        <x:v>70</x:v>
      </x:c>
      <x:c r="F56" s="16" t="n">
        <x:v>84</x:v>
      </x:c>
      <x:c r="G56" s="14" t="str">
        <x:v>迅達購8月5日起把即日送貨由六區擴至十區，新增北嶺、河畔、新橋及海榮。顧客在下午2時前完成付款，可選晚上6時至10時收貨；運費38元，購物滿500元免運費。約12,000款標有「即日達」的商品適用，冷藏食品、大型傢俬、預訂貨品及跨境商品不包括。公司新增三個配送站和24輛電動貨車，預計每日最多處理6,500張即日訂單。八號風球、黑雨或封路時服務會暫停，顧客可以改期或取回運費。地址資格須在結帳頁確認。公司三個月後會公布準時和投訴數字，到時再檢視配送的準時表現。</x:v>
      </x:c>
    </x:row>
    <x:row r="57" ht="66" hidden="0" customHeight="1">
      <x:c r="A57" s="15" t="str">
        <x:v>056</x:v>
      </x:c>
      <x:c r="B57" s="12" t="str">
        <x:v>ZH-GOOD-026</x:v>
      </x:c>
      <x:c r="C57" s="15" t="str">
        <x:v>026</x:v>
      </x:c>
      <x:c r="D57" s="12" t="str">
        <x:v>Good</x:v>
      </x:c>
      <x:c r="E57" s="16" t="n">
        <x:v>70</x:v>
      </x:c>
      <x:c r="F57" s="16" t="n">
        <x:v>84</x:v>
      </x:c>
      <x:c r="G57" s="14" t="str">
        <x:v>銀匙社企與樂齡同行基金9月起在港灣東、北嶺、河畔及新橋試行長者送餐，半年內服務500名經評估的低收入獨居或雙老家庭長者。每人星期一至五各有一份午餐，每份10元，不另收送餐費。12間持牌餐廳按營養師餐單供應普通餐、軟餐和糖尿病友善餐。配送員平日上午11時至下午1時上門，長者連續沒有應門時會聯絡登記的照顧者或社工。8月10日起接受社福、醫療或屋邨辦事處轉介，申請人須年滿65歲。基金投入420萬元，之後會看送達率和滿意度，也會了解膳食是否令人滿意。</x:v>
      </x:c>
    </x:row>
    <x:row r="58" ht="66" hidden="0" customHeight="1">
      <x:c r="A58" s="15" t="str">
        <x:v>057</x:v>
      </x:c>
      <x:c r="B58" s="12" t="str">
        <x:v>ZH-GOOD-027</x:v>
      </x:c>
      <x:c r="C58" s="15" t="str">
        <x:v>027</x:v>
      </x:c>
      <x:c r="D58" s="12" t="str">
        <x:v>Good</x:v>
      </x:c>
      <x:c r="E58" s="16" t="n">
        <x:v>70</x:v>
      </x:c>
      <x:c r="F58" s="16" t="n">
        <x:v>84</x:v>
      </x:c>
      <x:c r="G58" s="14" t="str">
        <x:v>星灣文化事務處將於8月21日至9月6日，逢星期五至日在星灣海濱長廊舉行光影匯。每晚7時30分及8時30分各有一場18分鐘表演，免費入場，投影、激光和音樂會講述港口發展，沿途另有八組藝術家與學生作品。每場最多4,000人，不用預約，額滿便暫停進場。活動日下午5時起海濱東段改單向步行，單車徑暫停。星期六首場有粵語口述影像，無障礙區可預先登記。三號風球或紅、黑雨警告下，當晚節目取消。主辦方建議乘港鐵前往，乘公共交通會比較方便，附近亦沒有活動專用泊車位。</x:v>
      </x:c>
    </x:row>
    <x:row r="59" ht="66" hidden="0" customHeight="1">
      <x:c r="A59" s="15" t="str">
        <x:v>058</x:v>
      </x:c>
      <x:c r="B59" s="12" t="str">
        <x:v>ZH-GOOD-028</x:v>
      </x:c>
      <x:c r="C59" s="15" t="str">
        <x:v>028</x:v>
      </x:c>
      <x:c r="D59" s="12" t="str">
        <x:v>Good</x:v>
      </x:c>
      <x:c r="E59" s="16" t="n">
        <x:v>70</x:v>
      </x:c>
      <x:c r="F59" s="16" t="n">
        <x:v>84</x:v>
      </x:c>
      <x:c r="G59" s="14" t="str">
        <x:v>新域製造投資1.2億元在宏橋工業園建機械人生產線，預計11月完成驗收及投產，主要製造家居能源感應器。38台機械人會做電路板裝嵌、外殼鎖固、視覺檢測和包裝。公司估計月產量由25萬件增至40萬件，瑕疵率由1.7%降至約1.1%。現有140名員工會接受至少80小時培訓，轉做設備監察、保養和品質工作，公司稱不會因這次自動化裁員。新線七成電力來自認證可再生能源，首批產品預計12月付運。公司會在運作六個月後公布能源及產能數據，屆時再交代實際產量。</x:v>
      </x:c>
    </x:row>
    <x:row r="60" ht="79.19999694824219" hidden="0" customHeight="1">
      <x:c r="A60" s="15" t="str">
        <x:v>059</x:v>
      </x:c>
      <x:c r="B60" s="12" t="str">
        <x:v>ZH-GOOD-029</x:v>
      </x:c>
      <x:c r="C60" s="15" t="str">
        <x:v>029</x:v>
      </x:c>
      <x:c r="D60" s="12" t="str">
        <x:v>Good</x:v>
      </x:c>
      <x:c r="E60" s="16" t="n">
        <x:v>70</x:v>
      </x:c>
      <x:c r="F60" s="16" t="n">
        <x:v>84</x:v>
      </x:c>
      <x:c r="G60" s="14" t="str">
        <x:v>守線科技協會8月1日起營運24小時網絡事故熱線3188 7711，協助少於100名僱員的本港中小企處理勒索軟件、釣魚電郵、帳戶被盜及懷疑資料外洩。12名分析員輪班提供初步指引，包括隔離受影響裝置、保存紀錄和重設權限。每宗個案首兩小時遙距協助免費；到場鑑證、系統復修或法律意見會先報價，再由企業決定。公司也可提交網上加密表格。個案紀錄一般在結案90日後刪除，只有企業同意或法律規定時才會向有關機構披露。熱線獲基金資助兩年，首季目標600宗查詢。涉及人身安全仍要打999，緊急情況也仍然應該先求助緊急服務。</x:v>
      </x:c>
    </x:row>
    <x:row r="61" ht="66" hidden="0" customHeight="1">
      <x:c r="A61" s="15" t="str">
        <x:v>060</x:v>
      </x:c>
      <x:c r="B61" s="12" t="str">
        <x:v>ZH-GOOD-030</x:v>
      </x:c>
      <x:c r="C61" s="15" t="str">
        <x:v>030</x:v>
      </x:c>
      <x:c r="D61" s="12" t="str">
        <x:v>Good</x:v>
      </x:c>
      <x:c r="E61" s="16" t="n">
        <x:v>70</x:v>
      </x:c>
      <x:c r="F61" s="16" t="n">
        <x:v>84</x:v>
      </x:c>
      <x:c r="G61" s="14" t="str">
        <x:v>善港基金公布6月水災援助基金首份帳目，截至7月15日收到2,860萬元，已用2,140萬元。當中1,200萬元向港灣東、河畔及新橋1,200戶家庭發放每戶一萬元；650萬元維修13個社區服務設施；240萬元用於清潔用品、臨時床具和運輸；行政開支50萬元。餘下720萬元供第二階段家居及小商戶復修，申請期至8月31日。獨立會計師核對銀行紀錄和抽樣單據，沒有發現未獲批准的支出。網站不公開受助者姓名，但有按地區和用途整理的交易資料。基金會在9月底再發布報告，也會繼續發布帳目資料。</x:v>
      </x:c>
    </x:row>
    <x:row r="62" ht="52.79999923706055" hidden="0" customHeight="1">
      <x:c r="A62" s="15" t="str">
        <x:v>061</x:v>
      </x:c>
      <x:c r="B62" s="12" t="str">
        <x:v>ZH-NORMAL-001</x:v>
      </x:c>
      <x:c r="C62" s="15" t="str">
        <x:v>001</x:v>
      </x:c>
      <x:c r="D62" s="12" t="str">
        <x:v>Normal</x:v>
      </x:c>
      <x:c r="E62" s="16" t="n">
        <x:v>50</x:v>
      </x:c>
      <x:c r="F62" s="16" t="n">
        <x:v>69</x:v>
      </x:c>
      <x:c r="G62" s="14" t="str">
        <x:v>港灣包裝9月底會先辦招聘活動，未來一年想請幾十人，另外荃灣柴灣角廠房也準備擴建。公司投資6,800萬元，加兩條紙餐盒線，說是外賣需求增加，產量完成後會多四成。工程10月開始，明年3月先試，5月才正式用，施工分開做所以送貨照舊。新線用水性塗層和循環用水，排放要少一些；附近商戶有噪音交通可以遲些打去問。擴建面積和查詢方法沒有一齊公布，整件事先請人後開工。</x:v>
      </x:c>
    </x:row>
    <x:row r="63" ht="52.79999923706055" hidden="0" customHeight="1">
      <x:c r="A63" s="15" t="str">
        <x:v>062</x:v>
      </x:c>
      <x:c r="B63" s="12" t="str">
        <x:v>ZH-NORMAL-002</x:v>
      </x:c>
      <x:c r="C63" s="15" t="str">
        <x:v>002</x:v>
      </x:c>
      <x:c r="D63" s="12" t="str">
        <x:v>Normal</x:v>
      </x:c>
      <x:c r="E63" s="16" t="n">
        <x:v>50</x:v>
      </x:c>
      <x:c r="F63" s="16" t="n">
        <x:v>69</x:v>
      </x:c>
      <x:c r="G63" s="14" t="str">
        <x:v>啟航書院8月先收申請，深水埗中一至中三學生要學校或社工推薦，家庭方面亦要交資料。課程10月在星期六上，為期約半年，內容有機械人、編程及數據，最後做社區作品到明年展示。明途基金撥款，學生不用交學費，電腦和交通也有幫一部分，120個位。導師由教師、工程師和大專生一起做，分組就幾個學生一隊。校方說不是只看成績，申請人有動機才得，表格在網上又可以經學校交。</x:v>
      </x:c>
    </x:row>
    <x:row r="64" ht="52.79999923706055" hidden="0" customHeight="1">
      <x:c r="A64" s="15" t="str">
        <x:v>063</x:v>
      </x:c>
      <x:c r="B64" s="12" t="str">
        <x:v>ZH-NORMAL-003</x:v>
      </x:c>
      <x:c r="C64" s="15" t="str">
        <x:v>003</x:v>
      </x:c>
      <x:c r="D64" s="12" t="str">
        <x:v>Normal</x:v>
      </x:c>
      <x:c r="E64" s="16" t="n">
        <x:v>50</x:v>
      </x:c>
      <x:c r="F64" s="16" t="n">
        <x:v>69</x:v>
      </x:c>
      <x:c r="G64" s="14" t="str">
        <x:v>語港智能9月底先做網上示範，10月可登記「粵聲通」，月費由1,280元起兼有短期試用。這個AI給零售餐飲中小企用，廣東話英文電話都會接，文字也可以，商戶先放產品資料入去。退款、投訴會轉真人，其他問題它自己答，信心不足怎樣分就由系統。公司曾找一些店舖試一年，處理時間少三成左右，分派正確有九成幾。資料可以放香港雲端，企業決定留多久；後台看到輪候和熱門問題，幾項功能放在一個畫面處理。</x:v>
      </x:c>
    </x:row>
    <x:row r="65" ht="52.79999923706055" hidden="0" customHeight="1">
      <x:c r="A65" s="15" t="str">
        <x:v>064</x:v>
      </x:c>
      <x:c r="B65" s="12" t="str">
        <x:v>ZH-NORMAL-004</x:v>
      </x:c>
      <x:c r="C65" s="15" t="str">
        <x:v>004</x:v>
      </x:c>
      <x:c r="D65" s="12" t="str">
        <x:v>Normal</x:v>
      </x:c>
      <x:c r="E65" s="16" t="n">
        <x:v>50</x:v>
      </x:c>
      <x:c r="F65" s="16" t="n">
        <x:v>69</x:v>
      </x:c>
      <x:c r="G65" s="14" t="str">
        <x:v>文化墟11月中在海景海濱辦兩日，上午11時到晚上8時免費入場，文化協會估計人會有一萬左右。場內有幾十個攤位，手作、食品和青年產品，粵劇、學生樂隊亦會演出。工作坊部分要10月底在網上先約，飲品杯付20元，還杯就退。海濱路由早上開始分段封，海景站有接駁車，班次約二十分鐘。大雨時節目去社區會堂，八號風球會取消，活動和表演哪部分先停由主辦方更新。場地也說有無障礙通道，入口在哪邊到現場看。</x:v>
      </x:c>
    </x:row>
    <x:row r="66" ht="52.79999923706055" hidden="0" customHeight="1">
      <x:c r="A66" s="15" t="str">
        <x:v>065</x:v>
      </x:c>
      <x:c r="B66" s="12" t="str">
        <x:v>ZH-NORMAL-005</x:v>
      </x:c>
      <x:c r="C66" s="15" t="str">
        <x:v>005</x:v>
      </x:c>
      <x:c r="D66" s="12" t="str">
        <x:v>Normal</x:v>
      </x:c>
      <x:c r="E66" s="16" t="n">
        <x:v>50</x:v>
      </x:c>
      <x:c r="F66" s="16" t="n">
        <x:v>69</x:v>
      </x:c>
      <x:c r="G66" s="14" t="str">
        <x:v>綠峰說88M小巴會繼續試行一段時間，青嶺邨往泊岸站，原本秋天要停的安排先不做。早上那邊較多人，營辦商卻想再看其他時段，之後是否長做還沒有定。秋天起路線中途會多停市政大樓和一個醫療地點，繁忙時間班次會密些，加站後車程亦拖長。周末維持原來服務，何時算繁忙就看新時間表。公司年底再交乘客資料，站牌遲些更新，這些安排對趕車的人要重新預時間。</x:v>
      </x:c>
    </x:row>
    <x:row r="67" ht="52.79999923706055" hidden="0" customHeight="1">
      <x:c r="A67" s="15" t="str">
        <x:v>066</x:v>
      </x:c>
      <x:c r="B67" s="12" t="str">
        <x:v>ZH-NORMAL-006</x:v>
      </x:c>
      <x:c r="C67" s="15" t="str">
        <x:v>006</x:v>
      </x:c>
      <x:c r="D67" s="12" t="str">
        <x:v>Normal</x:v>
      </x:c>
      <x:c r="E67" s="16" t="n">
        <x:v>50</x:v>
      </x:c>
      <x:c r="F67" s="16" t="n">
        <x:v>69</x:v>
      </x:c>
      <x:c r="G67" s="14" t="str">
        <x:v>鮮港會在部分分店試用可重用餐盒，秋天開始，店名要遲些才在網上見到。顧客買熟食可以先付一筆按金取盒，再拿回參與店，款項經電子方式退，但期限和是否任何分店都可以，在結帳那邊先看到。另有一個小額優惠，按金同減價一起出，付款數一加一減。餐盒交回前倒走食物，之後交合作機構處理，家中不用做太多。公司先試一段時間，想減少即棄盒，完結後看情況再決定；沙律及麵食是否每店都有盒，就跟分店供應。</x:v>
      </x:c>
    </x:row>
    <x:row r="68" ht="52.79999923706055" hidden="0" customHeight="1">
      <x:c r="A68" s="15" t="str">
        <x:v>067</x:v>
      </x:c>
      <x:c r="B68" s="12" t="str">
        <x:v>ZH-NORMAL-007</x:v>
      </x:c>
      <x:c r="C68" s="15" t="str">
        <x:v>007</x:v>
      </x:c>
      <x:c r="D68" s="12" t="str">
        <x:v>Normal</x:v>
      </x:c>
      <x:c r="E68" s="16" t="n">
        <x:v>50</x:v>
      </x:c>
      <x:c r="F68" s="16" t="n">
        <x:v>69</x:v>
      </x:c>
      <x:c r="G68" s="14" t="str">
        <x:v>卓峰工業園明年1月會先有兩幢廠房用到太陽能，整個工程其實11月才分階段做，到5月完成。園內八幢天台放3,200塊板，投資2,300萬元，估計公共照明和升降機可用到大約六成電，實際仍要運作後看。星期日會吊運設備，租戶可照常做生意，收到通知就避開相關位置。天台做過負重和消防評估，電力先供公共地方，有剩才入電網。園方會公布發電數，明年再找工程師驗收，減排數字就約七百多公噸。</x:v>
      </x:c>
    </x:row>
    <x:row r="69" ht="52.79999923706055" hidden="0" customHeight="1">
      <x:c r="A69" s="15" t="str">
        <x:v>068</x:v>
      </x:c>
      <x:c r="B69" s="12" t="str">
        <x:v>ZH-NORMAL-008</x:v>
      </x:c>
      <x:c r="C69" s="15" t="str">
        <x:v>008</x:v>
      </x:c>
      <x:c r="D69" s="12" t="str">
        <x:v>Normal</x:v>
      </x:c>
      <x:c r="E69" s="16" t="n">
        <x:v>50</x:v>
      </x:c>
      <x:c r="F69" s="16" t="n">
        <x:v>69</x:v>
      </x:c>
      <x:c r="G69" s="14" t="str">
        <x:v>新界閱讀服務處秋天試行流動圖書車，先去元朗和另外一些新界地區，偏遠居民可在指定日子借書。站點時間要到8月尾才張貼，每處一星期會來幾次，實際停幾耐不同。車上有中英文書，包括兒童和大字版，會員可借還；未入會居民帶資料到場再辦，去到由職員睇。車內也有平板，職員會幫忙電子書，輪椅上落方面有設備。打風落大雨班次可能改，網站會放消息。服務做一段時間後再看哪些地方多人，路線未必照原樣。</x:v>
      </x:c>
    </x:row>
    <x:row r="70" ht="66" hidden="0" customHeight="1">
      <x:c r="A70" s="15" t="str">
        <x:v>069</x:v>
      </x:c>
      <x:c r="B70" s="12" t="str">
        <x:v>ZH-NORMAL-009</x:v>
      </x:c>
      <x:c r="C70" s="15" t="str">
        <x:v>009</x:v>
      </x:c>
      <x:c r="D70" s="12" t="str">
        <x:v>Normal</x:v>
      </x:c>
      <x:c r="E70" s="16" t="n">
        <x:v>50</x:v>
      </x:c>
      <x:c r="F70" s="16" t="n">
        <x:v>69</x:v>
      </x:c>
      <x:c r="G70" s="14" t="str">
        <x:v>清感科技秋天會推出AirSense Mini，九龍灣先有示範，屋企和小店可用來望室內空氣。機身燈色會轉，也量粉塵、氣體和溫濕度，哪些讀數放在手機要連網後再找。用戶大概可看一段時間的紀錄，雲端資料可以刪，通風提示就由應用程式出。產品售價幾百元，家庭基本功能不另收月費，商戶多部一起看要付服務費。公司在一些餐廳試過，之後改提示。它只提供環境資料，保養和校準分開處理，正式賣和預訂相隔一段日子。</x:v>
      </x:c>
    </x:row>
    <x:row r="71" ht="52.79999923706055" hidden="0" customHeight="1">
      <x:c r="A71" s="15" t="str">
        <x:v>070</x:v>
      </x:c>
      <x:c r="B71" s="12" t="str">
        <x:v>ZH-NORMAL-010</x:v>
      </x:c>
      <x:c r="C71" s="15" t="str">
        <x:v>010</x:v>
      </x:c>
      <x:c r="D71" s="12" t="str">
        <x:v>Normal</x:v>
      </x:c>
      <x:c r="E71" s="16" t="n">
        <x:v>50</x:v>
      </x:c>
      <x:c r="F71" s="16" t="n">
        <x:v>69</x:v>
      </x:c>
      <x:c r="G71" s="14" t="str">
        <x:v>經緯物流先說新增職位，葵青配送中心第二期在10月初使用，現時已請到大部分人。工程投資1.6億元，增加12萬平方呎，中心合共42萬平方呎。新倉放電商和零售貨，板位會多約三成，分揀機每小時處理幾千件，條碼有問題再交人看。舊客貨由9月至11月逐批搬，公司稱服務不用停。另有一個溫控區明年才開，不算今次常溫容量。基本倉租暫時不變，首季運作後才看整體表現，個別價錢仍各自傾。</x:v>
      </x:c>
    </x:row>
    <x:row r="72" ht="52.79999923706055" hidden="0" customHeight="1">
      <x:c r="A72" s="15" t="str">
        <x:v>071</x:v>
      </x:c>
      <x:c r="B72" s="12" t="str">
        <x:v>ZH-NORMAL-011</x:v>
      </x:c>
      <x:c r="C72" s="15" t="str">
        <x:v>011</x:v>
      </x:c>
      <x:c r="D72" s="12" t="str">
        <x:v>Normal</x:v>
      </x:c>
      <x:c r="E72" s="16" t="n">
        <x:v>50</x:v>
      </x:c>
      <x:c r="F72" s="16" t="n">
        <x:v>69</x:v>
      </x:c>
      <x:c r="G72" s="14" t="str">
        <x:v>聲橋把護耳講座也放進計劃，居民要上網再看日子和巡迴資料。計劃由8月3日至11月28日，架隔音車先去晴橋邨，再到九龍東一些屋苑，合共有12個。60歲以上免費做，每日30個位；7月20日起電話或網站報名，現場有剩都會收。上車大約25分鐘，先問病歷用藥、望耳，再播放聲音測試，之後職員講一個初步結果，不等同醫生診斷。若有問題便說會轉介，職員講完結果再由另一邊跟進。計劃預計做1,080人，由明音基金出68萬元。</x:v>
      </x:c>
    </x:row>
    <x:row r="73" ht="52.79999923706055" hidden="0" customHeight="1">
      <x:c r="A73" s="15" t="str">
        <x:v>072</x:v>
      </x:c>
      <x:c r="B73" s="12" t="str">
        <x:v>ZH-NORMAL-012</x:v>
      </x:c>
      <x:c r="C73" s="15" t="str">
        <x:v>012</x:v>
      </x:c>
      <x:c r="D73" s="12" t="str">
        <x:v>Normal</x:v>
      </x:c>
      <x:c r="E73" s="16" t="n">
        <x:v>50</x:v>
      </x:c>
      <x:c r="F73" s="16" t="n">
        <x:v>69</x:v>
      </x:c>
      <x:c r="G73" s="14" t="str">
        <x:v>行動不方便的住戶可先找管理處，會有樓梯機或者職員陪同上落，住戶要預約再等安排。翠庭苑三座的六部升降機，工程說由8月10日做到12月18日，每次停一部，同座另一部仍然行。首部是一座東面，每部大約三星期。1,260萬元從維修儲備支付，會換摩打、控制板、門感應及一些照明；工程平日連星期六由朝早做到傍晚，鑽鑿則縮短一些時段，這些時間居民要留意。進度貼大堂和手機程式，零件延誤則稍後再通知。</x:v>
      </x:c>
    </x:row>
    <x:row r="74" ht="52.79999923706055" hidden="0" customHeight="1">
      <x:c r="A74" s="15" t="str">
        <x:v>073</x:v>
      </x:c>
      <x:c r="B74" s="12" t="str">
        <x:v>ZH-NORMAL-013</x:v>
      </x:c>
      <x:c r="C74" s="15" t="str">
        <x:v>013</x:v>
      </x:c>
      <x:c r="D74" s="12" t="str">
        <x:v>Normal</x:v>
      </x:c>
      <x:c r="E74" s="16" t="n">
        <x:v>50</x:v>
      </x:c>
      <x:c r="F74" s="16" t="n">
        <x:v>69</x:v>
      </x:c>
      <x:c r="G74" s="14" t="str">
        <x:v>開幕頭一個月會抽客房收入5%保育展品。至於客房，8月1日開始接預訂，但織港館9月15日才在西九龍開幕。館是1958年的舊紡織貨倉改成，工程做了三年，紅磚和舊屋頂有留下；入面有48間房、餐廳和免費展廊。展廊放工人居民借出的工具、布辦及一些訪問，酒店又說每月有廣東話導賞。旅遊巴要先預約才入到去，新增職位約20份，幾項安排一齊由海織公布。</x:v>
      </x:c>
    </x:row>
    <x:row r="75" ht="52.79999923706055" hidden="0" customHeight="1">
      <x:c r="A75" s="15" t="str">
        <x:v>074</x:v>
      </x:c>
      <x:c r="B75" s="12" t="str">
        <x:v>ZH-NORMAL-014</x:v>
      </x:c>
      <x:c r="C75" s="15" t="str">
        <x:v>014</x:v>
      </x:c>
      <x:c r="D75" s="12" t="str">
        <x:v>Normal</x:v>
      </x:c>
      <x:c r="E75" s="16" t="n">
        <x:v>50</x:v>
      </x:c>
      <x:c r="F75" s="16" t="n">
        <x:v>69</x:v>
      </x:c>
      <x:c r="G75" s="14" t="str">
        <x:v>浪升足球盃冠軍可得3萬元器材錢，參賽隊伍就不用付費。賽事在10月3、4日於將軍澳啟航運動場踢，對象是U15學校和社區隊，共16隊，每隊可有15個球員。第一日分組，第二日由八強一路踢到決賽，男女球員方面則按地區和比例去揀隊。報名由7月20日至8月14日，球員須在2011年1月1日後出生。觀眾也是免費，場內說有水和急救。天氣不行就改10月10、11日，早上經網站或者短訊通知。</x:v>
      </x:c>
    </x:row>
    <x:row r="76" ht="52.79999923706055" hidden="0" customHeight="1">
      <x:c r="A76" s="15" t="str">
        <x:v>075</x:v>
      </x:c>
      <x:c r="B76" s="12" t="str">
        <x:v>ZH-NORMAL-015</x:v>
      </x:c>
      <x:c r="C76" s="15" t="str">
        <x:v>015</x:v>
      </x:c>
      <x:c r="D76" s="12" t="str">
        <x:v>Normal</x:v>
      </x:c>
      <x:c r="E76" s="16" t="n">
        <x:v>50</x:v>
      </x:c>
      <x:c r="F76" s="16" t="n">
        <x:v>69</x:v>
      </x:c>
      <x:c r="G76" s="14" t="str">
        <x:v>8月1日起可先報兩場工作坊，每場40人，活動卻在平台推出那天的下午才舉行。北角城市記憶館會於8月20日上載舊資料，首批8,400項，由1945至2000年的相片、地圖、單據和口述訪問都有，平台中英文及免費。資料是420名居民和商戶有些借、有些捐，整理18個月和獲320萬元基金。版權或私隱項目只看節錄，得到授權的才高解像下載；研究員核對後，市民仍可以交證據改正它。明年還會再放工業和渡海交通內容。</x:v>
      </x:c>
    </x:row>
    <x:row r="77" ht="52.79999923706055" hidden="0" customHeight="1">
      <x:c r="A77" s="15" t="str">
        <x:v>076</x:v>
      </x:c>
      <x:c r="B77" s="12" t="str">
        <x:v>ZH-NORMAL-016</x:v>
      </x:c>
      <x:c r="C77" s="15" t="str">
        <x:v>016</x:v>
      </x:c>
      <x:c r="D77" s="12" t="str">
        <x:v>Normal</x:v>
      </x:c>
      <x:c r="E77" s="16" t="n">
        <x:v>50</x:v>
      </x:c>
      <x:c r="F77" s="16" t="n">
        <x:v>69</x:v>
      </x:c>
      <x:c r="G77" s="14" t="str">
        <x:v>頭三個月金穗會每星期抽查標籤，錯的貨先停售。新標示9月1日在18間店開始，麵包、蛋糕和小食約120款，貨架畫奶、蛋、花生等圖，想看全部材料要用手機掃碼。工場的焗爐很多一起用，即使產品沒有落某種材料，也可能製作時碰到，嚴重過敏客人最好自己問店員。公司說之前盤點九個月，員工亦受過訓。配方有變先改網頁，實物標籤下一批才跟，前後有一段時間不是一樣。</x:v>
      </x:c>
    </x:row>
    <x:row r="78" ht="52.79999923706055" hidden="0" customHeight="1">
      <x:c r="A78" s="15" t="str">
        <x:v>077</x:v>
      </x:c>
      <x:c r="B78" s="12" t="str">
        <x:v>ZH-NORMAL-017</x:v>
      </x:c>
      <x:c r="C78" s="15" t="str">
        <x:v>017</x:v>
      </x:c>
      <x:c r="D78" s="12" t="str">
        <x:v>Normal</x:v>
      </x:c>
      <x:c r="E78" s="16" t="n">
        <x:v>50</x:v>
      </x:c>
      <x:c r="F78" s="16" t="n">
        <x:v>69</x:v>
      </x:c>
      <x:c r="G78" s="14" t="str">
        <x:v>講義說課後一星期放上網。工作坊在8月26日於觀塘創業匯，由同心信貸和東岸商戶聯盟合辦，下午有80個免費位，廣東話去講小企業現金流。內容有13星期預測、追收款、借貸成本及付款騙案，由一名會計師和合作社主管主講。練習的店舖是假的，參加者不用交自己銀行結單。20人以下企業會先收，每間最多兩個，7月22日至8月19日網上登記，之後電郵給結果。場地提供字幕和輪椅可以入。</x:v>
      </x:c>
    </x:row>
    <x:row r="79" ht="52.79999923706055" hidden="0" customHeight="1">
      <x:c r="A79" s="15" t="str">
        <x:v>078</x:v>
      </x:c>
      <x:c r="B79" s="12" t="str">
        <x:v>ZH-NORMAL-018</x:v>
      </x:c>
      <x:c r="C79" s="15" t="str">
        <x:v>018</x:v>
      </x:c>
      <x:c r="D79" s="12" t="str">
        <x:v>Normal</x:v>
      </x:c>
      <x:c r="E79" s="16" t="n">
        <x:v>50</x:v>
      </x:c>
      <x:c r="F79" s="16" t="n">
        <x:v>69</x:v>
      </x:c>
      <x:c r="G79" s="14" t="str">
        <x:v>封橋時要落河畔道燈位繞行，多走約280米，輪椅和嬰兒車應該也可用。河閘行人天橋由8月17日維修至11月6日，連接港盛商場，840萬元主要整防水、接縫、鋼架和LED燈。日頭保留1.5米通道；逢星期一至四晚11時至早5時就全封來運材料，另有9月12、13日及10月17、18日全日封閉，日期很多居民要分開留意。現場會放方向牌，繁忙時有人協助，隔音屏用作減少嘈音。若天氣或檢測影響便可能改期，緊急時再由商場那邊通知，網站和現場牌前後使用。</x:v>
      </x:c>
    </x:row>
    <x:row r="80" ht="52.79999923706055" hidden="0" customHeight="1">
      <x:c r="A80" s="15" t="str">
        <x:v>079</x:v>
      </x:c>
      <x:c r="B80" s="12" t="str">
        <x:v>ZH-NORMAL-019</x:v>
      </x:c>
      <x:c r="C80" s="15" t="str">
        <x:v>019</x:v>
      </x:c>
      <x:c r="D80" s="12" t="str">
        <x:v>Normal</x:v>
      </x:c>
      <x:c r="E80" s="16" t="n">
        <x:v>50</x:v>
      </x:c>
      <x:c r="F80" s="16" t="n">
        <x:v>69</x:v>
      </x:c>
      <x:c r="G80" s="14" t="str">
        <x:v>首兩星期逢星期一、三，和景街市會有人教長者接免費Wi-Fi。服務名叫「市集通」，9月7日開始試到明年2月底，濕貨、熟食和座位附近都有接達點。每次上網60分鐘，到時可以再連；速度每部最多20Mbps。使用者不用填姓名電話，只同意條款，但裝置碼和連線時間會收起約30日，瀏覽內容就說不保存。付款時街市又叫市民用自己可信網絡。計劃拿到190萬元，試完看多人用不和速度再決定。</x:v>
      </x:c>
    </x:row>
    <x:row r="81" ht="52.79999923706055" hidden="0" customHeight="1">
      <x:c r="A81" s="15" t="str">
        <x:v>080</x:v>
      </x:c>
      <x:c r="B81" s="12" t="str">
        <x:v>ZH-NORMAL-020</x:v>
      </x:c>
      <x:c r="C81" s="15" t="str">
        <x:v>020</x:v>
      </x:c>
      <x:c r="D81" s="12" t="str">
        <x:v>Normal</x:v>
      </x:c>
      <x:c r="E81" s="16" t="n">
        <x:v>50</x:v>
      </x:c>
      <x:c r="F81" s="16" t="n">
        <x:v>69</x:v>
      </x:c>
      <x:c r="G81" s="14" t="str">
        <x:v>開幕頭七日充電費八折，佔位費照收。VoltBay在10月12日於東臨工業區開，說是全日服務，共24個充電位，快充和交流位都有，兩種就在後面分開收錢。直流一度3.2元、交流2.4元，充完過15分鐘開始收佔位。車主可用手機約時間，也可以到場拍卡，不一定先做會員。太陽能會供一部分電，電池在繁忙時幫手。職員朝7晚11，其餘時段按對講找人。</x:v>
      </x:c>
    </x:row>
    <x:row r="82" ht="39.599998474121094" hidden="0" customHeight="1">
      <x:c r="A82" s="15" t="str">
        <x:v>081</x:v>
      </x:c>
      <x:c r="B82" s="12" t="str">
        <x:v>ZH-NORMAL-021</x:v>
      </x:c>
      <x:c r="C82" s="15" t="str">
        <x:v>021</x:v>
      </x:c>
      <x:c r="D82" s="12" t="str">
        <x:v>Normal</x:v>
      </x:c>
      <x:c r="E82" s="16" t="n">
        <x:v>50</x:v>
      </x:c>
      <x:c r="F82" s="16" t="n">
        <x:v>69</x:v>
      </x:c>
      <x:c r="G82" s="14" t="str">
        <x:v>東港大學最近公布城市熱島調查，在六區放置120個感應器，大約做了一年。下午較熱，商業地段比海旁高約2.8度，哪些街口最嚴重則只說是沒有遮蔭。大學打算在巴士站和長者設施附近加樹蔭、飲水機，居民秋天前後再開會揀地方，工程就遲些。數據已經放上網，市民可以自行下載，研究想令城市無咁熱，對規劃方面應該有幫助的。</x:v>
      </x:c>
    </x:row>
    <x:row r="83" ht="52.79999923706055" hidden="0" customHeight="1">
      <x:c r="A83" s="15" t="str">
        <x:v>082</x:v>
      </x:c>
      <x:c r="B83" s="12" t="str">
        <x:v>ZH-NORMAL-022</x:v>
      </x:c>
      <x:c r="C83" s="15" t="str">
        <x:v>022</x:v>
      </x:c>
      <x:c r="D83" s="12" t="str">
        <x:v>Normal</x:v>
      </x:c>
      <x:c r="E83" s="16" t="n">
        <x:v>50</x:v>
      </x:c>
      <x:c r="F83" s="16" t="n">
        <x:v>69</x:v>
      </x:c>
      <x:c r="G83" s="14" t="str">
        <x:v>安步社區服務社下月開始在公共屋邨辦防火工作坊，一直做到年底，合共有60場，20個屋邨參加。課堂免費，會講走火、火警鐘、滅火氈和充電安全，家中長者怎樣離開屋企都包括。消防人員和社工做示範，參加者會收到幾種語言的檢查表。報名在7月下旬開始，各邨日子要自己再找；另有部分長者可安排上門看看，但這個不是政府檢查，名額未逐區分開。活動預計幫到三千家庭，成效就明年再問。</x:v>
      </x:c>
    </x:row>
    <x:row r="84" ht="52.79999923706055" hidden="0" customHeight="1">
      <x:c r="A84" s="15" t="str">
        <x:v>083</x:v>
      </x:c>
      <x:c r="B84" s="12" t="str">
        <x:v>ZH-NORMAL-023</x:v>
      </x:c>
      <x:c r="C84" s="15" t="str">
        <x:v>023</x:v>
      </x:c>
      <x:c r="D84" s="12" t="str">
        <x:v>Normal</x:v>
      </x:c>
      <x:c r="E84" s="16" t="n">
        <x:v>50</x:v>
      </x:c>
      <x:c r="F84" s="16" t="n">
        <x:v>69</x:v>
      </x:c>
      <x:c r="G84" s="14" t="str">
        <x:v>環織資源8月在商場和屋苑放舊衣回收箱，共40個，分布在幾個地點。市民可放乾淨衣物、床單和毛巾，鞋同濕衣不要放，布袋也應該可以。收回來的物品每星期送去新田，較好的交社福機構，破的再造，會按不同布料分一分。箱上有二維碼看收運批次，不是逐件追蹤。公司希望一年收到300公噸，之後按季公布數字，居民不用付錢，至於回收不到的布怎樣就再處理。</x:v>
      </x:c>
    </x:row>
    <x:row r="85" ht="52.79999923706055" hidden="0" customHeight="1">
      <x:c r="A85" s="15" t="str">
        <x:v>084</x:v>
      </x:c>
      <x:c r="B85" s="12" t="str">
        <x:v>ZH-NORMAL-024</x:v>
      </x:c>
      <x:c r="C85" s="15" t="str">
        <x:v>024</x:v>
      </x:c>
      <x:c r="D85" s="12" t="str">
        <x:v>Normal</x:v>
      </x:c>
      <x:c r="E85" s="16" t="n">
        <x:v>50</x:v>
      </x:c>
      <x:c r="F85" s="16" t="n">
        <x:v>69</x:v>
      </x:c>
      <x:c r="G85" s="14" t="str">
        <x:v>匠途協會秋天開青年學徒計劃，收18至30歲人士，名額60個。木工、金工、霓虹招牌和舞台道具都可以學，大部分時間在公司做，另外上安全和畫圖課。學員每月有一萬五千元，工具方面由合作公司處理，企業有十多間。申請在8月上半月，沒經驗也可報，之後要面談和試做。做完一年及作品合格會有證書，企業只安排一次見工，不是一定請；學員前面學手藝，後面就轉去就業方面跟。</x:v>
      </x:c>
    </x:row>
    <x:row r="86" ht="52.79999923706055" hidden="0" customHeight="1">
      <x:c r="A86" s="15" t="str">
        <x:v>085</x:v>
      </x:c>
      <x:c r="B86" s="12" t="str">
        <x:v>ZH-NORMAL-025</x:v>
      </x:c>
      <x:c r="C86" s="15" t="str">
        <x:v>025</x:v>
      </x:c>
      <x:c r="D86" s="12" t="str">
        <x:v>Normal</x:v>
      </x:c>
      <x:c r="E86" s="16" t="n">
        <x:v>50</x:v>
      </x:c>
      <x:c r="F86" s="16" t="n">
        <x:v>69</x:v>
      </x:c>
      <x:c r="G86" s="14" t="str">
        <x:v>迅達購8月初擴大即日送貨，北嶺、河畔、新橋及海榮加入，連原有地方共十區。客人在下午2時前付款，可選晚上收貨，運費38元，買滿500元就免運。不是所有貨都可以，冷藏、大型傢俬和跨境貨通常不做，商品要有標誌。公司會加配送站和電動車，每日能處理幾千張單，但各區分到多少未定。打風、黑雨或封路就會停，客人之後改期或者退運費。地址要去到結帳才知道，這個即日其實要先試地址，幾轉折。</x:v>
      </x:c>
    </x:row>
    <x:row r="87" ht="52.79999923706055" hidden="0" customHeight="1">
      <x:c r="A87" s="15" t="str">
        <x:v>086</x:v>
      </x:c>
      <x:c r="B87" s="12" t="str">
        <x:v>ZH-NORMAL-026</x:v>
      </x:c>
      <x:c r="C87" s="15" t="str">
        <x:v>026</x:v>
      </x:c>
      <x:c r="D87" s="12" t="str">
        <x:v>Normal</x:v>
      </x:c>
      <x:c r="E87" s="16" t="n">
        <x:v>50</x:v>
      </x:c>
      <x:c r="F87" s="16" t="n">
        <x:v>69</x:v>
      </x:c>
      <x:c r="G87" s="14" t="str">
        <x:v>銀匙社企9月起在四區試辦長者送餐，先服務約500人，對象是65歲以上、收入較低而獨居或兩老同住的居民。午餐星期一至五送，每份10元，主辦方說不用再付送餐費，其他費用沒有再分。餐膳有普通、軟餐和糖尿病選擇，由多間餐廳負責。申請不能直接落單，要經社福或醫療方面轉介，屋邨辦事處也可能協助。配送員中午前後上門，沒人應門會找照顧者。計劃做一段半年時間，完成後看送得準不準和長者食得怎樣。</x:v>
      </x:c>
    </x:row>
    <x:row r="88" ht="52.79999923706055" hidden="0" customHeight="1">
      <x:c r="A88" s="15" t="str">
        <x:v>087</x:v>
      </x:c>
      <x:c r="B88" s="12" t="str">
        <x:v>ZH-NORMAL-027</x:v>
      </x:c>
      <x:c r="C88" s="15" t="str">
        <x:v>027</x:v>
      </x:c>
      <x:c r="D88" s="12" t="str">
        <x:v>Normal</x:v>
      </x:c>
      <x:c r="E88" s="16" t="n">
        <x:v>50</x:v>
      </x:c>
      <x:c r="F88" s="16" t="n">
        <x:v>69</x:v>
      </x:c>
      <x:c r="G88" s="14" t="str">
        <x:v>星灣海濱8月下旬會辦光影活動，星期五至日晚上有兩場，每場約18分鐘，入場免費。節目用投影、激光和音樂講港口故事，另有一些學生和藝術家作品，活動到9月初完。觀眾不用預約，滿場就截住不再入，每場大概幾千人，兩場的人就到時分開。活動日東段改單向行，單車徑會關，附近又沒專用泊車。星期六第一場有口述影像，無障礙位在活動前幾日登記，入口到時再找。打風或暴雨可能取消，出門前自己查看。</x:v>
      </x:c>
    </x:row>
    <x:row r="89" ht="52.79999923706055" hidden="0" customHeight="1">
      <x:c r="A89" s="15" t="str">
        <x:v>088</x:v>
      </x:c>
      <x:c r="B89" s="12" t="str">
        <x:v>ZH-NORMAL-028</x:v>
      </x:c>
      <x:c r="C89" s="15" t="str">
        <x:v>028</x:v>
      </x:c>
      <x:c r="D89" s="12" t="str">
        <x:v>Normal</x:v>
      </x:c>
      <x:c r="E89" s="16" t="n">
        <x:v>50</x:v>
      </x:c>
      <x:c r="F89" s="16" t="n">
        <x:v>69</x:v>
      </x:c>
      <x:c r="G89" s="14" t="str">
        <x:v>新域製造在宏橋工業園建機械人生產線，投資1.2億元，預計11月左右運作。38台機械人會裝嵌、檢查和包裝家居能源感應器，協作與檢測機械混在同一條線。公司稱月產量由25萬升至40萬件，瑕疵率也會低一點，這些仍是估計。現有員工先培訓再轉崗位，公司說不裁員，部分人看設備，部分做品質。新線有大部分電力來自再生能源，首批貨年尾付運，運作半年再看看產量，能源方面一起看。</x:v>
      </x:c>
    </x:row>
    <x:row r="90" ht="66" hidden="0" customHeight="1">
      <x:c r="A90" s="15" t="str">
        <x:v>089</x:v>
      </x:c>
      <x:c r="B90" s="12" t="str">
        <x:v>ZH-NORMAL-029</x:v>
      </x:c>
      <x:c r="C90" s="15" t="str">
        <x:v>029</x:v>
      </x:c>
      <x:c r="D90" s="12" t="str">
        <x:v>Normal</x:v>
      </x:c>
      <x:c r="E90" s="16" t="n">
        <x:v>50</x:v>
      </x:c>
      <x:c r="F90" s="16" t="n">
        <x:v>69</x:v>
      </x:c>
      <x:c r="G90" s="14" t="str">
        <x:v>守線科技協會8月起提供中小企網絡事故熱線3188 7711，全日都有人接聽。少於100名僱員的本港公司遇到勒索軟件、假電郵或帳戶被盜，可以先問怎樣隔離裝置和改密碼。首兩小時遙距協助免費，再要上門或修復就收費，企業等職員報價才決定。公司也可用網上表格求助。個案資料會保存一段日子，法律需要時可能交給有關機構。若涉及人身安全，仍應使用緊急服務，熱線不是報警。服務首季希望接到很多查詢，是否處理完成就逐宗再看。</x:v>
      </x:c>
    </x:row>
    <x:row r="91" ht="79.19999694824219" hidden="0" customHeight="1">
      <x:c r="A91" s="15" t="str">
        <x:v>090</x:v>
      </x:c>
      <x:c r="B91" s="12" t="str">
        <x:v>ZH-NORMAL-030</x:v>
      </x:c>
      <x:c r="C91" s="15" t="str">
        <x:v>030</x:v>
      </x:c>
      <x:c r="D91" s="12" t="str">
        <x:v>Normal</x:v>
      </x:c>
      <x:c r="E91" s="16" t="n">
        <x:v>50</x:v>
      </x:c>
      <x:c r="F91" s="16" t="n">
        <x:v>69</x:v>
      </x:c>
      <x:c r="G91" s="14" t="str">
        <x:v>善港基金先講第二階段復修，家居和小商戶可申請到8月底，餘下約720萬元留給這部分。水災善款截至7月中收到2,860萬元，已撥出2,140萬元；受影響家庭每戶一萬元，社區地方又要維修，清潔和床具從另一筆拿，幾項款項就一起計了。
基金話有會計人員看過帳目，未見不當支出，受助者姓名就不公開。這次是第一份收支情況，下一次大約9月底再講，網站有些分類數字，但居民要自己逐項找。</x:v>
      </x:c>
    </x:row>
    <x:row r="92" ht="39.599998474121094" hidden="0" customHeight="1">
      <x:c r="A92" s="15" t="str">
        <x:v>091</x:v>
      </x:c>
      <x:c r="B92" s="12" t="str">
        <x:v>ZH-BAD-001</x:v>
      </x:c>
      <x:c r="C92" s="15" t="str">
        <x:v>001</x:v>
      </x:c>
      <x:c r="D92" s="12" t="str">
        <x:v>Bad</x:v>
      </x:c>
      <x:c r="E92" s="16" t="n">
        <x:v>30</x:v>
      </x:c>
      <x:c r="F92" s="16" t="n">
        <x:v>49</x:v>
      </x:c>
      <x:c r="G92" s="14" t="str">
        <x:v>荃灣有間包裝廠要加機做外賣盒，港灣說10月郁工，幾多地方就沒有講實。招聘活動在9月底，工程未開始工人可能先等。公司投資幾千萬，紙盒產量會多，現有貨應該照送，不過附近嘈和有車就自己忍一陣。新設備叫環保水性，廢氣和水會收回再用，做了就乾淨晒。明年先試機再全面開，哪個月不用太執着。</x:v>
      </x:c>
    </x:row>
    <x:row r="93" ht="52.79999923706055" hidden="0" customHeight="1">
      <x:c r="A93" s="15" t="str">
        <x:v>092</x:v>
      </x:c>
      <x:c r="B93" s="12" t="str">
        <x:v>ZH-BAD-002</x:v>
      </x:c>
      <x:c r="C93" s="15" t="str">
        <x:v>002</x:v>
      </x:c>
      <x:c r="D93" s="12" t="str">
        <x:v>Bad</x:v>
      </x:c>
      <x:c r="E93" s="16" t="n">
        <x:v>30</x:v>
      </x:c>
      <x:c r="F93" s="16" t="n">
        <x:v>49</x:v>
      </x:c>
      <x:c r="G93" s="14" t="str">
        <x:v>啟航10月搞科技班，主要給附近一些初中生，家裡冇咁多資源先有機會。要原校或社工推，自己填表未必算，報名在開課前很早就收完。星期六學機械人和寫程式，還要做一份社區東西，老師、大學生、工程人員都有來幫，但誰帶哪班到場才算。基金出錢，所以應該不用交費，交通電腦是不是人人有就看安排。學校話不看成績，肯學就大概收，位不多。</x:v>
      </x:c>
    </x:row>
    <x:row r="94" ht="52.79999923706055" hidden="0" customHeight="1">
      <x:c r="A94" s="15" t="str">
        <x:v>093</x:v>
      </x:c>
      <x:c r="B94" s="12" t="str">
        <x:v>ZH-BAD-003</x:v>
      </x:c>
      <x:c r="C94" s="15" t="str">
        <x:v>003</x:v>
      </x:c>
      <x:c r="D94" s="12" t="str">
        <x:v>Bad</x:v>
      </x:c>
      <x:c r="E94" s="16" t="n">
        <x:v>30</x:v>
      </x:c>
      <x:c r="F94" s="16" t="n">
        <x:v>49</x:v>
      </x:c>
      <x:c r="G94" s="14" t="str">
        <x:v>語港有個粵語AI接客電話，商戶把產品內容放入去，它懂就答，不懂便轉人。餐廳舖頭都可用，英文夾廣東話也聲稱識，退款最好直接推走，免得客人吵。服務秋天開始收費，每月千多元，先免費用幾日；示範在正式開之前，想看的自己上網找。公司拿過一批店試，說快了很多和分部門幾準，都是自己計出來。資料放雲端，保存就商戶設定，私隱應該自己睇實。</x:v>
      </x:c>
    </x:row>
    <x:row r="95" ht="39.599998474121094" hidden="0" customHeight="1">
      <x:c r="A95" s="15" t="str">
        <x:v>094</x:v>
      </x:c>
      <x:c r="B95" s="12" t="str">
        <x:v>ZH-BAD-004</x:v>
      </x:c>
      <x:c r="C95" s="15" t="str">
        <x:v>004</x:v>
      </x:c>
      <x:c r="D95" s="12" t="str">
        <x:v>Bad</x:v>
      </x:c>
      <x:c r="E95" s="16" t="n">
        <x:v>30</x:v>
      </x:c>
      <x:c r="F95" s="16" t="n">
        <x:v>49</x:v>
      </x:c>
      <x:c r="G95" s="14" t="str">
        <x:v>海景海邊11月有兩日墟市，文化協會由朝早做到夜晚，不收門票。有人賣手作和食物，也有學生唱歌、粵劇、小朋友做東西，項目好多，去到有甚麼就看甚麼。喝飲品要先付杯錢，還了才拿回，不想付就不要飲。活動那日條路早上封，港鐵站有車接，但塞車可能照樣塞。落大雨便搬一部分入會堂，打大風就停，主辦方在網上才通知。</x:v>
      </x:c>
    </x:row>
    <x:row r="96" ht="39.599998474121094" hidden="0" customHeight="1">
      <x:c r="A96" s="15" t="str">
        <x:v>095</x:v>
      </x:c>
      <x:c r="B96" s="12" t="str">
        <x:v>ZH-BAD-005</x:v>
      </x:c>
      <x:c r="C96" s="15" t="str">
        <x:v>005</x:v>
      </x:c>
      <x:c r="D96" s="12" t="str">
        <x:v>Bad</x:v>
      </x:c>
      <x:c r="E96" s="16" t="n">
        <x:v>30</x:v>
      </x:c>
      <x:c r="F96" s="16" t="n">
        <x:v>49</x:v>
      </x:c>
      <x:c r="G96" s="14" t="str">
        <x:v>88M小巴本來秋天停，綠峰又讓它行到年底，因為早上有人坐。青嶺邨開去車站，中途會加市政樓和醫院，哪天開始乘客看站牌。加站後車慢一點，繁忙時就密些，其他時間等耐些，周末照跑。車費有正價和優惠價，誰有優惠大概照原本。公司叫乘客掃碼講好不好，年底才決定保不保留；既然多人搭，應該直接長做，不用再試咁多。</x:v>
      </x:c>
    </x:row>
    <x:row r="97" ht="39.599998474121094" hidden="0" customHeight="1">
      <x:c r="A97" s="15" t="str">
        <x:v>096</x:v>
      </x:c>
      <x:c r="B97" s="12" t="str">
        <x:v>ZH-BAD-006</x:v>
      </x:c>
      <x:c r="C97" s="15" t="str">
        <x:v>006</x:v>
      </x:c>
      <x:c r="D97" s="12" t="str">
        <x:v>Bad</x:v>
      </x:c>
      <x:c r="E97" s="16" t="n">
        <x:v>30</x:v>
      </x:c>
      <x:c r="F97" s="16" t="n">
        <x:v>49</x:v>
      </x:c>
      <x:c r="G97" s="14" t="str">
        <x:v>鮮港幾間店秋天開始借飯盒，買熟食先多付一筆，之後拿回去才有錢退。盒不要洗，倒走食物便交，合作公司收去洗，爛的就另外掉。顧客一個月內還比較穩陣，過期怎樣由店員處理。用重用盒會平少少，但付款時先加又減，趕時間很易當買了盒。公司想半年做出環保效果，店名遲些才放網上，未知道去哪間就先不要借。</x:v>
      </x:c>
    </x:row>
    <x:row r="98" ht="39.599998474121094" hidden="0" customHeight="1">
      <x:c r="A98" s="15" t="str">
        <x:v>097</x:v>
      </x:c>
      <x:c r="B98" s="12" t="str">
        <x:v>ZH-BAD-007</x:v>
      </x:c>
      <x:c r="C98" s="15" t="str">
        <x:v>007</x:v>
      </x:c>
      <x:c r="D98" s="12" t="str">
        <x:v>Bad</x:v>
      </x:c>
      <x:c r="E98" s="16" t="n">
        <x:v>30</x:v>
      </x:c>
      <x:c r="F98" s="16" t="n">
        <x:v>49</x:v>
      </x:c>
      <x:c r="G98" s="14" t="str">
        <x:v>屯門卓峰準備在幾座廠房頂裝太陽板，秋天開工，最快明年有電。租戶不用停業，星期日有吊機就自己避一避，公司會提早通知。項目花幾千萬，板很多，園方說可供公共地方大半用電和減少不少碳，還未用就先估好。電有多便送出電網，收入再做工程。天台消防和負重要有人看，真正驗收排在供電之後，機器開到，公司便當它行得。</x:v>
      </x:c>
    </x:row>
    <x:row r="99" ht="52.79999923706055" hidden="0" customHeight="1">
      <x:c r="A99" s="15" t="str">
        <x:v>098</x:v>
      </x:c>
      <x:c r="B99" s="12" t="str">
        <x:v>ZH-BAD-008</x:v>
      </x:c>
      <x:c r="C99" s="15" t="str">
        <x:v>008</x:v>
      </x:c>
      <x:c r="D99" s="12" t="str">
        <x:v>Bad</x:v>
      </x:c>
      <x:c r="E99" s="16" t="n">
        <x:v>30</x:v>
      </x:c>
      <x:c r="F99" s="16" t="n">
        <x:v>49</x:v>
      </x:c>
      <x:c r="G99" s="14" t="str">
        <x:v>打風時圖書車不出，新界閱讀服務處平日會派幾架車去元朗、大埔和北區，9月開始試。每星期來幾次，去邊條村要等告示，錯過就下次。車上有中文英文書，小朋友和老人書都放一齊，會員借還，無證帶文件到車上搞。職員既要開車又要教平板，也要幫登記，繁忙就排隊。輪椅人士應該上到車，設備有沒有每架一樣就到時看。半年後人少的站可能不再去。</x:v>
      </x:c>
    </x:row>
    <x:row r="100" ht="52.79999923706055" hidden="0" customHeight="1">
      <x:c r="A100" s="15" t="str">
        <x:v>099</x:v>
      </x:c>
      <x:c r="B100" s="12" t="str">
        <x:v>ZH-BAD-009</x:v>
      </x:c>
      <x:c r="C100" s="15" t="str">
        <x:v>009</x:v>
      </x:c>
      <x:c r="D100" s="12" t="str">
        <x:v>Bad</x:v>
      </x:c>
      <x:c r="E100" s="16" t="n">
        <x:v>30</x:v>
      </x:c>
      <x:c r="F100" s="16" t="n">
        <x:v>49</x:v>
      </x:c>
      <x:c r="G100" s="14" t="str">
        <x:v>清感有部小機看室內空氣，秋天在網上賣，屋企和店舖都可放。燈變色就叫人開窗，量粉塵、二氧化碳那些，普通人不懂數字也照看顏色。手機可以留一陣紀錄，沒有網絡就可能看不到。買機幾百元，商戶多部機再每月付錢，校準和保養是另外的事。公司曾拿去一些餐廳試，改了提示就推出。它不是醫療儀器，空氣差只會亮燈，想改善自己處理。</x:v>
      </x:c>
    </x:row>
    <x:row r="101" ht="52.79999923706055" hidden="0" customHeight="1">
      <x:c r="A101" s="15" t="str">
        <x:v>100</x:v>
      </x:c>
      <x:c r="B101" s="12" t="str">
        <x:v>ZH-BAD-010</x:v>
      </x:c>
      <x:c r="C101" s="15" t="str">
        <x:v>010</x:v>
      </x:c>
      <x:c r="D101" s="12" t="str">
        <x:v>Bad</x:v>
      </x:c>
      <x:c r="E101" s="16" t="n">
        <x:v>30</x:v>
      </x:c>
      <x:c r="F101" s="16" t="n">
        <x:v>49</x:v>
      </x:c>
      <x:c r="G101" s="14" t="str">
        <x:v>葵青經緯個倉秋天會大一截，舊客的貨早些已開始搬，新區之後才開。公司花很多錢加地方和分貨機，電商貨可以塞多些，條碼錯就叫人手執。招聘了一批倉務和系統人，但還有位未請，做不做得到先照開線。明年另有凍倉，幾多度由客戶需要再較。公司說基本租不加，個別客仍可加，生意就是逐個傾。運作幾個月後才看準時，現在先當擴建有用。</x:v>
      </x:c>
    </x:row>
    <x:row r="102" ht="52.79999923706055" hidden="0" customHeight="1">
      <x:c r="A102" s="15" t="str">
        <x:v>101</x:v>
      </x:c>
      <x:c r="B102" s="12" t="str">
        <x:v>ZH-BAD-011</x:v>
      </x:c>
      <x:c r="C102" s="15" t="str">
        <x:v>011</x:v>
      </x:c>
      <x:c r="D102" s="12" t="str">
        <x:v>Bad</x:v>
      </x:c>
      <x:c r="E102" s="16" t="n">
        <x:v>30</x:v>
      </x:c>
      <x:c r="F102" s="16" t="n">
        <x:v>49</x:v>
      </x:c>
      <x:c r="G102" s="14" t="str">
        <x:v>聲橋有架聽力車，先講11月28日完，又話8月3日才到晴橋邨，九龍東大概行12個屋苑。長者不用錢，究竟要先報還是即場去都得，7月20日電話網站都有寫。每次說25分鐘，一日30個，但車上就是問幾句、望耳和播聲，聽得差便叫人再去診所，這個並非正式看醫生。基金又提68萬元和講座，跟檢查怎樣排在一起沒有講清，總之屋苑名單要自己上網找。</x:v>
      </x:c>
    </x:row>
    <x:row r="103" ht="52.79999923706055" hidden="0" customHeight="1">
      <x:c r="A103" s="15" t="str">
        <x:v>102</x:v>
      </x:c>
      <x:c r="B103" s="12" t="str">
        <x:v>ZH-BAD-012</x:v>
      </x:c>
      <x:c r="C103" s="15" t="str">
        <x:v>012</x:v>
      </x:c>
      <x:c r="D103" s="12" t="str">
        <x:v>Bad</x:v>
      </x:c>
      <x:c r="E103" s="16" t="n">
        <x:v>30</x:v>
      </x:c>
      <x:c r="F103" s="16" t="n">
        <x:v>49</x:v>
      </x:c>
      <x:c r="G103" s="14" t="str">
        <x:v>翠庭苑要整升降機，8月10日先停一座東面，去到12月才算做完三座六部。每部停三星期，同座另一部說會開，所以管理處認為不會太麻煩，不過另一部再壞就叫居民等。工程錢由維修儲備出，共1,260萬元，摩打、門和燈之類都換，工人朝早做到晚上，鑽牆另計。輪椅住戶要自己先通知，可能有樓梯機或叫人陪。大堂貼一次進度，手機又貼同一進度，沒有更新就是仍未更新；零件遲到便遲些再說，居民等到通知就會有通知。</x:v>
      </x:c>
    </x:row>
    <x:row r="104" ht="52.79999923706055" hidden="0" customHeight="1">
      <x:c r="A104" s="15" t="str">
        <x:v>103</x:v>
      </x:c>
      <x:c r="B104" s="12" t="str">
        <x:v>ZH-BAD-013</x:v>
      </x:c>
      <x:c r="C104" s="15" t="str">
        <x:v>013</x:v>
      </x:c>
      <x:c r="D104" s="12" t="str">
        <x:v>Bad</x:v>
      </x:c>
      <x:c r="E104" s="16" t="n">
        <x:v>30</x:v>
      </x:c>
      <x:c r="F104" s="16" t="n">
        <x:v>49</x:v>
      </x:c>
      <x:c r="G104" s="14" t="str">
        <x:v>海織先在8月1日收訂房，9月15日西九龍才開館，未開幕的房已經讓人訂，酒店話這樣就可以。那個1958年舊貨倉整了三年，紅磚和路軌不拆，裡面變酒店又擺工人舊物，住客參觀都在一起。房大約48間，72件工人舊物會擺進房和免費展廊；木梭又拿來做家具，酒店保證承重用新料便沒有問題。投資是1.8億元，之後會請人和辦導賞。客房收入還要抽5%處理展品，但旅遊巴就只說要預約。</x:v>
      </x:c>
    </x:row>
    <x:row r="105" ht="52.79999923706055" hidden="0" customHeight="1">
      <x:c r="A105" s="15" t="str">
        <x:v>104</x:v>
      </x:c>
      <x:c r="B105" s="12" t="str">
        <x:v>ZH-BAD-014</x:v>
      </x:c>
      <x:c r="C105" s="15" t="str">
        <x:v>014</x:v>
      </x:c>
      <x:c r="D105" s="12" t="str">
        <x:v>Bad</x:v>
      </x:c>
      <x:c r="E105" s="16" t="n">
        <x:v>30</x:v>
      </x:c>
      <x:c r="F105" s="16" t="n">
        <x:v>49</x:v>
      </x:c>
      <x:c r="G105" s="14" t="str">
        <x:v>浪升個青年足球盃是10月3日和4日，先報名在7月做到8月，隔了很久才去將軍澳踢。16隊、每隊15個，但有學校又有社區，誰可以入隊沒有說清，只說U15和一個2011年的日期。第一日分組，之後第二日淘汰，可能一直踢到決賽。觀眾不用錢，參賽也好像不用錢，場內有水所以主辦認為應該足夠。冠軍獎3萬元買器材，天氣不好會改10月10、11日，通知要朝早6時自己看網頁，收不到短訊就沒有辦法。</x:v>
      </x:c>
    </x:row>
    <x:row r="106" ht="52.79999923706055" hidden="0" customHeight="1">
      <x:c r="A106" s="15" t="str">
        <x:v>105</x:v>
      </x:c>
      <x:c r="B106" s="12" t="str">
        <x:v>ZH-BAD-015</x:v>
      </x:c>
      <x:c r="C106" s="15" t="str">
        <x:v>015</x:v>
      </x:c>
      <x:c r="D106" s="12" t="str">
        <x:v>Bad</x:v>
      </x:c>
      <x:c r="E106" s="16" t="n">
        <x:v>30</x:v>
      </x:c>
      <x:c r="F106" s="16" t="n">
        <x:v>49</x:v>
      </x:c>
      <x:c r="G106" s="14" t="str">
        <x:v>北角記憶館8月20日把很多舊相放上網，同日下午又辦班，想看資料的人先報工作坊，每班40人，平台免費所以報班也應該免費。資料庫有8,400項，年代去到1945至2000，除了相還有單據和訪問，館方會選一些給下載，牽涉私隱就只給一截。基金出了320萬元整理18個月，居民商戶也交過東西，館方認為放上網便方便所有人。8月1日開報，明年再加內容，未參加班的人之後自己摸索。</x:v>
      </x:c>
    </x:row>
    <x:row r="107" ht="52.79999923706055" hidden="0" customHeight="1">
      <x:c r="A107" s="15" t="str">
        <x:v>106</x:v>
      </x:c>
      <x:c r="B107" s="12" t="str">
        <x:v>ZH-BAD-016</x:v>
      </x:c>
      <x:c r="C107" s="15" t="str">
        <x:v>016</x:v>
      </x:c>
      <x:c r="D107" s="12" t="str">
        <x:v>Bad</x:v>
      </x:c>
      <x:c r="E107" s="16" t="n">
        <x:v>30</x:v>
      </x:c>
      <x:c r="F107" s="16" t="n">
        <x:v>49</x:v>
      </x:c>
      <x:c r="G107" s="14" t="str">
        <x:v>金穗9月1日開始貼新圖，18間店有120款包、蛋糕和小食都包括。八個致敏類別但通告只舉奶蛋花生，其他叫客人掃碼自己看，手機沒有便要問店員。工場焗爐一齊用，沒有落材料都可能沾到，公司又說做了九個月所以應該沒大問題，嚴重過敏人士自行衡量。配方變更先改網頁，包裝遲一批才換，舊貨貼張紙照賣。最初幾個月會抽查，錯了先停，何時再賣就沒有說。</x:v>
      </x:c>
    </x:row>
    <x:row r="108" ht="52.79999923706055" hidden="0" customHeight="1">
      <x:c r="A108" s="15" t="str">
        <x:v>107</x:v>
      </x:c>
      <x:c r="B108" s="12" t="str">
        <x:v>ZH-BAD-017</x:v>
      </x:c>
      <x:c r="C108" s="15" t="str">
        <x:v>017</x:v>
      </x:c>
      <x:c r="D108" s="12" t="str">
        <x:v>Bad</x:v>
      </x:c>
      <x:c r="E108" s="16" t="n">
        <x:v>30</x:v>
      </x:c>
      <x:c r="F108" s="16" t="n">
        <x:v>49</x:v>
      </x:c>
      <x:c r="G108" s="14" t="str">
        <x:v>同心信貸在觀塘辦一個免費班，東岸商戶聯盟也有份，80個位但20個僱員以下公司先拿，每間最多兩人，其他公司報了可能白報。班是8月26日下午，報名由7月22日開始、8月19日就截，結果會在上堂之後再用電郵通知。內容說13星期現金流，又有追款、借錢成本和騙案，全部幾個鐘講完應該很趕。練習用假店資料，所以主辦方叫人不要交銀行結單，現場也不是賣貸款。講義遲些上網，未收電郵的人等收到才下載。</x:v>
      </x:c>
    </x:row>
    <x:row r="109" ht="52.79999923706055" hidden="0" customHeight="1">
      <x:c r="A109" s="15" t="str">
        <x:v>108</x:v>
      </x:c>
      <x:c r="B109" s="12" t="str">
        <x:v>ZH-BAD-018</x:v>
      </x:c>
      <x:c r="C109" s="15" t="str">
        <x:v>018</x:v>
      </x:c>
      <x:c r="D109" s="12" t="str">
        <x:v>Bad</x:v>
      </x:c>
      <x:c r="E109" s="16" t="n">
        <x:v>30</x:v>
      </x:c>
      <x:c r="F109" s="16" t="n">
        <x:v>49</x:v>
      </x:c>
      <x:c r="G109" s="14" t="str">
        <x:v>去港盛商場的河閘天橋要整，8月開始做到11月，日頭留1.5米照行，夜晚又會封，究竟哪些日子可以過要看現場牌。工程用840萬元做防水和油鋼架、換燈等，商場那邊應該會方便很多，但施工期間反而要落地面過馬路。繞路大約280米，輪椅也話可行，沒有講繁忙時會不會塞。星期一至四晚搬材料，另外有幾個周末全日封，日期在9月和10月，記不住就到場再看。天氣差會改，網站可能早兩日出消息。</x:v>
      </x:c>
    </x:row>
    <x:row r="110" ht="52.79999923706055" hidden="0" customHeight="1">
      <x:c r="A110" s="15" t="str">
        <x:v>109</x:v>
      </x:c>
      <x:c r="B110" s="12" t="str">
        <x:v>ZH-BAD-019</x:v>
      </x:c>
      <x:c r="C110" s="15" t="str">
        <x:v>019</x:v>
      </x:c>
      <x:c r="D110" s="12" t="str">
        <x:v>Bad</x:v>
      </x:c>
      <x:c r="E110" s="16" t="n">
        <x:v>30</x:v>
      </x:c>
      <x:c r="F110" s="16" t="n">
        <x:v>49</x:v>
      </x:c>
      <x:c r="G110" s="14" t="str">
        <x:v>和景街市9月開始免費上網，做到明年2月左右，濕貨和熟食那邊都有點，合共36個。每次一個鐘，完了再連便可，所以其實有沒有時限也差不多；速度寫20Mbps，但一般街坊未必明。署方說不用交姓名，轉頭又會留裝置資料30日，還叫人放心付款時用自己的網絡，講法前後很兜。基金出了190萬元，頭兩周有些日子教長者，之後好不好用才決定繼續。</x:v>
      </x:c>
    </x:row>
    <x:row r="111" ht="52.79999923706055" hidden="0" customHeight="1">
      <x:c r="A111" s="15" t="str">
        <x:v>110</x:v>
      </x:c>
      <x:c r="B111" s="12" t="str">
        <x:v>ZH-BAD-020</x:v>
      </x:c>
      <x:c r="C111" s="15" t="str">
        <x:v>020</x:v>
      </x:c>
      <x:c r="D111" s="12" t="str">
        <x:v>Bad</x:v>
      </x:c>
      <x:c r="E111" s="16" t="n">
        <x:v>30</x:v>
      </x:c>
      <x:c r="F111" s="16" t="n">
        <x:v>49</x:v>
      </x:c>
      <x:c r="G111" s="14" t="str">
        <x:v>VoltBay在東臨10月12日開充電場，24小時都有24個位，不過職員只朝7晚11，夜晚的車主自己按對講機試充。車位有快和慢兩種，先說快的3.2元、慢的2.4元，後面又把兩個價連住充電位，車主到場才算。充完15分鐘後收佔位錢，手機可預約30分鐘，預約過了就再預約。首星期八折但佔位照收，公司認為已經很吸引；可以拍卡，不入會也要先用手機處理。</x:v>
      </x:c>
    </x:row>
    <x:row r="112" ht="52.79999923706055" hidden="0" customHeight="1">
      <x:c r="A112" s="15" t="str">
        <x:v>111</x:v>
      </x:c>
      <x:c r="B112" s="12" t="str">
        <x:v>ZH-BAD-021</x:v>
      </x:c>
      <x:c r="C112" s="15" t="str">
        <x:v>021</x:v>
      </x:c>
      <x:c r="D112" s="12" t="str">
        <x:v>Bad</x:v>
      </x:c>
      <x:c r="E112" s="16" t="n">
        <x:v>30</x:v>
      </x:c>
      <x:c r="F112" s="16" t="n">
        <x:v>49</x:v>
      </x:c>
      <x:c r="G112" s="14" t="str">
        <x:v>居民遲些要開會講哪裡太熱，東港大學就話可能加樹，也有飲水。感應器和車在幾區量完才公布，研究去年開始、今年4月完，8月才叫居民從頭揀地方。商業區下午熱過海旁，研究人員說樓多，所以沒有樹的地方一定最熱。資料放上網等人自己看，工程大概不會很快；一邊先問居民，一邊又叫改善很快開始。做了一年左右，公布後才再算哪些地方最熱。</x:v>
      </x:c>
    </x:row>
    <x:row r="113" ht="52.79999923706055" hidden="0" customHeight="1">
      <x:c r="A113" s="15" t="str">
        <x:v>112</x:v>
      </x:c>
      <x:c r="B113" s="12" t="str">
        <x:v>ZH-BAD-022</x:v>
      </x:c>
      <x:c r="C113" s="15" t="str">
        <x:v>022</x:v>
      </x:c>
      <x:c r="D113" s="12" t="str">
        <x:v>Bad</x:v>
      </x:c>
      <x:c r="E113" s="16" t="n">
        <x:v>30</x:v>
      </x:c>
      <x:c r="F113" s="16" t="n">
        <x:v>49</x:v>
      </x:c>
      <x:c r="G113" s="14" t="str">
        <x:v>8月屋邨有防火班，安步一路辦到12月，地點很多，哪一邨先辦就到時貼通告。班內教走火，又拿火警鐘、電池和滅火氈出來講，老人家就另外再算。主辦方面稱免費，報名遲些開始，居民可能要去管理處問。另有職員上門看風險，不是每個家庭都有，也不算消防處正式檢查。學完應該安全好多，至少大家不會再亂充電；60場做完，屋邨火警可能都少了。</x:v>
      </x:c>
    </x:row>
    <x:row r="114" ht="52.79999923706055" hidden="0" customHeight="1">
      <x:c r="A114" s="15" t="str">
        <x:v>113</x:v>
      </x:c>
      <x:c r="B114" s="12" t="str">
        <x:v>ZH-BAD-023</x:v>
      </x:c>
      <x:c r="C114" s="15" t="str">
        <x:v>023</x:v>
      </x:c>
      <x:c r="D114" s="12" t="str">
        <x:v>Bad</x:v>
      </x:c>
      <x:c r="E114" s="16" t="n">
        <x:v>30</x:v>
      </x:c>
      <x:c r="F114" s="16" t="n">
        <x:v>49</x:v>
      </x:c>
      <x:c r="G114" s="14" t="str">
        <x:v>環織下月開始收舊衫，商場和屋苑都會見到箱，位置要上網慢慢找。衣服最好洗過才掉入去，濕的不要，床單毛巾大概都得，鞋就不要亂塞。收走後，一部分給機構，另一部分運去新田整成材料，布太爛可能又丟掉，怎樣分由工場自己決定。公司說這樣比較環保，大家照做就可以，箱滿了也先放旁邊等人收。數量日後才算，暫時只說會有不少箱。</x:v>
      </x:c>
    </x:row>
    <x:row r="115" ht="52.79999923706055" hidden="0" customHeight="1">
      <x:c r="A115" s="15" t="str">
        <x:v>114</x:v>
      </x:c>
      <x:c r="B115" s="12" t="str">
        <x:v>ZH-BAD-024</x:v>
      </x:c>
      <x:c r="C115" s="15" t="str">
        <x:v>024</x:v>
      </x:c>
      <x:c r="D115" s="12" t="str">
        <x:v>Bad</x:v>
      </x:c>
      <x:c r="E115" s="16" t="n">
        <x:v>30</x:v>
      </x:c>
      <x:c r="F115" s="16" t="n">
        <x:v>49</x:v>
      </x:c>
      <x:c r="G115" s="14" t="str">
        <x:v>先在8月報名，過幾個月匠途才叫青年去公司學手藝。年齡大概三十歲以下，沒做過都說可以，實際又要試做和見人。木工、金工那些分到哪間公司未定，學員多數落場，偶爾才上堂，安全就由師傅一路看。每月有些津貼，出勤少了還有沒有就不知道。讀一年可能有證書，企業最多叫去見一次工，所以參加不等於穩陣有職位。名額不多，想做就快點。</x:v>
      </x:c>
    </x:row>
    <x:row r="116" ht="52.79999923706055" hidden="0" customHeight="1">
      <x:c r="A116" s="15" t="str">
        <x:v>115</x:v>
      </x:c>
      <x:c r="B116" s="12" t="str">
        <x:v>ZH-BAD-025</x:v>
      </x:c>
      <x:c r="C116" s="15" t="str">
        <x:v>025</x:v>
      </x:c>
      <x:c r="D116" s="12" t="str">
        <x:v>Bad</x:v>
      </x:c>
      <x:c r="E116" s="16" t="n">
        <x:v>30</x:v>
      </x:c>
      <x:c r="F116" s="16" t="n">
        <x:v>49</x:v>
      </x:c>
      <x:c r="G116" s="14" t="str">
        <x:v>迅達購又說多幾區可以即日送，8月開始，但不是住在那區就一定送到，客人要買完去結帳才知。下午前落單大概夜晚送，遲一點是否算就沒有講得實。運費有時收、有時免，視乎買得夠不夠多；冷藏和大件貨就多數不接。公司加車加站，聲稱每日可以做很多單，黑雨打風便暫停。若趕住用的貨，最好也不要太信即日二字，因為最後仍可能改期。</x:v>
      </x:c>
    </x:row>
    <x:row r="117" ht="52.79999923706055" hidden="0" customHeight="1">
      <x:c r="A117" s="15" t="str">
        <x:v>116</x:v>
      </x:c>
      <x:c r="B117" s="12" t="str">
        <x:v>ZH-BAD-026</x:v>
      </x:c>
      <x:c r="C117" s="15" t="str">
        <x:v>026</x:v>
      </x:c>
      <x:c r="D117" s="12" t="str">
        <x:v>Bad</x:v>
      </x:c>
      <x:c r="E117" s="16" t="n">
        <x:v>30</x:v>
      </x:c>
      <x:c r="F117" s="16" t="n">
        <x:v>49</x:v>
      </x:c>
      <x:c r="G117" s="14" t="str">
        <x:v>9月有一個長者飯計劃，銀匙和一個基金在幾區送，做多久就未說得順。老人家要低收入，獨居或者兩老，但又不能自己報名，要別人轉介，很多人未必知道找誰。平日中午有人送一盒飯，每餐十元，餐廳和營養師會處理軟餐那些。若沒人開門，送餐員會找聯絡人，不會一直等。計劃說有幾百個位，先到是否先得也沒有講，總之不是普通外賣。</x:v>
      </x:c>
    </x:row>
    <x:row r="118" ht="52.79999923706055" hidden="0" customHeight="1">
      <x:c r="A118" s="15" t="str">
        <x:v>117</x:v>
      </x:c>
      <x:c r="B118" s="12" t="str">
        <x:v>ZH-BAD-027</x:v>
      </x:c>
      <x:c r="C118" s="15" t="str">
        <x:v>027</x:v>
      </x:c>
      <x:c r="D118" s="12" t="str">
        <x:v>Bad</x:v>
      </x:c>
      <x:c r="E118" s="16" t="n">
        <x:v>30</x:v>
      </x:c>
      <x:c r="F118" s="16" t="n">
        <x:v>49</x:v>
      </x:c>
      <x:c r="G118" s="14" t="str">
        <x:v>海濱有燈光騷，8月某個周末開，星期五六日先做，之後到9月又逢周末。晚上7點幾開一場，8點幾再開，兩場18分鐘加起來又當一節目。用激光照建築和播音樂，免費入場，滿了就截人，主辦方到場才數人頭。活動開始前單車徑要封，行人只可向一邊走，駕車來基本上自己找位。若有風雨可能取消，也可能臨時改，大家到了才問就很麻煩。星期六口述影像安排在頭場，夜晚8時半到場又被當成頭場；無障礙位不用登記，早點到應該有。</x:v>
      </x:c>
    </x:row>
    <x:row r="119" ht="52.79999923706055" hidden="0" customHeight="1">
      <x:c r="A119" s="15" t="str">
        <x:v>118</x:v>
      </x:c>
      <x:c r="B119" s="12" t="str">
        <x:v>ZH-BAD-028</x:v>
      </x:c>
      <x:c r="C119" s="15" t="str">
        <x:v>028</x:v>
      </x:c>
      <x:c r="D119" s="12" t="str">
        <x:v>Bad</x:v>
      </x:c>
      <x:c r="E119" s="16" t="n">
        <x:v>30</x:v>
      </x:c>
      <x:c r="F119" s="16" t="n">
        <x:v>49</x:v>
      </x:c>
      <x:c r="G119" s="14" t="str">
        <x:v>宏橋工業園將有一條機械人線，新域花了一筆大錢，說11月可以開工，12月就出貨，兩個時間排得很趕。機械人負責裝零件和看貨，至於現時條線怎樣、增加多少產量，只說會快很多。員工要去上課再轉看機，公司口頭表示不會裁，但誰做哪個位仍未安排。電力會用一些再生能源，實際多少遲半年才算。自動化通常都是又快又準，產品應該不會再有瑕疵。</x:v>
      </x:c>
    </x:row>
    <x:row r="120" ht="52.79999923706055" hidden="0" customHeight="1">
      <x:c r="A120" s="15" t="str">
        <x:v>119</x:v>
      </x:c>
      <x:c r="B120" s="12" t="str">
        <x:v>ZH-BAD-029</x:v>
      </x:c>
      <x:c r="C120" s="15" t="str">
        <x:v>029</x:v>
      </x:c>
      <x:c r="D120" s="12" t="str">
        <x:v>Bad</x:v>
      </x:c>
      <x:c r="E120" s="16" t="n">
        <x:v>30</x:v>
      </x:c>
      <x:c r="F120" s="16" t="n">
        <x:v>49</x:v>
      </x:c>
      <x:c r="G120" s="14" t="str">
        <x:v>8月有條電腦事故熱線，守線協會稱中小企中勒索或帳戶不見都可打。電話全日開，但分析員先做甚麼講得很闊，大概叫人關機、改權限和留低紀錄。頭一段支援不用錢，之後上門整機就可能收，價錢由職員再說。網上也有表格，可是公司資料會交去哪邊沒有講清。這不是警方電話，有危險還是要另找緊急服務；但一般老闆打過去，應該就不用自己處理了。</x:v>
      </x:c>
    </x:row>
    <x:row r="121" ht="52.79999923706055" hidden="0" customHeight="1">
      <x:c r="A121" s="15" t="str">
        <x:v>120</x:v>
      </x:c>
      <x:c r="B121" s="12" t="str">
        <x:v>ZH-BAD-030</x:v>
      </x:c>
      <x:c r="C121" s="15" t="str">
        <x:v>030</x:v>
      </x:c>
      <x:c r="D121" s="12" t="str">
        <x:v>Bad</x:v>
      </x:c>
      <x:c r="E121" s="16" t="n">
        <x:v>30</x:v>
      </x:c>
      <x:c r="F121" s="16" t="n">
        <x:v>49</x:v>
      </x:c>
      <x:c r="G121" s="14" t="str">
        <x:v>善港說水災善款已用了一大部分，先講還有七百多萬，後來才提原本收到二千多萬。錢派給受災家庭，也修社區地方和買床具清潔品，每項誰先收到，基金方面只叫人看網站。行政有花費，他們說不算多。會計師看過一些單據就稱沒有問題，名字因私隱不公開。餘款叫居民和小店在8月底前申請，是否人人合資格就到時再問。這次總算有交帳，但仍要等下一次才知是不是全部用得其所。</x:v>
      </x:c>
    </x:row>
    <x:row r="122" ht="39.599998474121094" hidden="0" customHeight="1">
      <x:c r="A122" s="15" t="str">
        <x:v>121</x:v>
      </x:c>
      <x:c r="B122" s="12" t="str">
        <x:v>ZH-EXTREMELY-BAD-001</x:v>
      </x:c>
      <x:c r="C122" s="15" t="str">
        <x:v>001</x:v>
      </x:c>
      <x:c r="D122" s="12" t="str">
        <x:v>Extremely Bad</x:v>
      </x:c>
      <x:c r="E122" s="16" t="n">
        <x:v>0</x:v>
      </x:c>
      <x:c r="F122" s="16" t="n">
        <x:v>29</x:v>
      </x:c>
      <x:c r="G122" s="14" t="str">
        <x:v>港灣包裝搬去荃灣，又沒有搬，廠在旁邊再開。9月工程已完，10月才開始，明年先試機而家已經出貨。兩部紙盒機做外賣，產量少四成也多四成。公司請人先停工，送貨不停但所有訂單暫停。水性廢氣倒入循環水，居民打未開的電話問。</x:v>
      </x:c>
    </x:row>
    <x:row r="123" ht="39.599998474121094" hidden="0" customHeight="1">
      <x:c r="A123" s="15" t="str">
        <x:v>122</x:v>
      </x:c>
      <x:c r="B123" s="12" t="str">
        <x:v>ZH-EXTREMELY-BAD-002</x:v>
      </x:c>
      <x:c r="C123" s="15" t="str">
        <x:v>002</x:v>
      </x:c>
      <x:c r="D123" s="12" t="str">
        <x:v>Extremely Bad</x:v>
      </x:c>
      <x:c r="E123" s="16" t="n">
        <x:v>0</x:v>
      </x:c>
      <x:c r="F123" s="16" t="n">
        <x:v>29</x:v>
      </x:c>
      <x:c r="G123" s="14" t="str">
        <x:v>啟航書院的STEM班給小學和中三以上學生，只收中一至中三。10月已完課，8月才開始報名，星期六上足兩日。學生不用推薦，必須兩間學校和社工一齊推。基金給電腦但每人先交學費，免費名額收費。機械人、交通和家庭證明都拿來做作品，明年4月在上課前展出。</x:v>
      </x:c>
    </x:row>
    <x:row r="124" ht="39.599998474121094" hidden="0" customHeight="1">
      <x:c r="A124" s="15" t="str">
        <x:v>123</x:v>
      </x:c>
      <x:c r="B124" s="12" t="str">
        <x:v>ZH-EXTREMELY-BAD-003</x:v>
      </x:c>
      <x:c r="C124" s="15" t="str">
        <x:v>003</x:v>
      </x:c>
      <x:c r="D124" s="12" t="str">
        <x:v>Extremely Bad</x:v>
      </x:c>
      <x:c r="E124" s="16" t="n">
        <x:v>0</x:v>
      </x:c>
      <x:c r="F124" s="16" t="n">
        <x:v>29</x:v>
      </x:c>
      <x:c r="G124" s="14" t="str">
        <x:v>粵聲通是語港的真人AI，只有文字電話，電話又沒有聲音。商戶不准放產品資料，但系統靠那些資料回答；退款由AI拒絕，真人已經接手又沒有接。10月免費每月收一千幾，十四日就是一年試用。資料不保存，全部留在香港雲端永久。二十間店試過未推出的系統，快慢和準不準都算同一個百分比。</x:v>
      </x:c>
    </x:row>
    <x:row r="125" ht="39.599998474121094" hidden="0" customHeight="1">
      <x:c r="A125" s="15" t="str">
        <x:v>124</x:v>
      </x:c>
      <x:c r="B125" s="12" t="str">
        <x:v>ZH-EXTREMELY-BAD-004</x:v>
      </x:c>
      <x:c r="C125" s="15" t="str">
        <x:v>004</x:v>
      </x:c>
      <x:c r="D125" s="12" t="str">
        <x:v>Extremely Bad</x:v>
      </x:c>
      <x:c r="E125" s="16" t="n">
        <x:v>0</x:v>
      </x:c>
      <x:c r="F125" s="16" t="n">
        <x:v>29</x:v>
      </x:c>
      <x:c r="G125" s="14" t="str">
        <x:v>海景文化墟在11月14日兩日完，15日又是第一日。海濱長廊搬到市民廣場，兩個地方只開一個。免費入場，每人先交20元門票，還杯才退門票。早上11時關門，晚上8時開始。路沒有封，接駁車因封路不能行，車由A出口開回A出口。八號風球照辦，全部活動同時取消。</x:v>
      </x:c>
    </x:row>
    <x:row r="126" ht="39.599998474121094" hidden="0" customHeight="1">
      <x:c r="A126" s="15" t="str">
        <x:v>125</x:v>
      </x:c>
      <x:c r="B126" s="12" t="str">
        <x:v>ZH-EXTREMELY-BAD-005</x:v>
      </x:c>
      <x:c r="C126" s="15" t="str">
        <x:v>005</x:v>
      </x:c>
      <x:c r="D126" s="12" t="str">
        <x:v>Extremely Bad</x:v>
      </x:c>
      <x:c r="E126" s="16" t="n">
        <x:v>0</x:v>
      </x:c>
      <x:c r="F126" s="16" t="n">
        <x:v>29</x:v>
      </x:c>
      <x:c r="G126" s="14" t="str">
        <x:v>綠峰88M已在9月底停駛，12月仍每天試行。車由青嶺邨去泊岸站，也不再去兩邊，10月新增的醫院站在9月拆走。繁忙班次8小時一班，其他8分鐘，周末只在星期一。車費人人3元又收6.5元，長者沒有優惠但全部乘客是長者。公司未收過意見，二維碼已決定路線永久取消和保留。</x:v>
      </x:c>
    </x:row>
    <x:row r="127" ht="39.599998474121094" hidden="0" customHeight="1">
      <x:c r="A127" s="15" t="str">
        <x:v>126</x:v>
      </x:c>
      <x:c r="B127" s="12" t="str">
        <x:v>ZH-EXTREMELY-BAD-006</x:v>
      </x:c>
      <x:c r="C127" s="15" t="str">
        <x:v>006</x:v>
      </x:c>
      <x:c r="D127" s="12" t="str">
        <x:v>Extremely Bad</x:v>
      </x:c>
      <x:c r="E127" s="16" t="n">
        <x:v>0</x:v>
      </x:c>
      <x:c r="F127" s="16" t="n">
        <x:v>29</x:v>
      </x:c>
      <x:c r="G127" s="14" t="str">
        <x:v>鮮港把飯盒賣給客人，20元按金不用還，客人30日內必須退回買斷的盒。計劃10月完結又在10月開始，十二間店只有一間參與。熟食盒減錢，付完優惠反而加價。客人要高溫洗乾淨，中央清洗場不用清洗；破盒繼續借，完整的即日丟掉。按金退給下一位顧客，不是原來那個。</x:v>
      </x:c>
    </x:row>
    <x:row r="128" ht="39.599998474121094" hidden="0" customHeight="1">
      <x:c r="A128" s="15" t="str">
        <x:v>127</x:v>
      </x:c>
      <x:c r="B128" s="12" t="str">
        <x:v>ZH-EXTREMELY-BAD-007</x:v>
      </x:c>
      <x:c r="C128" s="15" t="str">
        <x:v>007</x:v>
      </x:c>
      <x:c r="D128" s="12" t="str">
        <x:v>Extremely Bad</x:v>
      </x:c>
      <x:c r="E128" s="16" t="n">
        <x:v>0</x:v>
      </x:c>
      <x:c r="F128" s="16" t="n">
        <x:v>29</x:v>
      </x:c>
      <x:c r="G128" s="14" t="str">
        <x:v>卓峰八幢廠房只有一個天台，太陽板裝在地下屋頂。工程明年5月開始，1月已經全部供電，11月再拆開施工。租戶照常開工，同一時間全園停業吊運。太陽能先送電網，公共照明用剩下的電，沒有剩也固定送四成。消防未做已驗收，工程師明年來之前已簽完完成證明。</x:v>
      </x:c>
    </x:row>
    <x:row r="129" ht="39.599998474121094" hidden="0" customHeight="1">
      <x:c r="A129" s="15" t="str">
        <x:v>128</x:v>
      </x:c>
      <x:c r="B129" s="12" t="str">
        <x:v>ZH-EXTREMELY-BAD-008</x:v>
      </x:c>
      <x:c r="C129" s="15" t="str">
        <x:v>008</x:v>
      </x:c>
      <x:c r="D129" s="12" t="str">
        <x:v>Extremely Bad</x:v>
      </x:c>
      <x:c r="E129" s="16" t="n">
        <x:v>0</x:v>
      </x:c>
      <x:c r="F129" s="16" t="n">
        <x:v>29</x:v>
      </x:c>
      <x:c r="G129" s="14" t="str">
        <x:v>閱行新界只有一架三輛圖書車，9月先去元朗，不去元朗而改去北區。每站每星期兩日，每次只停一星期。居民有會員證不能借，沒有證即刻借但身份資料不用又必須有。車上沒有書，四千多本全放在三架車內。黑雨照常出車，未出發的班次已回到站；輪椅升降台只給職員上落。</x:v>
      </x:c>
    </x:row>
    <x:row r="130" ht="52.79999923706055" hidden="0" customHeight="1">
      <x:c r="A130" s="15" t="str">
        <x:v>129</x:v>
      </x:c>
      <x:c r="B130" s="12" t="str">
        <x:v>ZH-EXTREMELY-BAD-009</x:v>
      </x:c>
      <x:c r="C130" s="15" t="str">
        <x:v>009</x:v>
      </x:c>
      <x:c r="D130" s="12" t="str">
        <x:v>Extremely Bad</x:v>
      </x:c>
      <x:c r="E130" s="16" t="n">
        <x:v>0</x:v>
      </x:c>
      <x:c r="F130" s="16" t="n">
        <x:v>29</x:v>
      </x:c>
      <x:c r="G130" s="14" t="str">
        <x:v>AirSense Mini在8月已停售，9月才第一次發售。這部機量空氣又不量空氣，紅燈代表很好，綠燈叫人立即通風。手機保存30年紀錄，每30日全部永久不刪。家庭免費取得機器但售價仍是八百幾，商戶一個月只可用十分鐘。清感拿未製造的感應器去餐廳試三個月，醫療診斷不是醫療但可判斷病人。</x:v>
      </x:c>
    </x:row>
    <x:row r="131" ht="39.599998474121094" hidden="0" customHeight="1">
      <x:c r="A131" s="15" t="str">
        <x:v>130</x:v>
      </x:c>
      <x:c r="B131" s="12" t="str">
        <x:v>ZH-EXTREMELY-BAD-010</x:v>
      </x:c>
      <x:c r="C131" s="15" t="str">
        <x:v>010</x:v>
      </x:c>
      <x:c r="D131" s="12" t="str">
        <x:v>Extremely Bad</x:v>
      </x:c>
      <x:c r="E131" s="16" t="n">
        <x:v>0</x:v>
      </x:c>
      <x:c r="F131" s="16" t="n">
        <x:v>29</x:v>
      </x:c>
      <x:c r="G131" s="14" t="str">
        <x:v>經緯葵青倉第二期已在9月關閉，10月才開工，貨在未有倉之前搬入又搬走。新區增加面積，中心反而少了一半地方；凍倉現在開，明年才建，常溫貨全部放在2度。分揀機每小時只處理貨板，包裹一件也不分，條碼錯的自動送回又交人處理。公司請齊所有職位，七成人仍未招聘。倉租不變，每個客戶即日加價。</x:v>
      </x:c>
    </x:row>
    <x:row r="132" ht="39.599998474121094" hidden="0" customHeight="1">
      <x:c r="A132" s="15" t="str">
        <x:v>131</x:v>
      </x:c>
      <x:c r="B132" s="12" t="str">
        <x:v>ZH-EXTREMELY-BAD-011</x:v>
      </x:c>
      <x:c r="C132" s="15" t="str">
        <x:v>011</x:v>
      </x:c>
      <x:c r="D132" s="12" t="str">
        <x:v>Extremely Bad</x:v>
      </x:c>
      <x:c r="E132" s="16" t="n">
        <x:v>0</x:v>
      </x:c>
      <x:c r="F132" s="16" t="n">
        <x:v>29</x:v>
      </x:c>
      <x:c r="G132" s="14" t="str">
        <x:v>聲橋8月3日開車到晴橋，7月20日又先在車上登記，未開車已經上車。九龍東12個屋苑每日一共30個屋苑位，11月28日完，完了的人有問題就再做。60歲免費望耳和播聲，聽到的轉去診所，不是醫生但結果由那架車講。基金68萬又說辦講座，檢查和講座放在同一句。</x:v>
      </x:c>
    </x:row>
    <x:row r="133" ht="39.599998474121094" hidden="0" customHeight="1">
      <x:c r="A133" s="15" t="str">
        <x:v>132</x:v>
      </x:c>
      <x:c r="B133" s="12" t="str">
        <x:v>ZH-EXTREMELY-BAD-012</x:v>
      </x:c>
      <x:c r="C133" s="15" t="str">
        <x:v>012</x:v>
      </x:c>
      <x:c r="D133" s="12" t="str">
        <x:v>Extremely Bad</x:v>
      </x:c>
      <x:c r="E133" s="16" t="n">
        <x:v>0</x:v>
      </x:c>
      <x:c r="F133" s="16" t="n">
        <x:v>29</x:v>
      </x:c>
      <x:c r="G133" s="14" t="str">
        <x:v>翠庭一座東面8月10日停，三座六部同一日逐部停到12月，每部都是三星期，所以六部也是三星期。同座另一部照開，但同座又沒有升降機，輪椅住戶先找管理處上樓梯機，沒有機就由機器的人陪。1,260萬換摩打門燈，工程遲了才出進度，進度出完再決定有沒有停。</x:v>
      </x:c>
    </x:row>
    <x:row r="134" ht="39.599998474121094" hidden="0" customHeight="1">
      <x:c r="A134" s="15" t="str">
        <x:v>133</x:v>
      </x:c>
      <x:c r="B134" s="12" t="str">
        <x:v>ZH-EXTREMELY-BAD-013</x:v>
      </x:c>
      <x:c r="C134" s="15" t="str">
        <x:v>013</x:v>
      </x:c>
      <x:c r="D134" s="12" t="str">
        <x:v>Extremely Bad</x:v>
      </x:c>
      <x:c r="E134" s="16" t="n">
        <x:v>0</x:v>
      </x:c>
      <x:c r="F134" s="16" t="n">
        <x:v>29</x:v>
      </x:c>
      <x:c r="G134" s="14" t="str">
        <x:v>海織8月1日開房，9月15日酒店才接受訂房，先入住後訂也稱織港館開幕。西九龍1958年貨倉整三年，變成48件客房，72間工人舊物放在房內，免費的是住客還是展廊沒有接續。紅磚路軌拿來做家具，木梭就做承重的新料。收入抽住客5%再保育住客，旅遊巴預約了才可訂房。</x:v>
      </x:c>
    </x:row>
    <x:row r="135" ht="39.599998474121094" hidden="0" customHeight="1">
      <x:c r="A135" s="15" t="str">
        <x:v>134</x:v>
      </x:c>
      <x:c r="B135" s="12" t="str">
        <x:v>ZH-EXTREMELY-BAD-014</x:v>
      </x:c>
      <x:c r="C135" s="15" t="str">
        <x:v>014</x:v>
      </x:c>
      <x:c r="D135" s="12" t="str">
        <x:v>Extremely Bad</x:v>
      </x:c>
      <x:c r="E135" s="16" t="n">
        <x:v>0</x:v>
      </x:c>
      <x:c r="F135" s="16" t="n">
        <x:v>29</x:v>
      </x:c>
      <x:c r="G135" s="14" t="str">
        <x:v>浪升U15在啟航運動場，10月3、4日正式比賽，10月10、11日也是正式改期，四日一齊作兩日賽。共有16隊，每隊15人，合共240隊參加，學校社區混住。7月報到8月，第一日先淘汰，第二日再分組後決賽。冠軍和觀眾同樣3萬元免費器材，早上6時比賽完再短訊通知有沒有比賽。</x:v>
      </x:c>
    </x:row>
    <x:row r="136" ht="39.599998474121094" hidden="0" customHeight="1">
      <x:c r="A136" s="15" t="str">
        <x:v>135</x:v>
      </x:c>
      <x:c r="B136" s="12" t="str">
        <x:v>ZH-EXTREMELY-BAD-015</x:v>
      </x:c>
      <x:c r="C136" s="15" t="str">
        <x:v>015</x:v>
      </x:c>
      <x:c r="D136" s="12" t="str">
        <x:v>Extremely Bad</x:v>
      </x:c>
      <x:c r="E136" s="16" t="n">
        <x:v>0</x:v>
      </x:c>
      <x:c r="F136" s="16" t="n">
        <x:v>29</x:v>
      </x:c>
      <x:c r="G136" s="14" t="str">
        <x:v>北角記憶館8月1日推出平台報名，8月20日平台才第一次上網，已推出又未推出。首批8,400名相片由1945個年份到2000年，一些居民有借有捐，基金整理18年，另一段又是18個月。下載有版權便可以，得到授權只看節錄。下午兩場共40個，第一場40、第二場也是合共40，來看舊相的人又變成上堂。</x:v>
      </x:c>
    </x:row>
    <x:row r="137" ht="39.599998474121094" hidden="0" customHeight="1">
      <x:c r="A137" s="15" t="str">
        <x:v>136</x:v>
      </x:c>
      <x:c r="B137" s="12" t="str">
        <x:v>ZH-EXTREMELY-BAD-016</x:v>
      </x:c>
      <x:c r="C137" s="15" t="str">
        <x:v>016</x:v>
      </x:c>
      <x:c r="D137" s="12" t="str">
        <x:v>Extremely Bad</x:v>
      </x:c>
      <x:c r="E137" s="16" t="n">
        <x:v>0</x:v>
      </x:c>
      <x:c r="F137" s="16" t="n">
        <x:v>29</x:v>
      </x:c>
      <x:c r="G137" s="14" t="str">
        <x:v>金穗18店在9月1日貼致敏圖，120間麵包蛋糕一齊換，店和麵包都當成間。奶蛋花生畫八個圖，全部成分掃手機，掃了又不代表入面有沒有。焗爐共用，沒有落都可以有，所以嚴重過敏者問完職員便完全不會有。舊包裝改了又照舊賣，錯漏就停，停了再貼，貼完仍是舊包裝。</x:v>
      </x:c>
    </x:row>
    <x:row r="138" ht="39.599998474121094" hidden="0" customHeight="1">
      <x:c r="A138" s="15" t="str">
        <x:v>137</x:v>
      </x:c>
      <x:c r="B138" s="12" t="str">
        <x:v>ZH-EXTREMELY-BAD-017</x:v>
      </x:c>
      <x:c r="C138" s="15" t="str">
        <x:v>017</x:v>
      </x:c>
      <x:c r="D138" s="12" t="str">
        <x:v>Extremely Bad</x:v>
      </x:c>
      <x:c r="E138" s="16" t="n">
        <x:v>0</x:v>
      </x:c>
      <x:c r="F138" s="16" t="n">
        <x:v>29</x:v>
      </x:c>
      <x:c r="G138" s="14" t="str">
        <x:v>同心信貸7月22日在觀塘上堂，8月26日才辦，8月19日先停課再報名。80間公司免費，每間最多兩個人，後面又只收小公司的20人，所以80個位等於20個。課堂講13星期，但下午幾小時已過了13星期；現金流、追款和借錢騙案由假店交銀行結單。現場不賣貸款，信貸合作社就在現場講借貸，講完不賣又再講。</x:v>
      </x:c>
    </x:row>
    <x:row r="139" ht="39.599998474121094" hidden="0" customHeight="1">
      <x:c r="A139" s="15" t="str">
        <x:v>138</x:v>
      </x:c>
      <x:c r="B139" s="12" t="str">
        <x:v>ZH-EXTREMELY-BAD-018</x:v>
      </x:c>
      <x:c r="C139" s="15" t="str">
        <x:v>018</x:v>
      </x:c>
      <x:c r="D139" s="12" t="str">
        <x:v>Extremely Bad</x:v>
      </x:c>
      <x:c r="E139" s="16" t="n">
        <x:v>0</x:v>
      </x:c>
      <x:c r="F139" s="16" t="n">
        <x:v>29</x:v>
      </x:c>
      <x:c r="G139" s="14" t="str">
        <x:v>河閘天橋8月整到11月，日頭不封，周末日頭又全封，整日開及整日關一齊。夜晚11時後保留1.5米，也同時全段關閉到朝早，行人由那條關閉通道行。去港盛落河畔道，替代通道280米闊並且多走280米。天氣差要先到現場看牌，網站會在改期之後早48小時通知，未改期就已經改了。</x:v>
      </x:c>
    </x:row>
    <x:row r="140" ht="52.79999923706055" hidden="0" customHeight="1">
      <x:c r="A140" s="15" t="str">
        <x:v>139</x:v>
      </x:c>
      <x:c r="B140" s="12" t="str">
        <x:v>ZH-EXTREMELY-BAD-019</x:v>
      </x:c>
      <x:c r="C140" s="15" t="str">
        <x:v>019</x:v>
      </x:c>
      <x:c r="D140" s="12" t="str">
        <x:v>Extremely Bad</x:v>
      </x:c>
      <x:c r="E140" s="16" t="n">
        <x:v>0</x:v>
      </x:c>
      <x:c r="F140" s="16" t="n">
        <x:v>29</x:v>
      </x:c>
      <x:c r="G140" s="14" t="str">
        <x:v>和景街市免費Wi-Fi在9月試到2月，但試驗只做頭兩星期，兩星期做足幾個月。場內36個接達點，每次60分鐘，另一句每部只可20分鐘，60完再接20又再60。姓名電話不用留，裝置資料全部留30日；系統甚麼都不保存，但保存的仍保存，30日後先開始保存。長者有些日子有人教，教完用免費網絡，付款時又要用自己的免費網絡，不用市集通仍然連市集通。基金的錢和會否繼續，說試完再試才決定。</x:v>
      </x:c>
    </x:row>
    <x:row r="141" ht="52.79999923706055" hidden="0" customHeight="1">
      <x:c r="A141" s="15" t="str">
        <x:v>140</x:v>
      </x:c>
      <x:c r="B141" s="12" t="str">
        <x:v>ZH-EXTREMELY-BAD-020</x:v>
      </x:c>
      <x:c r="C141" s="15" t="str">
        <x:v>020</x:v>
      </x:c>
      <x:c r="D141" s="12" t="str">
        <x:v>Extremely Bad</x:v>
      </x:c>
      <x:c r="E141" s="16" t="n">
        <x:v>0</x:v>
      </x:c>
      <x:c r="F141" s="16" t="n">
        <x:v>29</x:v>
      </x:c>
      <x:c r="G141" s="14" t="str">
        <x:v>VoltBay在10月12日東臨開，全天24小時服務，同一段又只叫人朝7至晚11到場，夜晚按對講機但沒有接着說是否可充。場內24個位，每部可充24分鐘，快慢位數目不再提，充完15分鐘又未充完。手機先預約30分鐘，拍卡後再預約，沒有會員也先入會才不用會員。首七日八折，佔位不折；八折收完再收原價佔位，佔位當充電收又說不是充電費。開幕後要等正式開，等到場才算預約。</x:v>
      </x:c>
    </x:row>
    <x:row r="142" ht="39.599998474121094" hidden="0" customHeight="1">
      <x:c r="A142" s="15" t="str">
        <x:v>141</x:v>
      </x:c>
      <x:c r="B142" s="12" t="str">
        <x:v>ZH-EXTREMELY-BAD-021</x:v>
      </x:c>
      <x:c r="C142" s="15" t="str">
        <x:v>021</x:v>
      </x:c>
      <x:c r="D142" s="12" t="str">
        <x:v>Extremely Bad</x:v>
      </x:c>
      <x:c r="E142" s="16" t="n">
        <x:v>0</x:v>
      </x:c>
      <x:c r="F142" s="16" t="n">
        <x:v>29</x:v>
      </x:c>
      <x:c r="G142" s="14" t="str">
        <x:v>東港大學說海旁是最熱，商業區又高過海旁，兩邊都是最高。六區放120個感應器，另一批人只帶十二個，去年5月做到今年4月但研究只有三個月。下午三時之後先種樹，居民8月開會已經決定好未定的地點。數據未公開，大家又可以上網下載，巴士站飲水點先做還是沒有工程。</x:v>
      </x:c>
    </x:row>
    <x:row r="143" ht="39.599998474121094" hidden="0" customHeight="1">
      <x:c r="A143" s="15" t="str">
        <x:v>142</x:v>
      </x:c>
      <x:c r="B143" s="12" t="str">
        <x:v>ZH-EXTREMELY-BAD-022</x:v>
      </x:c>
      <x:c r="C143" s="15" t="str">
        <x:v>022</x:v>
      </x:c>
      <x:c r="D143" s="12" t="str">
        <x:v>Extremely Bad</x:v>
      </x:c>
      <x:c r="E143" s="16" t="n">
        <x:v>0</x:v>
      </x:c>
      <x:c r="F143" s="16" t="n">
        <x:v>29</x:v>
      </x:c>
      <x:c r="G143" s="14" t="str">
        <x:v>安步和消防那邊8月開始防火班，7月已經完成第一輪。20個屋邨共60個家庭，每個家庭又有60場，數目一路加。火警鐘、走火和電池都教，獨居長者上門替人檢查，長者自己也是檢查員。報名免費，居民先付費留位；活動做到12月，10月就全部完結。</x:v>
      </x:c>
    </x:row>
    <x:row r="144" ht="39.599998474121094" hidden="0" customHeight="1">
      <x:c r="A144" s="15" t="str">
        <x:v>143</x:v>
      </x:c>
      <x:c r="B144" s="12" t="str">
        <x:v>ZH-EXTREMELY-BAD-023</x:v>
      </x:c>
      <x:c r="C144" s="15" t="str">
        <x:v>023</x:v>
      </x:c>
      <x:c r="D144" s="12" t="str">
        <x:v>Extremely Bad</x:v>
      </x:c>
      <x:c r="E144" s="16" t="n">
        <x:v>0</x:v>
      </x:c>
      <x:c r="F144" s="16" t="n">
        <x:v>29</x:v>
      </x:c>
      <x:c r="G144" s="14" t="str">
        <x:v>環織8月放40個箱，也是40個地點，每個商場有十二個箱，屋苑又只有八個。濕衫不收，工作人員叫居民未乾都直接放入去；鞋可以回收，鞋又一律拒收。好衫拿去造隔音棉，爛布派給人再穿。每星期運新田，也說全年只運一次。二維碼追到每件衣服，但掃完只見箱的地址，三百噸究竟是每月還是一天。</x:v>
      </x:c>
    </x:row>
    <x:row r="145" ht="39.599998474121094" hidden="0" customHeight="1">
      <x:c r="A145" s="15" t="str">
        <x:v>144</x:v>
      </x:c>
      <x:c r="B145" s="12" t="str">
        <x:v>ZH-EXTREMELY-BAD-024</x:v>
      </x:c>
      <x:c r="C145" s="15" t="str">
        <x:v>024</x:v>
      </x:c>
      <x:c r="D145" s="12" t="str">
        <x:v>Extremely Bad</x:v>
      </x:c>
      <x:c r="E145" s="16" t="n">
        <x:v>0</x:v>
      </x:c>
      <x:c r="F145" s="16" t="n">
        <x:v>29</x:v>
      </x:c>
      <x:c r="G145" s="14" t="str">
        <x:v>匠途招18至30歲學徒，超過30歲也正是主要對象，未滿30反而不收。8月開課，10月才接受申請，申請完又在8月面談。津貼每月一萬五，全年合共也是一萬五。木工、霓虹和舞台項目，學員全日在公司，同時全日留在課室。完成就保證有工作，企業只會給一次面試，證書未上課已經派。</x:v>
      </x:c>
    </x:row>
    <x:row r="146" ht="39.599998474121094" hidden="0" customHeight="1">
      <x:c r="A146" s="15" t="str">
        <x:v>145</x:v>
      </x:c>
      <x:c r="B146" s="12" t="str">
        <x:v>ZH-EXTREMELY-BAD-025</x:v>
      </x:c>
      <x:c r="C146" s="15" t="str">
        <x:v>025</x:v>
      </x:c>
      <x:c r="D146" s="12" t="str">
        <x:v>Extremely Bad</x:v>
      </x:c>
      <x:c r="E146" s="16" t="n">
        <x:v>0</x:v>
      </x:c>
      <x:c r="F146" s="16" t="n">
        <x:v>29</x:v>
      </x:c>
      <x:c r="G146" s="14" t="str">
        <x:v>迅達購即日送貨由十區減到四區，同日公布新增四區後合共十區，範圍前後相反。8月5日開始，下午4時落單也當成2時前。運費38元，一時說全免，一時要買滿五百。冷藏貨不送，同時列在可送貨品內。打風會改期又會照送，客人最後只知道去結帳碰碰運氣。</x:v>
      </x:c>
    </x:row>
    <x:row r="147" ht="39.599998474121094" hidden="0" customHeight="1">
      <x:c r="A147" s="15" t="str">
        <x:v>146</x:v>
      </x:c>
      <x:c r="B147" s="12" t="str">
        <x:v>ZH-EXTREMELY-BAD-026</x:v>
      </x:c>
      <x:c r="C147" s="15" t="str">
        <x:v>026</x:v>
      </x:c>
      <x:c r="D147" s="12" t="str">
        <x:v>Extremely Bad</x:v>
      </x:c>
      <x:c r="E147" s="16" t="n">
        <x:v>0</x:v>
      </x:c>
      <x:c r="F147" s="16" t="n">
        <x:v>29</x:v>
      </x:c>
      <x:c r="G147" s="14" t="str">
        <x:v>銀匙9月送長者飯，四區有500餐，同時又是500個人每日五餐。每份十元，全部免費，連送餐也不知道算哪一邊。65歲可自己打電話，申請又一定要社工轉介，兩種方法撞在一起。餐廳上門，配送員在長者家煮完再送上門，主體混了；沒開門兩次就取消，亦會繼續送並找照顧者。</x:v>
      </x:c>
    </x:row>
    <x:row r="148" ht="39.599998474121094" hidden="0" customHeight="1">
      <x:c r="A148" s="15" t="str">
        <x:v>147</x:v>
      </x:c>
      <x:c r="B148" s="12" t="str">
        <x:v>ZH-EXTREMELY-BAD-027</x:v>
      </x:c>
      <x:c r="C148" s="15" t="str">
        <x:v>027</x:v>
      </x:c>
      <x:c r="D148" s="12" t="str">
        <x:v>Extremely Bad</x:v>
      </x:c>
      <x:c r="E148" s="16" t="n">
        <x:v>0</x:v>
      </x:c>
      <x:c r="F148" s="16" t="n">
        <x:v>29</x:v>
      </x:c>
      <x:c r="G148" s="14" t="str">
        <x:v>星灣光影騷由8月21日做到8月6日，完結日早過開場。活動逢五六日，也叫觀眾每日晚上去。7點半有18分鐘，8點半是另一場又不是另一場。免費入場，所有人必須先買票；海濱設活動泊車，現場同時沒有任何車位。三號風球照常，遇上三號風球立即取消。激光、單車路、口述影像全擠在一起，文化處不是主辦又負責全場。</x:v>
      </x:c>
    </x:row>
    <x:row r="149" ht="39.599998474121094" hidden="0" customHeight="1">
      <x:c r="A149" s="15" t="str">
        <x:v>148</x:v>
      </x:c>
      <x:c r="B149" s="12" t="str">
        <x:v>ZH-EXTREMELY-BAD-028</x:v>
      </x:c>
      <x:c r="C149" s="15" t="str">
        <x:v>028</x:v>
      </x:c>
      <x:c r="D149" s="12" t="str">
        <x:v>Extremely Bad</x:v>
      </x:c>
      <x:c r="E149" s="16" t="n">
        <x:v>0</x:v>
      </x:c>
      <x:c r="F149" s="16" t="n">
        <x:v>29</x:v>
      </x:c>
      <x:c r="G149" s="14" t="str">
        <x:v>新域在宏橋裝38部機械人，公司同時稱共有83部，都是做感應器。11月未驗收，12月的貨已經全部交完。產量由25萬加到40萬，每月又只剩20萬，升還是跌都算增加。公司保證140人不裁員，重複職位全部裁走；八十小時培訓要上八十日。七成電力是再生能源，新線仍全部用普通電，兩種電同時佔十成。</x:v>
      </x:c>
    </x:row>
    <x:row r="150" ht="52.79999923706055" hidden="0" customHeight="1">
      <x:c r="A150" s="15" t="str">
        <x:v>149</x:v>
      </x:c>
      <x:c r="B150" s="12" t="str">
        <x:v>ZH-EXTREMELY-BAD-029</x:v>
      </x:c>
      <x:c r="C150" s="15" t="str">
        <x:v>029</x:v>
      </x:c>
      <x:c r="D150" s="12" t="str">
        <x:v>Extremely Bad</x:v>
      </x:c>
      <x:c r="E150" s="16" t="n">
        <x:v>0</x:v>
      </x:c>
      <x:c r="F150" s="16" t="n">
        <x:v>29</x:v>
      </x:c>
      <x:c r="G150" s="14" t="str">
        <x:v>守線熱線3188 7711在8月1日開始24小時，只在朝九晚五接聽。少於100人的公司可以用，一百人以下企業又不合資格。首兩小時免費，接通電話立即收兩小時費用。勒索、假電郵和人身危險都打這裡，人身危險同時必須另打999。個案90日刪除，所有紀錄永久交給不同機構，企業不用同意也要同意。</x:v>
      </x:c>
    </x:row>
    <x:row r="151" ht="39.599998474121094" hidden="0" customHeight="1">
      <x:c r="A151" s="15" t="str">
        <x:v>150</x:v>
      </x:c>
      <x:c r="B151" s="12" t="str">
        <x:v>ZH-EXTREMELY-BAD-030</x:v>
      </x:c>
      <x:c r="C151" s="15" t="str">
        <x:v>030</x:v>
      </x:c>
      <x:c r="D151" s="12" t="str">
        <x:v>Extremely Bad</x:v>
      </x:c>
      <x:c r="E151" s="16" t="n">
        <x:v>0</x:v>
      </x:c>
      <x:c r="F151" s="16" t="n">
        <x:v>29</x:v>
      </x:c>
      <x:c r="G151" s="14" t="str">
        <x:v>善港水災基金收到2,860萬，已用2,140萬，餘款是1,720萬，三筆錢同時都是總數。派給1,200戶每戶一萬，實際只派了120戶，受助地方有三區和十三區。維修13個中心的650萬全部又算做清潔費，行政50萬等於沒有行政費。7月15日的報告在6月水災前一年已完成。餘款8月才申請，去年已經截止；受助人姓名全部公開，但網站不列任何姓名。</x:v>
      </x:c>
    </x:row>
  </x:sheetData>
  <x:pageMargins left="0.7" right="0.7" top="0.75" bottom="0.75" header="0.3" footer="0.3"/>
  <x:tableParts count="1">
    <x:tablePart xmlns:r="http://schemas.openxmlformats.org/officeDocument/2006/relationships" r:id="Rba42ff02697d43d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25" hidden="0" customWidth="1"/>
    <x:col min="3" max="3" width="11" hidden="0" customWidth="1"/>
    <x:col min="4" max="4" width="17" hidden="0" customWidth="1"/>
    <x:col min="5" max="5" width="12" hidden="0" customWidth="1"/>
    <x:col min="6" max="6" width="12" hidden="0" customWidth="1"/>
    <x:col min="7" max="7" width="9" hidden="0" customWidth="1"/>
    <x:col min="8" max="8" width="14" hidden="0" customWidth="1"/>
    <x:col min="9" max="9" width="14" hidden="0" customWidth="1"/>
    <x:col min="10" max="10" width="11" hidden="0" customWidth="1"/>
    <x:col min="11" max="11" width="10" hidden="0" customWidth="1"/>
    <x:col min="12" max="12" width="14" hidden="0" customWidth="1"/>
    <x:col min="13" max="13" width="14" hidden="0" customWidth="1"/>
    <x:col min="14" max="14" width="11" hidden="0" customWidth="1"/>
    <x:col min="15" max="15" width="12" hidden="0" customWidth="1"/>
    <x:col min="16" max="16" width="12" hidden="0" customWidth="1"/>
    <x:col min="17" max="17" width="14" hidden="0" customWidth="1"/>
    <x:col min="18" max="18" width="13" hidden="0" customWidth="1"/>
    <x:col min="19" max="19" width="12" hidden="0" customWidth="1"/>
    <x:col min="20" max="20" width="12" hidden="0" customWidth="1"/>
    <x:col min="21" max="21" width="17" hidden="0" customWidth="1"/>
    <x:col min="22" max="22" width="14" hidden="0" customWidth="1"/>
    <x:col min="23" max="23" width="22" hidden="0" customWidth="1"/>
    <x:col min="24" max="24" width="18" hidden="0" customWidth="1"/>
    <x:col min="25" max="25" width="10" hidden="0" customWidth="1"/>
    <x:col min="26" max="26" width="12" hidden="0" customWidth="1"/>
    <x:col min="27" max="27" width="13" hidden="0" customWidth="1"/>
    <x:col min="28" max="28" width="24" hidden="0" customWidth="1"/>
    <x:col min="29" max="29" width="44" hidden="0" customWidth="1"/>
    <x:col min="30" max="30" width="10" hidden="0" customWidth="1"/>
    <x:col min="31" max="31" width="16" hidden="0" customWidth="1"/>
    <x:col min="32" max="32" width="22" hidden="0" customWidth="1"/>
    <x:col min="33" max="33" width="23" hidden="0" customWidth="1"/>
    <x:col min="34" max="34" width="11" hidden="0" customWidth="1"/>
  </x:cols>
  <x:sheetData>
    <x:row r="1">
      <x:c r="A1" s="9" t="str">
        <x:v>Global order</x:v>
      </x:c>
      <x:c r="B1" s="10" t="str">
        <x:v>Draft ID</x:v>
      </x:c>
      <x:c r="C1" s="10" t="str">
        <x:v>Scenario ID</x:v>
      </x:c>
      <x:c r="D1" s="10" t="str">
        <x:v>Category</x:v>
      </x:c>
      <x:c r="E1" s="10" t="str">
        <x:v>Expected minimum</x:v>
      </x:c>
      <x:c r="F1" s="10" t="str">
        <x:v>Expected maximum</x:v>
      </x:c>
      <x:c r="G1" s="10" t="str">
        <x:v>Repeat</x:v>
      </x:c>
      <x:c r="H1" s="10" t="str">
        <x:v>Actual overall score</x:v>
      </x:c>
      <x:c r="I1" s="10" t="str">
        <x:v>Factual completeness</x:v>
      </x:c>
      <x:c r="J1" s="10" t="str">
        <x:v>Structure</x:v>
      </x:c>
      <x:c r="K1" s="10" t="str">
        <x:v>Clarity</x:v>
      </x:c>
      <x:c r="L1" s="10" t="str">
        <x:v>Language quality</x:v>
      </x:c>
      <x:c r="M1" s="10" t="str">
        <x:v>Professionalism</x:v>
      </x:c>
      <x:c r="N1" s="10" t="str">
        <x:v>Attribution</x:v>
      </x:c>
      <x:c r="O1" s="10" t="str">
        <x:v>Weighted score</x:v>
      </x:c>
      <x:c r="P1" s="10" t="str">
        <x:v>Applied score cap</x:v>
      </x:c>
      <x:c r="Q1" s="10" t="str">
        <x:v>In expected range</x:v>
      </x:c>
      <x:c r="R1" s="10" t="str">
        <x:v>Distance from range</x:v>
      </x:c>
      <x:c r="S1" s="10" t="str">
        <x:v>Distance below</x:v>
      </x:c>
      <x:c r="T1" s="10" t="str">
        <x:v>Distance above</x:v>
      </x:c>
      <x:c r="U1" s="10" t="str">
        <x:v>Predicted category</x:v>
      </x:c>
      <x:c r="V1" s="10" t="str">
        <x:v>Category correct</x:v>
      </x:c>
      <x:c r="W1" s="10" t="str">
        <x:v>Readiness band</x:v>
      </x:c>
      <x:c r="X1" s="10" t="str">
        <x:v>Decision</x:v>
      </x:c>
      <x:c r="Y1" s="10" t="str">
        <x:v>Pass score</x:v>
      </x:c>
      <x:c r="Z1" s="10" t="str">
        <x:v>Test status</x:v>
      </x:c>
      <x:c r="AA1" s="10" t="str">
        <x:v>Error type</x:v>
      </x:c>
      <x:c r="AB1" s="10" t="str">
        <x:v>Error code</x:v>
      </x:c>
      <x:c r="AC1" s="10" t="str">
        <x:v>Error message</x:v>
      </x:c>
      <x:c r="AD1" s="10" t="str">
        <x:v>Retry count</x:v>
      </x:c>
      <x:c r="AE1" s="10" t="str">
        <x:v>Response time (ms)</x:v>
      </x:c>
      <x:c r="AF1" s="10" t="str">
        <x:v>Model name</x:v>
      </x:c>
      <x:c r="AG1" s="10" t="str">
        <x:v>Test timestamp</x:v>
      </x:c>
      <x:c r="AH1" s="11" t="str">
        <x:v>HTTP status</x:v>
      </x:c>
    </x:row>
    <x:row r="2">
      <x:c r="A2" s="17" t="str">
        <x:v>001</x:v>
      </x:c>
      <x:c r="B2" t="str">
        <x:v>ZH-EXCELLENT-001</x:v>
      </x:c>
      <x:c r="C2" s="17" t="str">
        <x:v>001</x:v>
      </x:c>
      <x:c r="D2" t="str">
        <x:v>Excellent</x:v>
      </x:c>
      <x:c r="E2" t="n">
        <x:v>85</x:v>
      </x:c>
      <x:c r="F2" t="n">
        <x:v>100</x:v>
      </x:c>
      <x:c r="G2" t="n">
        <x:v>1</x:v>
      </x:c>
      <x:c r="H2" s="18" t="n">
        <x:v>89</x:v>
      </x:c>
      <x:c r="I2" s="18" t="n">
        <x:v>94</x:v>
      </x:c>
      <x:c r="J2" s="18" t="n">
        <x:v>85</x:v>
      </x:c>
      <x:c r="K2" s="18" t="n">
        <x:v>96</x:v>
      </x:c>
      <x:c r="L2" s="18" t="n">
        <x:v>95</x:v>
      </x:c>
      <x:c r="M2" s="18" t="n">
        <x:v>96</x:v>
      </x:c>
      <x:c r="N2" s="18" t="n">
        <x:v>95</x:v>
      </x:c>
      <x:c r="O2" s="18" t="n">
        <x:v>93</x:v>
      </x:c>
      <x:c r="P2" s="18" t="n">
        <x:v>89</x:v>
      </x:c>
      <x:c r="Q2" t="str">
        <x:v>Yes</x:v>
      </x:c>
      <x:c r="R2" s="18" t="n">
        <x:v>0</x:v>
      </x:c>
      <x:c r="S2" s="18" t="n">
        <x:v>0</x:v>
      </x:c>
      <x:c r="T2" s="18" t="n">
        <x:v>0</x:v>
      </x:c>
      <x:c r="U2" t="str">
        <x:v>Excellent</x:v>
      </x:c>
      <x:c r="V2" t="str">
        <x:v>Yes</x:v>
      </x:c>
      <x:c r="W2" t="str">
        <x:v>STRONG_LIMITED_EDITING</x:v>
      </x:c>
      <x:c r="X2" t="str">
        <x:v>PASS</x:v>
      </x:c>
      <x:c r="Y2" t="n">
        <x:v>80</x:v>
      </x:c>
      <x:c r="Z2" t="str">
        <x:v>Success</x:v>
      </x:c>
      <x:c r="AA2"/>
      <x:c r="AB2"/>
      <x:c r="AC2" s="13"/>
      <x:c r="AD2" t="n">
        <x:v>0</x:v>
      </x:c>
      <x:c r="AE2" s="19" t="n">
        <x:v>87673</x:v>
      </x:c>
      <x:c r="AF2" t="str">
        <x:v>deepseek-v4-pro</x:v>
      </x:c>
      <x:c r="AG2" s="20" t="n">
        <x:v>46223.37101195602</x:v>
      </x:c>
      <x:c r="AH2" t="n">
        <x:v>200</x:v>
      </x:c>
    </x:row>
    <x:row r="3">
      <x:c r="A3" s="17" t="str">
        <x:v>002</x:v>
      </x:c>
      <x:c r="B3" t="str">
        <x:v>ZH-EXCELLENT-002</x:v>
      </x:c>
      <x:c r="C3" s="17" t="str">
        <x:v>002</x:v>
      </x:c>
      <x:c r="D3" t="str">
        <x:v>Excellent</x:v>
      </x:c>
      <x:c r="E3" t="n">
        <x:v>85</x:v>
      </x:c>
      <x:c r="F3" t="n">
        <x:v>100</x:v>
      </x:c>
      <x:c r="G3" t="n">
        <x:v>1</x:v>
      </x:c>
      <x:c r="H3" s="18" t="n">
        <x:v>96</x:v>
      </x:c>
      <x:c r="I3" s="18" t="n">
        <x:v>98</x:v>
      </x:c>
      <x:c r="J3" s="18" t="n">
        <x:v>93</x:v>
      </x:c>
      <x:c r="K3" s="18" t="n">
        <x:v>97</x:v>
      </x:c>
      <x:c r="L3" s="18" t="n">
        <x:v>98</x:v>
      </x:c>
      <x:c r="M3" s="18" t="n">
        <x:v>97</x:v>
      </x:c>
      <x:c r="N3" s="18" t="n">
        <x:v>95</x:v>
      </x:c>
      <x:c r="O3" s="18" t="n">
        <x:v>96</x:v>
      </x:c>
      <x:c r="P3" s="18"/>
      <x:c r="Q3" t="str">
        <x:v>Yes</x:v>
      </x:c>
      <x:c r="R3" s="18" t="n">
        <x:v>0</x:v>
      </x:c>
      <x:c r="S3" s="18" t="n">
        <x:v>0</x:v>
      </x:c>
      <x:c r="T3" s="18" t="n">
        <x:v>0</x:v>
      </x:c>
      <x:c r="U3" t="str">
        <x:v>Excellent</x:v>
      </x:c>
      <x:c r="V3" t="str">
        <x:v>Yes</x:v>
      </x:c>
      <x:c r="W3" t="str">
        <x:v>PUBLICATION_READY</x:v>
      </x:c>
      <x:c r="X3" t="str">
        <x:v>PASS</x:v>
      </x:c>
      <x:c r="Y3" t="n">
        <x:v>80</x:v>
      </x:c>
      <x:c r="Z3" t="str">
        <x:v>Success</x:v>
      </x:c>
      <x:c r="AA3"/>
      <x:c r="AB3"/>
      <x:c r="AC3" s="13"/>
      <x:c r="AD3" t="n">
        <x:v>0</x:v>
      </x:c>
      <x:c r="AE3" s="19" t="n">
        <x:v>32276</x:v>
      </x:c>
      <x:c r="AF3" t="str">
        <x:v>deepseek-v4-pro</x:v>
      </x:c>
      <x:c r="AG3" s="20" t="n">
        <x:v>46224.11413125</x:v>
      </x:c>
      <x:c r="AH3" t="n">
        <x:v>200</x:v>
      </x:c>
    </x:row>
    <x:row r="4">
      <x:c r="A4" s="17" t="str">
        <x:v>003</x:v>
      </x:c>
      <x:c r="B4" t="str">
        <x:v>ZH-EXCELLENT-003</x:v>
      </x:c>
      <x:c r="C4" s="17" t="str">
        <x:v>003</x:v>
      </x:c>
      <x:c r="D4" t="str">
        <x:v>Excellent</x:v>
      </x:c>
      <x:c r="E4" t="n">
        <x:v>85</x:v>
      </x:c>
      <x:c r="F4" t="n">
        <x:v>100</x:v>
      </x:c>
      <x:c r="G4" t="n">
        <x:v>1</x:v>
      </x:c>
      <x:c r="H4" s="18" t="n">
        <x:v>89</x:v>
      </x:c>
      <x:c r="I4" s="18" t="n">
        <x:v>92</x:v>
      </x:c>
      <x:c r="J4" s="18" t="n">
        <x:v>85</x:v>
      </x:c>
      <x:c r="K4" s="18" t="n">
        <x:v>88</x:v>
      </x:c>
      <x:c r="L4" s="18" t="n">
        <x:v>90</x:v>
      </x:c>
      <x:c r="M4" s="18" t="n">
        <x:v>88</x:v>
      </x:c>
      <x:c r="N4" s="18" t="n">
        <x:v>90</x:v>
      </x:c>
      <x:c r="O4" s="18" t="n">
        <x:v>89</x:v>
      </x:c>
      <x:c r="P4" s="18" t="n">
        <x:v>89</x:v>
      </x:c>
      <x:c r="Q4" t="str">
        <x:v>Yes</x:v>
      </x:c>
      <x:c r="R4" s="18" t="n">
        <x:v>0</x:v>
      </x:c>
      <x:c r="S4" s="18" t="n">
        <x:v>0</x:v>
      </x:c>
      <x:c r="T4" s="18" t="n">
        <x:v>0</x:v>
      </x:c>
      <x:c r="U4" t="str">
        <x:v>Excellent</x:v>
      </x:c>
      <x:c r="V4" t="str">
        <x:v>Yes</x:v>
      </x:c>
      <x:c r="W4" t="str">
        <x:v>STRONG_LIMITED_EDITING</x:v>
      </x:c>
      <x:c r="X4" t="str">
        <x:v>PASS</x:v>
      </x:c>
      <x:c r="Y4" t="n">
        <x:v>80</x:v>
      </x:c>
      <x:c r="Z4" t="str">
        <x:v>Success</x:v>
      </x:c>
      <x:c r="AA4"/>
      <x:c r="AB4"/>
      <x:c r="AC4" s="13"/>
      <x:c r="AD4" t="n">
        <x:v>0</x:v>
      </x:c>
      <x:c r="AE4" s="19" t="n">
        <x:v>84322</x:v>
      </x:c>
      <x:c r="AF4" t="str">
        <x:v>deepseek-v4-pro</x:v>
      </x:c>
      <x:c r="AG4" s="20" t="n">
        <x:v>46224.11510722222</x:v>
      </x:c>
      <x:c r="AH4" t="n">
        <x:v>200</x:v>
      </x:c>
    </x:row>
    <x:row r="5">
      <x:c r="A5" s="17" t="str">
        <x:v>004</x:v>
      </x:c>
      <x:c r="B5" t="str">
        <x:v>ZH-EXCELLENT-004</x:v>
      </x:c>
      <x:c r="C5" s="17" t="str">
        <x:v>004</x:v>
      </x:c>
      <x:c r="D5" t="str">
        <x:v>Excellent</x:v>
      </x:c>
      <x:c r="E5" t="n">
        <x:v>85</x:v>
      </x:c>
      <x:c r="F5" t="n">
        <x:v>100</x:v>
      </x:c>
      <x:c r="G5" t="n">
        <x:v>1</x:v>
      </x:c>
      <x:c r="H5" s="18" t="n">
        <x:v>74</x:v>
      </x:c>
      <x:c r="I5" s="18" t="n">
        <x:v>80</x:v>
      </x:c>
      <x:c r="J5" s="18" t="n">
        <x:v>85</x:v>
      </x:c>
      <x:c r="K5" s="18" t="n">
        <x:v>95</x:v>
      </x:c>
      <x:c r="L5" s="18" t="n">
        <x:v>95</x:v>
      </x:c>
      <x:c r="M5" s="18" t="n">
        <x:v>82</x:v>
      </x:c>
      <x:c r="N5" s="18" t="n">
        <x:v>65</x:v>
      </x:c>
      <x:c r="O5" s="18" t="n">
        <x:v>84</x:v>
      </x:c>
      <x:c r="P5" s="18" t="n">
        <x:v>74</x:v>
      </x:c>
      <x:c r="Q5" t="str">
        <x:v>No</x:v>
      </x:c>
      <x:c r="R5" s="18" t="n">
        <x:v>11</x:v>
      </x:c>
      <x:c r="S5" s="18" t="n">
        <x:v>11</x:v>
      </x:c>
      <x:c r="T5" s="18" t="n">
        <x:v>0</x:v>
      </x:c>
      <x:c r="U5" t="str">
        <x:v>Good</x:v>
      </x:c>
      <x:c r="V5" t="str">
        <x:v>No</x:v>
      </x:c>
      <x:c r="W5" t="str">
        <x:v>SUBSTANTIAL_REWRITE</x:v>
      </x:c>
      <x:c r="X5" t="str">
        <x:v>REWRITE_REQUIRED</x:v>
      </x:c>
      <x:c r="Y5" t="n">
        <x:v>80</x:v>
      </x:c>
      <x:c r="Z5" t="str">
        <x:v>Success</x:v>
      </x:c>
      <x:c r="AA5"/>
      <x:c r="AB5"/>
      <x:c r="AC5" s="13"/>
      <x:c r="AD5" t="n">
        <x:v>0</x:v>
      </x:c>
      <x:c r="AE5" s="19" t="n">
        <x:v>171462</x:v>
      </x:c>
      <x:c r="AF5" t="str">
        <x:v>deepseek-v4-pro</x:v>
      </x:c>
      <x:c r="AG5" s="20" t="n">
        <x:v>46224.11709177084</x:v>
      </x:c>
      <x:c r="AH5" t="n">
        <x:v>200</x:v>
      </x:c>
    </x:row>
    <x:row r="6">
      <x:c r="A6" s="17" t="str">
        <x:v>005</x:v>
      </x:c>
      <x:c r="B6" t="str">
        <x:v>ZH-EXCELLENT-005</x:v>
      </x:c>
      <x:c r="C6" s="17" t="str">
        <x:v>005</x:v>
      </x:c>
      <x:c r="D6" t="str">
        <x:v>Excellent</x:v>
      </x:c>
      <x:c r="E6" t="n">
        <x:v>85</x:v>
      </x:c>
      <x:c r="F6" t="n">
        <x:v>100</x:v>
      </x:c>
      <x:c r="G6" t="n">
        <x:v>1</x:v>
      </x:c>
      <x:c r="H6" s="18" t="n">
        <x:v>95</x:v>
      </x:c>
      <x:c r="I6" s="18" t="n">
        <x:v>92</x:v>
      </x:c>
      <x:c r="J6" s="18" t="n">
        <x:v>95</x:v>
      </x:c>
      <x:c r="K6" s="18" t="n">
        <x:v>95</x:v>
      </x:c>
      <x:c r="L6" s="18" t="n">
        <x:v>98</x:v>
      </x:c>
      <x:c r="M6" s="18" t="n">
        <x:v>95</x:v>
      </x:c>
      <x:c r="N6" s="18" t="n">
        <x:v>95</x:v>
      </x:c>
      <x:c r="O6" s="18" t="n">
        <x:v>95</x:v>
      </x:c>
      <x:c r="P6" s="18"/>
      <x:c r="Q6" t="str">
        <x:v>Yes</x:v>
      </x:c>
      <x:c r="R6" s="18" t="n">
        <x:v>0</x:v>
      </x:c>
      <x:c r="S6" s="18" t="n">
        <x:v>0</x:v>
      </x:c>
      <x:c r="T6" s="18" t="n">
        <x:v>0</x:v>
      </x:c>
      <x:c r="U6" t="str">
        <x:v>Excellent</x:v>
      </x:c>
      <x:c r="V6" t="str">
        <x:v>Yes</x:v>
      </x:c>
      <x:c r="W6" t="str">
        <x:v>PUBLICATION_READY</x:v>
      </x:c>
      <x:c r="X6" t="str">
        <x:v>PASS</x:v>
      </x:c>
      <x:c r="Y6" t="n">
        <x:v>80</x:v>
      </x:c>
      <x:c r="Z6" t="str">
        <x:v>Success</x:v>
      </x:c>
      <x:c r="AA6"/>
      <x:c r="AB6"/>
      <x:c r="AC6" s="13"/>
      <x:c r="AD6" t="n">
        <x:v>0</x:v>
      </x:c>
      <x:c r="AE6" s="19" t="n">
        <x:v>58968</x:v>
      </x:c>
      <x:c r="AF6" t="str">
        <x:v>deepseek-v4-pro</x:v>
      </x:c>
      <x:c r="AG6" s="20" t="n">
        <x:v>46224.11777430555</x:v>
      </x:c>
      <x:c r="AH6" t="n">
        <x:v>200</x:v>
      </x:c>
    </x:row>
    <x:row r="7">
      <x:c r="A7" s="17" t="str">
        <x:v>006</x:v>
      </x:c>
      <x:c r="B7" t="str">
        <x:v>ZH-EXCELLENT-006</x:v>
      </x:c>
      <x:c r="C7" s="17" t="str">
        <x:v>006</x:v>
      </x:c>
      <x:c r="D7" t="str">
        <x:v>Excellent</x:v>
      </x:c>
      <x:c r="E7" t="n">
        <x:v>85</x:v>
      </x:c>
      <x:c r="F7" t="n">
        <x:v>100</x:v>
      </x:c>
      <x:c r="G7" t="n">
        <x:v>1</x:v>
      </x:c>
      <x:c r="H7" s="18" t="n">
        <x:v>89</x:v>
      </x:c>
      <x:c r="I7" s="18" t="n">
        <x:v>95</x:v>
      </x:c>
      <x:c r="J7" s="18" t="n">
        <x:v>95</x:v>
      </x:c>
      <x:c r="K7" s="18" t="n">
        <x:v>95</x:v>
      </x:c>
      <x:c r="L7" s="18" t="n">
        <x:v>95</x:v>
      </x:c>
      <x:c r="M7" s="18" t="n">
        <x:v>95</x:v>
      </x:c>
      <x:c r="N7" s="18" t="n">
        <x:v>78</x:v>
      </x:c>
      <x:c r="O7" s="18" t="n">
        <x:v>93</x:v>
      </x:c>
      <x:c r="P7" s="18" t="n">
        <x:v>89</x:v>
      </x:c>
      <x:c r="Q7" t="str">
        <x:v>Yes</x:v>
      </x:c>
      <x:c r="R7" s="18" t="n">
        <x:v>0</x:v>
      </x:c>
      <x:c r="S7" s="18" t="n">
        <x:v>0</x:v>
      </x:c>
      <x:c r="T7" s="18" t="n">
        <x:v>0</x:v>
      </x:c>
      <x:c r="U7" t="str">
        <x:v>Excellent</x:v>
      </x:c>
      <x:c r="V7" t="str">
        <x:v>Yes</x:v>
      </x:c>
      <x:c r="W7" t="str">
        <x:v>STRONG_LIMITED_EDITING</x:v>
      </x:c>
      <x:c r="X7" t="str">
        <x:v>PASS</x:v>
      </x:c>
      <x:c r="Y7" t="n">
        <x:v>80</x:v>
      </x:c>
      <x:c r="Z7" t="str">
        <x:v>Success</x:v>
      </x:c>
      <x:c r="AA7"/>
      <x:c r="AB7"/>
      <x:c r="AC7" s="13"/>
      <x:c r="AD7" t="n">
        <x:v>0</x:v>
      </x:c>
      <x:c r="AE7" s="19" t="n">
        <x:v>128229</x:v>
      </x:c>
      <x:c r="AF7" t="str">
        <x:v>deepseek-v4-pro</x:v>
      </x:c>
      <x:c r="AG7" s="20" t="n">
        <x:v>46224.119258530096</x:v>
      </x:c>
      <x:c r="AH7" t="n">
        <x:v>200</x:v>
      </x:c>
    </x:row>
    <x:row r="8">
      <x:c r="A8" s="17" t="str">
        <x:v>007</x:v>
      </x:c>
      <x:c r="B8" t="str">
        <x:v>ZH-EXCELLENT-007</x:v>
      </x:c>
      <x:c r="C8" s="17" t="str">
        <x:v>007</x:v>
      </x:c>
      <x:c r="D8" t="str">
        <x:v>Excellent</x:v>
      </x:c>
      <x:c r="E8" t="n">
        <x:v>85</x:v>
      </x:c>
      <x:c r="F8" t="n">
        <x:v>100</x:v>
      </x:c>
      <x:c r="G8" t="n">
        <x:v>1</x:v>
      </x:c>
      <x:c r="H8" s="18" t="n">
        <x:v>89</x:v>
      </x:c>
      <x:c r="I8" s="18" t="n">
        <x:v>88</x:v>
      </x:c>
      <x:c r="J8" s="18" t="n">
        <x:v>88</x:v>
      </x:c>
      <x:c r="K8" s="18" t="n">
        <x:v>95</x:v>
      </x:c>
      <x:c r="L8" s="18" t="n">
        <x:v>95</x:v>
      </x:c>
      <x:c r="M8" s="18" t="n">
        <x:v>95</x:v>
      </x:c>
      <x:c r="N8" s="18" t="n">
        <x:v>95</x:v>
      </x:c>
      <x:c r="O8" s="18" t="n">
        <x:v>92</x:v>
      </x:c>
      <x:c r="P8" s="18" t="n">
        <x:v>89</x:v>
      </x:c>
      <x:c r="Q8" t="str">
        <x:v>Yes</x:v>
      </x:c>
      <x:c r="R8" s="18" t="n">
        <x:v>0</x:v>
      </x:c>
      <x:c r="S8" s="18" t="n">
        <x:v>0</x:v>
      </x:c>
      <x:c r="T8" s="18" t="n">
        <x:v>0</x:v>
      </x:c>
      <x:c r="U8" t="str">
        <x:v>Excellent</x:v>
      </x:c>
      <x:c r="V8" t="str">
        <x:v>Yes</x:v>
      </x:c>
      <x:c r="W8" t="str">
        <x:v>STRONG_LIMITED_EDITING</x:v>
      </x:c>
      <x:c r="X8" t="str">
        <x:v>PASS</x:v>
      </x:c>
      <x:c r="Y8" t="n">
        <x:v>80</x:v>
      </x:c>
      <x:c r="Z8" t="str">
        <x:v>Success</x:v>
      </x:c>
      <x:c r="AA8"/>
      <x:c r="AB8"/>
      <x:c r="AC8" s="13"/>
      <x:c r="AD8" t="n">
        <x:v>0</x:v>
      </x:c>
      <x:c r="AE8" s="19" t="n">
        <x:v>113042</x:v>
      </x:c>
      <x:c r="AF8" t="str">
        <x:v>deepseek-v4-pro</x:v>
      </x:c>
      <x:c r="AG8" s="20" t="n">
        <x:v>46224.12056693287</x:v>
      </x:c>
      <x:c r="AH8" t="n">
        <x:v>200</x:v>
      </x:c>
    </x:row>
    <x:row r="9">
      <x:c r="A9" s="17" t="str">
        <x:v>008</x:v>
      </x:c>
      <x:c r="B9" t="str">
        <x:v>ZH-EXCELLENT-008</x:v>
      </x:c>
      <x:c r="C9" s="17" t="str">
        <x:v>008</x:v>
      </x:c>
      <x:c r="D9" t="str">
        <x:v>Excellent</x:v>
      </x:c>
      <x:c r="E9" t="n">
        <x:v>85</x:v>
      </x:c>
      <x:c r="F9" t="n">
        <x:v>100</x:v>
      </x:c>
      <x:c r="G9" t="n">
        <x:v>1</x:v>
      </x:c>
      <x:c r="H9" s="18" t="n">
        <x:v>89</x:v>
      </x:c>
      <x:c r="I9" s="18" t="n">
        <x:v>95</x:v>
      </x:c>
      <x:c r="J9" s="18" t="n">
        <x:v>95</x:v>
      </x:c>
      <x:c r="K9" s="18" t="n">
        <x:v>95</x:v>
      </x:c>
      <x:c r="L9" s="18" t="n">
        <x:v>98</x:v>
      </x:c>
      <x:c r="M9" s="18" t="n">
        <x:v>95</x:v>
      </x:c>
      <x:c r="N9" s="18" t="n">
        <x:v>85</x:v>
      </x:c>
      <x:c r="O9" s="18" t="n">
        <x:v>94</x:v>
      </x:c>
      <x:c r="P9" s="18" t="n">
        <x:v>89</x:v>
      </x:c>
      <x:c r="Q9" t="str">
        <x:v>Yes</x:v>
      </x:c>
      <x:c r="R9" s="18" t="n">
        <x:v>0</x:v>
      </x:c>
      <x:c r="S9" s="18" t="n">
        <x:v>0</x:v>
      </x:c>
      <x:c r="T9" s="18" t="n">
        <x:v>0</x:v>
      </x:c>
      <x:c r="U9" t="str">
        <x:v>Excellent</x:v>
      </x:c>
      <x:c r="V9" t="str">
        <x:v>Yes</x:v>
      </x:c>
      <x:c r="W9" t="str">
        <x:v>STRONG_LIMITED_EDITING</x:v>
      </x:c>
      <x:c r="X9" t="str">
        <x:v>PASS</x:v>
      </x:c>
      <x:c r="Y9" t="n">
        <x:v>80</x:v>
      </x:c>
      <x:c r="Z9" t="str">
        <x:v>Success</x:v>
      </x:c>
      <x:c r="AA9"/>
      <x:c r="AB9"/>
      <x:c r="AC9" s="13"/>
      <x:c r="AD9" t="n">
        <x:v>0</x:v>
      </x:c>
      <x:c r="AE9" s="19" t="n">
        <x:v>169306</x:v>
      </x:c>
      <x:c r="AF9" t="str">
        <x:v>deepseek-v4-pro</x:v>
      </x:c>
      <x:c r="AG9" s="20" t="n">
        <x:v>46224.12252657407</x:v>
      </x:c>
      <x:c r="AH9" t="n">
        <x:v>200</x:v>
      </x:c>
    </x:row>
    <x:row r="10">
      <x:c r="A10" s="17" t="str">
        <x:v>009</x:v>
      </x:c>
      <x:c r="B10" t="str">
        <x:v>ZH-EXCELLENT-009</x:v>
      </x:c>
      <x:c r="C10" s="17" t="str">
        <x:v>009</x:v>
      </x:c>
      <x:c r="D10" t="str">
        <x:v>Excellent</x:v>
      </x:c>
      <x:c r="E10" t="n">
        <x:v>85</x:v>
      </x:c>
      <x:c r="F10" t="n">
        <x:v>100</x:v>
      </x:c>
      <x:c r="G10" t="n">
        <x:v>1</x:v>
      </x:c>
      <x:c r="H10" s="18" t="n">
        <x:v>83</x:v>
      </x:c>
      <x:c r="I10" s="18" t="n">
        <x:v>82</x:v>
      </x:c>
      <x:c r="J10" s="18" t="n">
        <x:v>80</x:v>
      </x:c>
      <x:c r="K10" s="18" t="n">
        <x:v>85</x:v>
      </x:c>
      <x:c r="L10" s="18" t="n">
        <x:v>90</x:v>
      </x:c>
      <x:c r="M10" s="18" t="n">
        <x:v>85</x:v>
      </x:c>
      <x:c r="N10" s="18" t="n">
        <x:v>78</x:v>
      </x:c>
      <x:c r="O10" s="18" t="n">
        <x:v>83</x:v>
      </x:c>
      <x:c r="P10" s="18" t="n">
        <x:v>89</x:v>
      </x:c>
      <x:c r="Q10" t="str">
        <x:v>No</x:v>
      </x:c>
      <x:c r="R10" s="18" t="n">
        <x:v>2</x:v>
      </x:c>
      <x:c r="S10" s="18" t="n">
        <x:v>2</x:v>
      </x:c>
      <x:c r="T10" s="18" t="n">
        <x:v>0</x:v>
      </x:c>
      <x:c r="U10" t="str">
        <x:v>Good</x:v>
      </x:c>
      <x:c r="V10" t="str">
        <x:v>No</x:v>
      </x:c>
      <x:c r="W10" t="str">
        <x:v>STRONG_LIMITED_EDITING</x:v>
      </x:c>
      <x:c r="X10" t="str">
        <x:v>PASS</x:v>
      </x:c>
      <x:c r="Y10" t="n">
        <x:v>80</x:v>
      </x:c>
      <x:c r="Z10" t="str">
        <x:v>Success</x:v>
      </x:c>
      <x:c r="AA10"/>
      <x:c r="AB10"/>
      <x:c r="AC10" s="13"/>
      <x:c r="AD10" t="n">
        <x:v>0</x:v>
      </x:c>
      <x:c r="AE10" s="19" t="n">
        <x:v>96586</x:v>
      </x:c>
      <x:c r="AF10" t="str">
        <x:v>deepseek-v4-pro</x:v>
      </x:c>
      <x:c r="AG10" s="20" t="n">
        <x:v>46224.12364449074</x:v>
      </x:c>
      <x:c r="AH10" t="n">
        <x:v>200</x:v>
      </x:c>
    </x:row>
    <x:row r="11">
      <x:c r="A11" s="17" t="str">
        <x:v>010</x:v>
      </x:c>
      <x:c r="B11" t="str">
        <x:v>ZH-EXCELLENT-010</x:v>
      </x:c>
      <x:c r="C11" s="17" t="str">
        <x:v>010</x:v>
      </x:c>
      <x:c r="D11" t="str">
        <x:v>Excellent</x:v>
      </x:c>
      <x:c r="E11" t="n">
        <x:v>85</x:v>
      </x:c>
      <x:c r="F11" t="n">
        <x:v>100</x:v>
      </x:c>
      <x:c r="G11" t="n">
        <x:v>1</x:v>
      </x:c>
      <x:c r="H11" s="18" t="n">
        <x:v>89</x:v>
      </x:c>
      <x:c r="I11" s="18" t="n">
        <x:v>95</x:v>
      </x:c>
      <x:c r="J11" s="18" t="n">
        <x:v>89</x:v>
      </x:c>
      <x:c r="K11" s="18" t="n">
        <x:v>95</x:v>
      </x:c>
      <x:c r="L11" s="18" t="n">
        <x:v>98</x:v>
      </x:c>
      <x:c r="M11" s="18" t="n">
        <x:v>95</x:v>
      </x:c>
      <x:c r="N11" s="18" t="n">
        <x:v>95</x:v>
      </x:c>
      <x:c r="O11" s="18" t="n">
        <x:v>94</x:v>
      </x:c>
      <x:c r="P11" s="18" t="n">
        <x:v>89</x:v>
      </x:c>
      <x:c r="Q11" t="str">
        <x:v>Yes</x:v>
      </x:c>
      <x:c r="R11" s="18" t="n">
        <x:v>0</x:v>
      </x:c>
      <x:c r="S11" s="18" t="n">
        <x:v>0</x:v>
      </x:c>
      <x:c r="T11" s="18" t="n">
        <x:v>0</x:v>
      </x:c>
      <x:c r="U11" t="str">
        <x:v>Excellent</x:v>
      </x:c>
      <x:c r="V11" t="str">
        <x:v>Yes</x:v>
      </x:c>
      <x:c r="W11" t="str">
        <x:v>STRONG_LIMITED_EDITING</x:v>
      </x:c>
      <x:c r="X11" t="str">
        <x:v>PASS</x:v>
      </x:c>
      <x:c r="Y11" t="n">
        <x:v>80</x:v>
      </x:c>
      <x:c r="Z11" t="str">
        <x:v>Success</x:v>
      </x:c>
      <x:c r="AA11"/>
      <x:c r="AB11"/>
      <x:c r="AC11" s="13"/>
      <x:c r="AD11" t="n">
        <x:v>0</x:v>
      </x:c>
      <x:c r="AE11" s="19" t="n">
        <x:v>139925</x:v>
      </x:c>
      <x:c r="AF11" t="str">
        <x:v>deepseek-v4-pro</x:v>
      </x:c>
      <x:c r="AG11" s="20" t="n">
        <x:v>46224.125264016206</x:v>
      </x:c>
      <x:c r="AH11" t="n">
        <x:v>200</x:v>
      </x:c>
    </x:row>
    <x:row r="12">
      <x:c r="A12" s="17" t="str">
        <x:v>011</x:v>
      </x:c>
      <x:c r="B12" t="str">
        <x:v>ZH-EXCELLENT-011</x:v>
      </x:c>
      <x:c r="C12" s="17" t="str">
        <x:v>011</x:v>
      </x:c>
      <x:c r="D12" t="str">
        <x:v>Excellent</x:v>
      </x:c>
      <x:c r="E12" t="n">
        <x:v>85</x:v>
      </x:c>
      <x:c r="F12" t="n">
        <x:v>100</x:v>
      </x:c>
      <x:c r="G12" t="n">
        <x:v>1</x:v>
      </x:c>
      <x:c r="H12" s="18" t="n">
        <x:v>94</x:v>
      </x:c>
      <x:c r="I12" s="18" t="n">
        <x:v>95</x:v>
      </x:c>
      <x:c r="J12" s="18" t="n">
        <x:v>90</x:v>
      </x:c>
      <x:c r="K12" s="18" t="n">
        <x:v>95</x:v>
      </x:c>
      <x:c r="L12" s="18" t="n">
        <x:v>98</x:v>
      </x:c>
      <x:c r="M12" s="18" t="n">
        <x:v>95</x:v>
      </x:c>
      <x:c r="N12" s="18" t="n">
        <x:v>90</x:v>
      </x:c>
      <x:c r="O12" s="18" t="n">
        <x:v>94</x:v>
      </x:c>
      <x:c r="P12" s="18"/>
      <x:c r="Q12" t="str">
        <x:v>Yes</x:v>
      </x:c>
      <x:c r="R12" s="18" t="n">
        <x:v>0</x:v>
      </x:c>
      <x:c r="S12" s="18" t="n">
        <x:v>0</x:v>
      </x:c>
      <x:c r="T12" s="18" t="n">
        <x:v>0</x:v>
      </x:c>
      <x:c r="U12" t="str">
        <x:v>Excellent</x:v>
      </x:c>
      <x:c r="V12" t="str">
        <x:v>Yes</x:v>
      </x:c>
      <x:c r="W12" t="str">
        <x:v>PUBLICATION_READY</x:v>
      </x:c>
      <x:c r="X12" t="str">
        <x:v>PASS</x:v>
      </x:c>
      <x:c r="Y12" t="n">
        <x:v>80</x:v>
      </x:c>
      <x:c r="Z12" t="str">
        <x:v>Success</x:v>
      </x:c>
      <x:c r="AA12"/>
      <x:c r="AB12"/>
      <x:c r="AC12" s="13"/>
      <x:c r="AD12" t="n">
        <x:v>0</x:v>
      </x:c>
      <x:c r="AE12" s="19" t="n">
        <x:v>96105</x:v>
      </x:c>
      <x:c r="AF12" t="str">
        <x:v>deepseek-v4-pro</x:v>
      </x:c>
      <x:c r="AG12" s="20" t="n">
        <x:v>46224.12637636574</x:v>
      </x:c>
      <x:c r="AH12" t="n">
        <x:v>200</x:v>
      </x:c>
    </x:row>
    <x:row r="13">
      <x:c r="A13" s="17" t="str">
        <x:v>012</x:v>
      </x:c>
      <x:c r="B13" t="str">
        <x:v>ZH-EXCELLENT-012</x:v>
      </x:c>
      <x:c r="C13" s="17" t="str">
        <x:v>012</x:v>
      </x:c>
      <x:c r="D13" t="str">
        <x:v>Excellent</x:v>
      </x:c>
      <x:c r="E13" t="n">
        <x:v>85</x:v>
      </x:c>
      <x:c r="F13" t="n">
        <x:v>100</x:v>
      </x:c>
      <x:c r="G13" t="n">
        <x:v>1</x:v>
      </x:c>
      <x:c r="H13" s="18" t="n">
        <x:v>89</x:v>
      </x:c>
      <x:c r="I13" s="18" t="n">
        <x:v>89</x:v>
      </x:c>
      <x:c r="J13" s="18" t="n">
        <x:v>80</x:v>
      </x:c>
      <x:c r="K13" s="18" t="n">
        <x:v>95</x:v>
      </x:c>
      <x:c r="L13" s="18" t="n">
        <x:v>95</x:v>
      </x:c>
      <x:c r="M13" s="18" t="n">
        <x:v>95</x:v>
      </x:c>
      <x:c r="N13" s="18" t="n">
        <x:v>95</x:v>
      </x:c>
      <x:c r="O13" s="18" t="n">
        <x:v>91</x:v>
      </x:c>
      <x:c r="P13" s="18" t="n">
        <x:v>89</x:v>
      </x:c>
      <x:c r="Q13" t="str">
        <x:v>Yes</x:v>
      </x:c>
      <x:c r="R13" s="18" t="n">
        <x:v>0</x:v>
      </x:c>
      <x:c r="S13" s="18" t="n">
        <x:v>0</x:v>
      </x:c>
      <x:c r="T13" s="18" t="n">
        <x:v>0</x:v>
      </x:c>
      <x:c r="U13" t="str">
        <x:v>Excellent</x:v>
      </x:c>
      <x:c r="V13" t="str">
        <x:v>Yes</x:v>
      </x:c>
      <x:c r="W13" t="str">
        <x:v>STRONG_LIMITED_EDITING</x:v>
      </x:c>
      <x:c r="X13" t="str">
        <x:v>PASS</x:v>
      </x:c>
      <x:c r="Y13" t="n">
        <x:v>80</x:v>
      </x:c>
      <x:c r="Z13" t="str">
        <x:v>Success</x:v>
      </x:c>
      <x:c r="AA13"/>
      <x:c r="AB13"/>
      <x:c r="AC13" s="13"/>
      <x:c r="AD13" t="n">
        <x:v>0</x:v>
      </x:c>
      <x:c r="AE13" s="19" t="n">
        <x:v>117188</x:v>
      </x:c>
      <x:c r="AF13" t="str">
        <x:v>deepseek-v4-pro</x:v>
      </x:c>
      <x:c r="AG13" s="20" t="n">
        <x:v>46224.127732719906</x:v>
      </x:c>
      <x:c r="AH13" t="n">
        <x:v>200</x:v>
      </x:c>
    </x:row>
    <x:row r="14">
      <x:c r="A14" s="17" t="str">
        <x:v>013</x:v>
      </x:c>
      <x:c r="B14" t="str">
        <x:v>ZH-EXCELLENT-013</x:v>
      </x:c>
      <x:c r="C14" s="17" t="str">
        <x:v>013</x:v>
      </x:c>
      <x:c r="D14" t="str">
        <x:v>Excellent</x:v>
      </x:c>
      <x:c r="E14" t="n">
        <x:v>85</x:v>
      </x:c>
      <x:c r="F14" t="n">
        <x:v>100</x:v>
      </x:c>
      <x:c r="G14" t="n">
        <x:v>1</x:v>
      </x:c>
      <x:c r="H14" s="18" t="n">
        <x:v>74</x:v>
      </x:c>
      <x:c r="I14" s="18" t="n">
        <x:v>82</x:v>
      </x:c>
      <x:c r="J14" s="18" t="n">
        <x:v>65</x:v>
      </x:c>
      <x:c r="K14" s="18" t="n">
        <x:v>78</x:v>
      </x:c>
      <x:c r="L14" s="18" t="n">
        <x:v>92</x:v>
      </x:c>
      <x:c r="M14" s="18" t="n">
        <x:v>75</x:v>
      </x:c>
      <x:c r="N14" s="18" t="n">
        <x:v>85</x:v>
      </x:c>
      <x:c r="O14" s="18" t="n">
        <x:v>79</x:v>
      </x:c>
      <x:c r="P14" s="18" t="n">
        <x:v>74</x:v>
      </x:c>
      <x:c r="Q14" t="str">
        <x:v>No</x:v>
      </x:c>
      <x:c r="R14" s="18" t="n">
        <x:v>11</x:v>
      </x:c>
      <x:c r="S14" s="18" t="n">
        <x:v>11</x:v>
      </x:c>
      <x:c r="T14" s="18" t="n">
        <x:v>0</x:v>
      </x:c>
      <x:c r="U14" t="str">
        <x:v>Good</x:v>
      </x:c>
      <x:c r="V14" t="str">
        <x:v>No</x:v>
      </x:c>
      <x:c r="W14" t="str">
        <x:v>SUBSTANTIAL_REWRITE</x:v>
      </x:c>
      <x:c r="X14" t="str">
        <x:v>REWRITE_REQUIRED</x:v>
      </x:c>
      <x:c r="Y14" t="n">
        <x:v>80</x:v>
      </x:c>
      <x:c r="Z14" t="str">
        <x:v>Success</x:v>
      </x:c>
      <x:c r="AA14"/>
      <x:c r="AB14"/>
      <x:c r="AC14" s="13"/>
      <x:c r="AD14" t="n">
        <x:v>0</x:v>
      </x:c>
      <x:c r="AE14" s="19" t="n">
        <x:v>116434</x:v>
      </x:c>
      <x:c r="AF14" t="str">
        <x:v>deepseek-v4-pro</x:v>
      </x:c>
      <x:c r="AG14" s="20" t="n">
        <x:v>46224.12908037037</x:v>
      </x:c>
      <x:c r="AH14" t="n">
        <x:v>200</x:v>
      </x:c>
    </x:row>
    <x:row r="15">
      <x:c r="A15" s="17" t="str">
        <x:v>014</x:v>
      </x:c>
      <x:c r="B15" t="str">
        <x:v>ZH-EXCELLENT-014</x:v>
      </x:c>
      <x:c r="C15" s="17" t="str">
        <x:v>014</x:v>
      </x:c>
      <x:c r="D15" t="str">
        <x:v>Excellent</x:v>
      </x:c>
      <x:c r="E15" t="n">
        <x:v>85</x:v>
      </x:c>
      <x:c r="F15" t="n">
        <x:v>100</x:v>
      </x:c>
      <x:c r="G15" t="n">
        <x:v>1</x:v>
      </x:c>
      <x:c r="H15" s="18" t="n">
        <x:v>88</x:v>
      </x:c>
      <x:c r="I15" s="18" t="n">
        <x:v>89</x:v>
      </x:c>
      <x:c r="J15" s="18" t="n">
        <x:v>85</x:v>
      </x:c>
      <x:c r="K15" s="18" t="n">
        <x:v>92</x:v>
      </x:c>
      <x:c r="L15" s="18" t="n">
        <x:v>88</x:v>
      </x:c>
      <x:c r="M15" s="18" t="n">
        <x:v>90</x:v>
      </x:c>
      <x:c r="N15" s="18" t="n">
        <x:v>80</x:v>
      </x:c>
      <x:c r="O15" s="18" t="n">
        <x:v>88</x:v>
      </x:c>
      <x:c r="P15" s="18" t="n">
        <x:v>89</x:v>
      </x:c>
      <x:c r="Q15" t="str">
        <x:v>Yes</x:v>
      </x:c>
      <x:c r="R15" s="18" t="n">
        <x:v>0</x:v>
      </x:c>
      <x:c r="S15" s="18" t="n">
        <x:v>0</x:v>
      </x:c>
      <x:c r="T15" s="18" t="n">
        <x:v>0</x:v>
      </x:c>
      <x:c r="U15" t="str">
        <x:v>Excellent</x:v>
      </x:c>
      <x:c r="V15" t="str">
        <x:v>Yes</x:v>
      </x:c>
      <x:c r="W15" t="str">
        <x:v>STRONG_LIMITED_EDITING</x:v>
      </x:c>
      <x:c r="X15" t="str">
        <x:v>PASS</x:v>
      </x:c>
      <x:c r="Y15" t="n">
        <x:v>80</x:v>
      </x:c>
      <x:c r="Z15" t="str">
        <x:v>Success</x:v>
      </x:c>
      <x:c r="AA15"/>
      <x:c r="AB15"/>
      <x:c r="AC15" s="13"/>
      <x:c r="AD15" t="n">
        <x:v>0</x:v>
      </x:c>
      <x:c r="AE15" s="19" t="n">
        <x:v>100510</x:v>
      </x:c>
      <x:c r="AF15" t="str">
        <x:v>deepseek-v4-pro</x:v>
      </x:c>
      <x:c r="AG15" s="20" t="n">
        <x:v>46224.13024373843</x:v>
      </x:c>
      <x:c r="AH15" t="n">
        <x:v>200</x:v>
      </x:c>
    </x:row>
    <x:row r="16">
      <x:c r="A16" s="17" t="str">
        <x:v>015</x:v>
      </x:c>
      <x:c r="B16" t="str">
        <x:v>ZH-EXCELLENT-015</x:v>
      </x:c>
      <x:c r="C16" s="17" t="str">
        <x:v>015</x:v>
      </x:c>
      <x:c r="D16" t="str">
        <x:v>Excellent</x:v>
      </x:c>
      <x:c r="E16" t="n">
        <x:v>85</x:v>
      </x:c>
      <x:c r="F16" t="n">
        <x:v>100</x:v>
      </x:c>
      <x:c r="G16" t="n">
        <x:v>1</x:v>
      </x:c>
      <x:c r="H16" s="18" t="n">
        <x:v>74</x:v>
      </x:c>
      <x:c r="I16" s="18" t="n">
        <x:v>88</x:v>
      </x:c>
      <x:c r="J16" s="18" t="n">
        <x:v>68</x:v>
      </x:c>
      <x:c r="K16" s="18" t="n">
        <x:v>85</x:v>
      </x:c>
      <x:c r="L16" s="18" t="n">
        <x:v>92</x:v>
      </x:c>
      <x:c r="M16" s="18" t="n">
        <x:v>90</x:v>
      </x:c>
      <x:c r="N16" s="18" t="n">
        <x:v>75</x:v>
      </x:c>
      <x:c r="O16" s="18" t="n">
        <x:v>83</x:v>
      </x:c>
      <x:c r="P16" s="18" t="n">
        <x:v>74</x:v>
      </x:c>
      <x:c r="Q16" t="str">
        <x:v>No</x:v>
      </x:c>
      <x:c r="R16" s="18" t="n">
        <x:v>11</x:v>
      </x:c>
      <x:c r="S16" s="18" t="n">
        <x:v>11</x:v>
      </x:c>
      <x:c r="T16" s="18" t="n">
        <x:v>0</x:v>
      </x:c>
      <x:c r="U16" t="str">
        <x:v>Good</x:v>
      </x:c>
      <x:c r="V16" t="str">
        <x:v>No</x:v>
      </x:c>
      <x:c r="W16" t="str">
        <x:v>SUBSTANTIAL_REWRITE</x:v>
      </x:c>
      <x:c r="X16" t="str">
        <x:v>REWRITE_REQUIRED</x:v>
      </x:c>
      <x:c r="Y16" t="n">
        <x:v>80</x:v>
      </x:c>
      <x:c r="Z16" t="str">
        <x:v>Success</x:v>
      </x:c>
      <x:c r="AA16"/>
      <x:c r="AB16"/>
      <x:c r="AC16" s="13"/>
      <x:c r="AD16" t="n">
        <x:v>0</x:v>
      </x:c>
      <x:c r="AE16" s="19" t="n">
        <x:v>85016</x:v>
      </x:c>
      <x:c r="AF16" t="str">
        <x:v>deepseek-v4-pro</x:v>
      </x:c>
      <x:c r="AG16" s="20" t="n">
        <x:v>46224.131227743055</x:v>
      </x:c>
      <x:c r="AH16" t="n">
        <x:v>200</x:v>
      </x:c>
    </x:row>
    <x:row r="17">
      <x:c r="A17" s="17" t="str">
        <x:v>016</x:v>
      </x:c>
      <x:c r="B17" t="str">
        <x:v>ZH-EXCELLENT-016</x:v>
      </x:c>
      <x:c r="C17" s="17" t="str">
        <x:v>016</x:v>
      </x:c>
      <x:c r="D17" t="str">
        <x:v>Excellent</x:v>
      </x:c>
      <x:c r="E17" t="n">
        <x:v>85</x:v>
      </x:c>
      <x:c r="F17" t="n">
        <x:v>100</x:v>
      </x:c>
      <x:c r="G17" t="n">
        <x:v>1</x:v>
      </x:c>
      <x:c r="H17" s="18" t="n">
        <x:v>89</x:v>
      </x:c>
      <x:c r="I17" s="18" t="n">
        <x:v>85</x:v>
      </x:c>
      <x:c r="J17" s="18" t="n">
        <x:v>90</x:v>
      </x:c>
      <x:c r="K17" s="18" t="n">
        <x:v>95</x:v>
      </x:c>
      <x:c r="L17" s="18" t="n">
        <x:v>98</x:v>
      </x:c>
      <x:c r="M17" s="18" t="n">
        <x:v>95</x:v>
      </x:c>
      <x:c r="N17" s="18" t="n">
        <x:v>85</x:v>
      </x:c>
      <x:c r="O17" s="18" t="n">
        <x:v>91</x:v>
      </x:c>
      <x:c r="P17" s="18" t="n">
        <x:v>89</x:v>
      </x:c>
      <x:c r="Q17" t="str">
        <x:v>Yes</x:v>
      </x:c>
      <x:c r="R17" s="18" t="n">
        <x:v>0</x:v>
      </x:c>
      <x:c r="S17" s="18" t="n">
        <x:v>0</x:v>
      </x:c>
      <x:c r="T17" s="18" t="n">
        <x:v>0</x:v>
      </x:c>
      <x:c r="U17" t="str">
        <x:v>Excellent</x:v>
      </x:c>
      <x:c r="V17" t="str">
        <x:v>Yes</x:v>
      </x:c>
      <x:c r="W17" t="str">
        <x:v>STRONG_LIMITED_EDITING</x:v>
      </x:c>
      <x:c r="X17" t="str">
        <x:v>PASS</x:v>
      </x:c>
      <x:c r="Y17" t="n">
        <x:v>80</x:v>
      </x:c>
      <x:c r="Z17" t="str">
        <x:v>Success</x:v>
      </x:c>
      <x:c r="AA17"/>
      <x:c r="AB17"/>
      <x:c r="AC17" s="13"/>
      <x:c r="AD17" t="n">
        <x:v>0</x:v>
      </x:c>
      <x:c r="AE17" s="19" t="n">
        <x:v>78750</x:v>
      </x:c>
      <x:c r="AF17" t="str">
        <x:v>deepseek-v4-pro</x:v>
      </x:c>
      <x:c r="AG17" s="20" t="n">
        <x:v>46224.13213924768</x:v>
      </x:c>
      <x:c r="AH17" t="n">
        <x:v>200</x:v>
      </x:c>
    </x:row>
    <x:row r="18">
      <x:c r="A18" s="17" t="str">
        <x:v>017</x:v>
      </x:c>
      <x:c r="B18" t="str">
        <x:v>ZH-EXCELLENT-017</x:v>
      </x:c>
      <x:c r="C18" s="17" t="str">
        <x:v>017</x:v>
      </x:c>
      <x:c r="D18" t="str">
        <x:v>Excellent</x:v>
      </x:c>
      <x:c r="E18" t="n">
        <x:v>85</x:v>
      </x:c>
      <x:c r="F18" t="n">
        <x:v>100</x:v>
      </x:c>
      <x:c r="G18" t="n">
        <x:v>1</x:v>
      </x:c>
      <x:c r="H18" s="18" t="n">
        <x:v>57</x:v>
      </x:c>
      <x:c r="I18" s="18" t="n">
        <x:v>55</x:v>
      </x:c>
      <x:c r="J18" s="18" t="n">
        <x:v>40</x:v>
      </x:c>
      <x:c r="K18" s="18" t="n">
        <x:v>65</x:v>
      </x:c>
      <x:c r="L18" s="18" t="n">
        <x:v>95</x:v>
      </x:c>
      <x:c r="M18" s="18" t="n">
        <x:v>50</x:v>
      </x:c>
      <x:c r="N18" s="18" t="n">
        <x:v>35</x:v>
      </x:c>
      <x:c r="O18" s="18" t="n">
        <x:v>57</x:v>
      </x:c>
      <x:c r="P18" s="18" t="n">
        <x:v>59</x:v>
      </x:c>
      <x:c r="Q18" t="str">
        <x:v>No</x:v>
      </x:c>
      <x:c r="R18" s="18" t="n">
        <x:v>28</x:v>
      </x:c>
      <x:c r="S18" s="18" t="n">
        <x:v>28</x:v>
      </x:c>
      <x:c r="T18" s="18" t="n">
        <x:v>0</x:v>
      </x:c>
      <x:c r="U18" t="str">
        <x:v>Normal</x:v>
      </x:c>
      <x:c r="V18" t="str">
        <x:v>No</x:v>
      </x:c>
      <x:c r="W18" t="str">
        <x:v>WEAK</x:v>
      </x:c>
      <x:c r="X18" t="str">
        <x:v>REWRITE_REQUIRED</x:v>
      </x:c>
      <x:c r="Y18" t="n">
        <x:v>80</x:v>
      </x:c>
      <x:c r="Z18" t="str">
        <x:v>Success</x:v>
      </x:c>
      <x:c r="AA18"/>
      <x:c r="AB18"/>
      <x:c r="AC18" s="13"/>
      <x:c r="AD18" t="n">
        <x:v>0</x:v>
      </x:c>
      <x:c r="AE18" s="19" t="n">
        <x:v>110786</x:v>
      </x:c>
      <x:c r="AF18" t="str">
        <x:v>deepseek-v4-pro</x:v>
      </x:c>
      <x:c r="AG18" s="20" t="n">
        <x:v>46224.133421516206</x:v>
      </x:c>
      <x:c r="AH18" t="n">
        <x:v>200</x:v>
      </x:c>
    </x:row>
    <x:row r="19">
      <x:c r="A19" s="17" t="str">
        <x:v>018</x:v>
      </x:c>
      <x:c r="B19" t="str">
        <x:v>ZH-EXCELLENT-018</x:v>
      </x:c>
      <x:c r="C19" s="17" t="str">
        <x:v>018</x:v>
      </x:c>
      <x:c r="D19" t="str">
        <x:v>Excellent</x:v>
      </x:c>
      <x:c r="E19" t="n">
        <x:v>85</x:v>
      </x:c>
      <x:c r="F19" t="n">
        <x:v>100</x:v>
      </x:c>
      <x:c r="G19" t="n">
        <x:v>1</x:v>
      </x:c>
      <x:c r="H19" s="18" t="n">
        <x:v>74</x:v>
      </x:c>
      <x:c r="I19" s="18" t="n">
        <x:v>85</x:v>
      </x:c>
      <x:c r="J19" s="18" t="n">
        <x:v>80</x:v>
      </x:c>
      <x:c r="K19" s="18" t="n">
        <x:v>85</x:v>
      </x:c>
      <x:c r="L19" s="18" t="n">
        <x:v>95</x:v>
      </x:c>
      <x:c r="M19" s="18" t="n">
        <x:v>85</x:v>
      </x:c>
      <x:c r="N19" s="18" t="n">
        <x:v>70</x:v>
      </x:c>
      <x:c r="O19" s="18" t="n">
        <x:v>84</x:v>
      </x:c>
      <x:c r="P19" s="18" t="n">
        <x:v>74</x:v>
      </x:c>
      <x:c r="Q19" t="str">
        <x:v>No</x:v>
      </x:c>
      <x:c r="R19" s="18" t="n">
        <x:v>11</x:v>
      </x:c>
      <x:c r="S19" s="18" t="n">
        <x:v>11</x:v>
      </x:c>
      <x:c r="T19" s="18" t="n">
        <x:v>0</x:v>
      </x:c>
      <x:c r="U19" t="str">
        <x:v>Good</x:v>
      </x:c>
      <x:c r="V19" t="str">
        <x:v>No</x:v>
      </x:c>
      <x:c r="W19" t="str">
        <x:v>SUBSTANTIAL_REWRITE</x:v>
      </x:c>
      <x:c r="X19" t="str">
        <x:v>REWRITE_REQUIRED</x:v>
      </x:c>
      <x:c r="Y19" t="n">
        <x:v>80</x:v>
      </x:c>
      <x:c r="Z19" t="str">
        <x:v>Success</x:v>
      </x:c>
      <x:c r="AA19"/>
      <x:c r="AB19"/>
      <x:c r="AC19" s="13"/>
      <x:c r="AD19" t="n">
        <x:v>0</x:v>
      </x:c>
      <x:c r="AE19" s="19" t="n">
        <x:v>180212</x:v>
      </x:c>
      <x:c r="AF19" t="str">
        <x:v>deepseek-v4-pro</x:v>
      </x:c>
      <x:c r="AG19" s="20" t="n">
        <x:v>46224.13550738426</x:v>
      </x:c>
      <x:c r="AH19" t="n">
        <x:v>200</x:v>
      </x:c>
    </x:row>
    <x:row r="20">
      <x:c r="A20" s="17" t="str">
        <x:v>019</x:v>
      </x:c>
      <x:c r="B20" t="str">
        <x:v>ZH-EXCELLENT-019</x:v>
      </x:c>
      <x:c r="C20" s="17" t="str">
        <x:v>019</x:v>
      </x:c>
      <x:c r="D20" t="str">
        <x:v>Excellent</x:v>
      </x:c>
      <x:c r="E20" t="n">
        <x:v>85</x:v>
      </x:c>
      <x:c r="F20" t="n">
        <x:v>100</x:v>
      </x:c>
      <x:c r="G20" t="n">
        <x:v>1</x:v>
      </x:c>
      <x:c r="H20" s="18" t="n">
        <x:v>94</x:v>
      </x:c>
      <x:c r="I20" s="18" t="n">
        <x:v>95</x:v>
      </x:c>
      <x:c r="J20" s="18" t="n">
        <x:v>92</x:v>
      </x:c>
      <x:c r="K20" s="18" t="n">
        <x:v>95</x:v>
      </x:c>
      <x:c r="L20" s="18" t="n">
        <x:v>95</x:v>
      </x:c>
      <x:c r="M20" s="18" t="n">
        <x:v>95</x:v>
      </x:c>
      <x:c r="N20" s="18" t="n">
        <x:v>95</x:v>
      </x:c>
      <x:c r="O20" s="18" t="n">
        <x:v>94</x:v>
      </x:c>
      <x:c r="P20" s="18"/>
      <x:c r="Q20" t="str">
        <x:v>Yes</x:v>
      </x:c>
      <x:c r="R20" s="18" t="n">
        <x:v>0</x:v>
      </x:c>
      <x:c r="S20" s="18" t="n">
        <x:v>0</x:v>
      </x:c>
      <x:c r="T20" s="18" t="n">
        <x:v>0</x:v>
      </x:c>
      <x:c r="U20" t="str">
        <x:v>Excellent</x:v>
      </x:c>
      <x:c r="V20" t="str">
        <x:v>Yes</x:v>
      </x:c>
      <x:c r="W20" t="str">
        <x:v>PUBLICATION_READY</x:v>
      </x:c>
      <x:c r="X20" t="str">
        <x:v>PASS</x:v>
      </x:c>
      <x:c r="Y20" t="n">
        <x:v>80</x:v>
      </x:c>
      <x:c r="Z20" t="str">
        <x:v>Success</x:v>
      </x:c>
      <x:c r="AA20"/>
      <x:c r="AB20"/>
      <x:c r="AC20" s="13"/>
      <x:c r="AD20" t="n">
        <x:v>0</x:v>
      </x:c>
      <x:c r="AE20" s="19" t="n">
        <x:v>112113</x:v>
      </x:c>
      <x:c r="AF20" t="str">
        <x:v>deepseek-v4-pro</x:v>
      </x:c>
      <x:c r="AG20" s="20" t="n">
        <x:v>46224.13680502315</x:v>
      </x:c>
      <x:c r="AH20" t="n">
        <x:v>200</x:v>
      </x:c>
    </x:row>
    <x:row r="21">
      <x:c r="A21" s="17" t="str">
        <x:v>020</x:v>
      </x:c>
      <x:c r="B21" t="str">
        <x:v>ZH-EXCELLENT-020</x:v>
      </x:c>
      <x:c r="C21" s="17" t="str">
        <x:v>020</x:v>
      </x:c>
      <x:c r="D21" t="str">
        <x:v>Excellent</x:v>
      </x:c>
      <x:c r="E21" t="n">
        <x:v>85</x:v>
      </x:c>
      <x:c r="F21" t="n">
        <x:v>100</x:v>
      </x:c>
      <x:c r="G21" t="n">
        <x:v>1</x:v>
      </x:c>
      <x:c r="H21" s="18" t="n">
        <x:v>74</x:v>
      </x:c>
      <x:c r="I21" s="18" t="n">
        <x:v>65</x:v>
      </x:c>
      <x:c r="J21" s="18" t="n">
        <x:v>60</x:v>
      </x:c>
      <x:c r="K21" s="18" t="n">
        <x:v>80</x:v>
      </x:c>
      <x:c r="L21" s="18" t="n">
        <x:v>95</x:v>
      </x:c>
      <x:c r="M21" s="18" t="n">
        <x:v>95</x:v>
      </x:c>
      <x:c r="N21" s="18" t="n">
        <x:v>95</x:v>
      </x:c>
      <x:c r="O21" s="18" t="n">
        <x:v>78</x:v>
      </x:c>
      <x:c r="P21" s="18" t="n">
        <x:v>74</x:v>
      </x:c>
      <x:c r="Q21" t="str">
        <x:v>No</x:v>
      </x:c>
      <x:c r="R21" s="18" t="n">
        <x:v>11</x:v>
      </x:c>
      <x:c r="S21" s="18" t="n">
        <x:v>11</x:v>
      </x:c>
      <x:c r="T21" s="18" t="n">
        <x:v>0</x:v>
      </x:c>
      <x:c r="U21" t="str">
        <x:v>Good</x:v>
      </x:c>
      <x:c r="V21" t="str">
        <x:v>No</x:v>
      </x:c>
      <x:c r="W21" t="str">
        <x:v>SUBSTANTIAL_REWRITE</x:v>
      </x:c>
      <x:c r="X21" t="str">
        <x:v>REWRITE_REQUIRED</x:v>
      </x:c>
      <x:c r="Y21" t="n">
        <x:v>80</x:v>
      </x:c>
      <x:c r="Z21" t="str">
        <x:v>Success</x:v>
      </x:c>
      <x:c r="AA21"/>
      <x:c r="AB21"/>
      <x:c r="AC21" s="13"/>
      <x:c r="AD21" t="n">
        <x:v>0</x:v>
      </x:c>
      <x:c r="AE21" s="19" t="n">
        <x:v>103134</x:v>
      </x:c>
      <x:c r="AF21" t="str">
        <x:v>deepseek-v4-pro</x:v>
      </x:c>
      <x:c r="AG21" s="20" t="n">
        <x:v>46224.13799877315</x:v>
      </x:c>
      <x:c r="AH21" t="n">
        <x:v>200</x:v>
      </x:c>
    </x:row>
    <x:row r="22">
      <x:c r="A22" s="17" t="str">
        <x:v>021</x:v>
      </x:c>
      <x:c r="B22" t="str">
        <x:v>ZH-EXCELLENT-021</x:v>
      </x:c>
      <x:c r="C22" s="17" t="str">
        <x:v>021</x:v>
      </x:c>
      <x:c r="D22" t="str">
        <x:v>Excellent</x:v>
      </x:c>
      <x:c r="E22" t="n">
        <x:v>85</x:v>
      </x:c>
      <x:c r="F22" t="n">
        <x:v>100</x:v>
      </x:c>
      <x:c r="G22" t="n">
        <x:v>1</x:v>
      </x:c>
      <x:c r="H22" s="18" t="n">
        <x:v>95</x:v>
      </x:c>
      <x:c r="I22" s="18" t="n">
        <x:v>95</x:v>
      </x:c>
      <x:c r="J22" s="18" t="n">
        <x:v>95</x:v>
      </x:c>
      <x:c r="K22" s="18" t="n">
        <x:v>95</x:v>
      </x:c>
      <x:c r="L22" s="18" t="n">
        <x:v>95</x:v>
      </x:c>
      <x:c r="M22" s="18" t="n">
        <x:v>95</x:v>
      </x:c>
      <x:c r="N22" s="18" t="n">
        <x:v>95</x:v>
      </x:c>
      <x:c r="O22" s="18" t="n">
        <x:v>95</x:v>
      </x:c>
      <x:c r="P22" s="18"/>
      <x:c r="Q22" t="str">
        <x:v>Yes</x:v>
      </x:c>
      <x:c r="R22" s="18" t="n">
        <x:v>0</x:v>
      </x:c>
      <x:c r="S22" s="18" t="n">
        <x:v>0</x:v>
      </x:c>
      <x:c r="T22" s="18" t="n">
        <x:v>0</x:v>
      </x:c>
      <x:c r="U22" t="str">
        <x:v>Excellent</x:v>
      </x:c>
      <x:c r="V22" t="str">
        <x:v>Yes</x:v>
      </x:c>
      <x:c r="W22" t="str">
        <x:v>PUBLICATION_READY</x:v>
      </x:c>
      <x:c r="X22" t="str">
        <x:v>PASS</x:v>
      </x:c>
      <x:c r="Y22" t="n">
        <x:v>80</x:v>
      </x:c>
      <x:c r="Z22" t="str">
        <x:v>Success</x:v>
      </x:c>
      <x:c r="AA22"/>
      <x:c r="AB22"/>
      <x:c r="AC22" s="13"/>
      <x:c r="AD22" t="n">
        <x:v>0</x:v>
      </x:c>
      <x:c r="AE22" s="19" t="n">
        <x:v>60834</x:v>
      </x:c>
      <x:c r="AF22" t="str">
        <x:v>deepseek-v4-pro</x:v>
      </x:c>
      <x:c r="AG22" s="20" t="n">
        <x:v>46224.13870284722</x:v>
      </x:c>
      <x:c r="AH22" t="n">
        <x:v>200</x:v>
      </x:c>
    </x:row>
    <x:row r="23">
      <x:c r="A23" s="17" t="str">
        <x:v>022</x:v>
      </x:c>
      <x:c r="B23" t="str">
        <x:v>ZH-EXCELLENT-022</x:v>
      </x:c>
      <x:c r="C23" s="17" t="str">
        <x:v>022</x:v>
      </x:c>
      <x:c r="D23" t="str">
        <x:v>Excellent</x:v>
      </x:c>
      <x:c r="E23" t="n">
        <x:v>85</x:v>
      </x:c>
      <x:c r="F23" t="n">
        <x:v>100</x:v>
      </x:c>
      <x:c r="G23" t="n">
        <x:v>1</x:v>
      </x:c>
      <x:c r="H23" s="18" t="n">
        <x:v>96</x:v>
      </x:c>
      <x:c r="I23" s="18" t="n">
        <x:v>95</x:v>
      </x:c>
      <x:c r="J23" s="18" t="n">
        <x:v>90</x:v>
      </x:c>
      <x:c r="K23" s="18" t="n">
        <x:v>95</x:v>
      </x:c>
      <x:c r="L23" s="18" t="n">
        <x:v>100</x:v>
      </x:c>
      <x:c r="M23" s="18" t="n">
        <x:v>100</x:v>
      </x:c>
      <x:c r="N23" s="18" t="n">
        <x:v>95</x:v>
      </x:c>
      <x:c r="O23" s="18" t="n">
        <x:v>96</x:v>
      </x:c>
      <x:c r="P23" s="18"/>
      <x:c r="Q23" t="str">
        <x:v>Yes</x:v>
      </x:c>
      <x:c r="R23" s="18" t="n">
        <x:v>0</x:v>
      </x:c>
      <x:c r="S23" s="18" t="n">
        <x:v>0</x:v>
      </x:c>
      <x:c r="T23" s="18" t="n">
        <x:v>0</x:v>
      </x:c>
      <x:c r="U23" t="str">
        <x:v>Excellent</x:v>
      </x:c>
      <x:c r="V23" t="str">
        <x:v>Yes</x:v>
      </x:c>
      <x:c r="W23" t="str">
        <x:v>PUBLICATION_READY</x:v>
      </x:c>
      <x:c r="X23" t="str">
        <x:v>PASS</x:v>
      </x:c>
      <x:c r="Y23" t="n">
        <x:v>80</x:v>
      </x:c>
      <x:c r="Z23" t="str">
        <x:v>Success</x:v>
      </x:c>
      <x:c r="AA23"/>
      <x:c r="AB23"/>
      <x:c r="AC23" s="13"/>
      <x:c r="AD23" t="n">
        <x:v>0</x:v>
      </x:c>
      <x:c r="AE23" s="19" t="n">
        <x:v>38628</x:v>
      </x:c>
      <x:c r="AF23" t="str">
        <x:v>deepseek-v4-pro</x:v>
      </x:c>
      <x:c r="AG23" s="20" t="n">
        <x:v>46224.13915</x:v>
      </x:c>
      <x:c r="AH23" t="n">
        <x:v>200</x:v>
      </x:c>
    </x:row>
    <x:row r="24">
      <x:c r="A24" s="17" t="str">
        <x:v>023</x:v>
      </x:c>
      <x:c r="B24" t="str">
        <x:v>ZH-EXCELLENT-023</x:v>
      </x:c>
      <x:c r="C24" s="17" t="str">
        <x:v>023</x:v>
      </x:c>
      <x:c r="D24" t="str">
        <x:v>Excellent</x:v>
      </x:c>
      <x:c r="E24" t="n">
        <x:v>85</x:v>
      </x:c>
      <x:c r="F24" t="n">
        <x:v>100</x:v>
      </x:c>
      <x:c r="G24" t="n">
        <x:v>1</x:v>
      </x:c>
      <x:c r="H24" s="18" t="n">
        <x:v>94</x:v>
      </x:c>
      <x:c r="I24" s="18" t="n">
        <x:v>92</x:v>
      </x:c>
      <x:c r="J24" s="18" t="n">
        <x:v>94</x:v>
      </x:c>
      <x:c r="K24" s="18" t="n">
        <x:v>93</x:v>
      </x:c>
      <x:c r="L24" s="18" t="n">
        <x:v>97</x:v>
      </x:c>
      <x:c r="M24" s="18" t="n">
        <x:v>96</x:v>
      </x:c>
      <x:c r="N24" s="18" t="n">
        <x:v>95</x:v>
      </x:c>
      <x:c r="O24" s="18" t="n">
        <x:v>94</x:v>
      </x:c>
      <x:c r="P24" s="18"/>
      <x:c r="Q24" t="str">
        <x:v>Yes</x:v>
      </x:c>
      <x:c r="R24" s="18" t="n">
        <x:v>0</x:v>
      </x:c>
      <x:c r="S24" s="18" t="n">
        <x:v>0</x:v>
      </x:c>
      <x:c r="T24" s="18" t="n">
        <x:v>0</x:v>
      </x:c>
      <x:c r="U24" t="str">
        <x:v>Excellent</x:v>
      </x:c>
      <x:c r="V24" t="str">
        <x:v>Yes</x:v>
      </x:c>
      <x:c r="W24" t="str">
        <x:v>PUBLICATION_READY</x:v>
      </x:c>
      <x:c r="X24" t="str">
        <x:v>PASS</x:v>
      </x:c>
      <x:c r="Y24" t="n">
        <x:v>80</x:v>
      </x:c>
      <x:c r="Z24" t="str">
        <x:v>Success</x:v>
      </x:c>
      <x:c r="AA24"/>
      <x:c r="AB24"/>
      <x:c r="AC24" s="13"/>
      <x:c r="AD24" t="n">
        <x:v>0</x:v>
      </x:c>
      <x:c r="AE24" s="19" t="n">
        <x:v>70679</x:v>
      </x:c>
      <x:c r="AF24" t="str">
        <x:v>deepseek-v4-pro</x:v>
      </x:c>
      <x:c r="AG24" s="20" t="n">
        <x:v>46224.139968194446</x:v>
      </x:c>
      <x:c r="AH24" t="n">
        <x:v>200</x:v>
      </x:c>
    </x:row>
    <x:row r="25">
      <x:c r="A25" s="17" t="str">
        <x:v>024</x:v>
      </x:c>
      <x:c r="B25" t="str">
        <x:v>ZH-EXCELLENT-024</x:v>
      </x:c>
      <x:c r="C25" s="17" t="str">
        <x:v>024</x:v>
      </x:c>
      <x:c r="D25" t="str">
        <x:v>Excellent</x:v>
      </x:c>
      <x:c r="E25" t="n">
        <x:v>85</x:v>
      </x:c>
      <x:c r="F25" t="n">
        <x:v>100</x:v>
      </x:c>
      <x:c r="G25" t="n">
        <x:v>1</x:v>
      </x:c>
      <x:c r="H25" s="18" t="n">
        <x:v>94</x:v>
      </x:c>
      <x:c r="I25" s="18" t="n">
        <x:v>95</x:v>
      </x:c>
      <x:c r="J25" s="18" t="n">
        <x:v>90</x:v>
      </x:c>
      <x:c r="K25" s="18" t="n">
        <x:v>95</x:v>
      </x:c>
      <x:c r="L25" s="18" t="n">
        <x:v>95</x:v>
      </x:c>
      <x:c r="M25" s="18" t="n">
        <x:v>95</x:v>
      </x:c>
      <x:c r="N25" s="18" t="n">
        <x:v>90</x:v>
      </x:c>
      <x:c r="O25" s="18" t="n">
        <x:v>94</x:v>
      </x:c>
      <x:c r="P25" s="18"/>
      <x:c r="Q25" t="str">
        <x:v>Yes</x:v>
      </x:c>
      <x:c r="R25" s="18" t="n">
        <x:v>0</x:v>
      </x:c>
      <x:c r="S25" s="18" t="n">
        <x:v>0</x:v>
      </x:c>
      <x:c r="T25" s="18" t="n">
        <x:v>0</x:v>
      </x:c>
      <x:c r="U25" t="str">
        <x:v>Excellent</x:v>
      </x:c>
      <x:c r="V25" t="str">
        <x:v>Yes</x:v>
      </x:c>
      <x:c r="W25" t="str">
        <x:v>PUBLICATION_READY</x:v>
      </x:c>
      <x:c r="X25" t="str">
        <x:v>PASS</x:v>
      </x:c>
      <x:c r="Y25" t="n">
        <x:v>80</x:v>
      </x:c>
      <x:c r="Z25" t="str">
        <x:v>Success</x:v>
      </x:c>
      <x:c r="AA25"/>
      <x:c r="AB25"/>
      <x:c r="AC25" s="13"/>
      <x:c r="AD25" t="n">
        <x:v>0</x:v>
      </x:c>
      <x:c r="AE25" s="19" t="n">
        <x:v>56145</x:v>
      </x:c>
      <x:c r="AF25" t="str">
        <x:v>deepseek-v4-pro</x:v>
      </x:c>
      <x:c r="AG25" s="20" t="n">
        <x:v>46224.140618032405</x:v>
      </x:c>
      <x:c r="AH25" t="n">
        <x:v>200</x:v>
      </x:c>
    </x:row>
    <x:row r="26">
      <x:c r="A26" s="17" t="str">
        <x:v>025</x:v>
      </x:c>
      <x:c r="B26" t="str">
        <x:v>ZH-EXCELLENT-025</x:v>
      </x:c>
      <x:c r="C26" s="17" t="str">
        <x:v>025</x:v>
      </x:c>
      <x:c r="D26" t="str">
        <x:v>Excellent</x:v>
      </x:c>
      <x:c r="E26" t="n">
        <x:v>85</x:v>
      </x:c>
      <x:c r="F26" t="n">
        <x:v>100</x:v>
      </x:c>
      <x:c r="G26" t="n">
        <x:v>1</x:v>
      </x:c>
      <x:c r="H26" s="18" t="n">
        <x:v>86</x:v>
      </x:c>
      <x:c r="I26" s="18" t="n">
        <x:v>82</x:v>
      </x:c>
      <x:c r="J26" s="18" t="n">
        <x:v>80</x:v>
      </x:c>
      <x:c r="K26" s="18" t="n">
        <x:v>85</x:v>
      </x:c>
      <x:c r="L26" s="18" t="n">
        <x:v>95</x:v>
      </x:c>
      <x:c r="M26" s="18" t="n">
        <x:v>92</x:v>
      </x:c>
      <x:c r="N26" s="18" t="n">
        <x:v>88</x:v>
      </x:c>
      <x:c r="O26" s="18" t="n">
        <x:v>86</x:v>
      </x:c>
      <x:c r="P26" s="18" t="n">
        <x:v>89</x:v>
      </x:c>
      <x:c r="Q26" t="str">
        <x:v>Yes</x:v>
      </x:c>
      <x:c r="R26" s="18" t="n">
        <x:v>0</x:v>
      </x:c>
      <x:c r="S26" s="18" t="n">
        <x:v>0</x:v>
      </x:c>
      <x:c r="T26" s="18" t="n">
        <x:v>0</x:v>
      </x:c>
      <x:c r="U26" t="str">
        <x:v>Excellent</x:v>
      </x:c>
      <x:c r="V26" t="str">
        <x:v>Yes</x:v>
      </x:c>
      <x:c r="W26" t="str">
        <x:v>STRONG_LIMITED_EDITING</x:v>
      </x:c>
      <x:c r="X26" t="str">
        <x:v>PASS</x:v>
      </x:c>
      <x:c r="Y26" t="n">
        <x:v>80</x:v>
      </x:c>
      <x:c r="Z26" t="str">
        <x:v>Success</x:v>
      </x:c>
      <x:c r="AA26"/>
      <x:c r="AB26"/>
      <x:c r="AC26" s="13"/>
      <x:c r="AD26" t="n">
        <x:v>0</x:v>
      </x:c>
      <x:c r="AE26" s="19" t="n">
        <x:v>116260</x:v>
      </x:c>
      <x:c r="AF26" t="str">
        <x:v>deepseek-v4-pro</x:v>
      </x:c>
      <x:c r="AG26" s="20" t="n">
        <x:v>46224.14196368056</x:v>
      </x:c>
      <x:c r="AH26" t="n">
        <x:v>200</x:v>
      </x:c>
    </x:row>
    <x:row r="27">
      <x:c r="A27" s="17" t="str">
        <x:v>026</x:v>
      </x:c>
      <x:c r="B27" t="str">
        <x:v>ZH-EXCELLENT-026</x:v>
      </x:c>
      <x:c r="C27" s="17" t="str">
        <x:v>026</x:v>
      </x:c>
      <x:c r="D27" t="str">
        <x:v>Excellent</x:v>
      </x:c>
      <x:c r="E27" t="n">
        <x:v>85</x:v>
      </x:c>
      <x:c r="F27" t="n">
        <x:v>100</x:v>
      </x:c>
      <x:c r="G27" t="n">
        <x:v>1</x:v>
      </x:c>
      <x:c r="H27" s="18" t="n">
        <x:v>89</x:v>
      </x:c>
      <x:c r="I27" s="18" t="n">
        <x:v>92</x:v>
      </x:c>
      <x:c r="J27" s="18" t="n">
        <x:v>85</x:v>
      </x:c>
      <x:c r="K27" s="18" t="n">
        <x:v>90</x:v>
      </x:c>
      <x:c r="L27" s="18" t="n">
        <x:v>95</x:v>
      </x:c>
      <x:c r="M27" s="18" t="n">
        <x:v>95</x:v>
      </x:c>
      <x:c r="N27" s="18" t="n">
        <x:v>92</x:v>
      </x:c>
      <x:c r="O27" s="18" t="n">
        <x:v>91</x:v>
      </x:c>
      <x:c r="P27" s="18" t="n">
        <x:v>89</x:v>
      </x:c>
      <x:c r="Q27" t="str">
        <x:v>Yes</x:v>
      </x:c>
      <x:c r="R27" s="18" t="n">
        <x:v>0</x:v>
      </x:c>
      <x:c r="S27" s="18" t="n">
        <x:v>0</x:v>
      </x:c>
      <x:c r="T27" s="18" t="n">
        <x:v>0</x:v>
      </x:c>
      <x:c r="U27" t="str">
        <x:v>Excellent</x:v>
      </x:c>
      <x:c r="V27" t="str">
        <x:v>Yes</x:v>
      </x:c>
      <x:c r="W27" t="str">
        <x:v>STRONG_LIMITED_EDITING</x:v>
      </x:c>
      <x:c r="X27" t="str">
        <x:v>PASS</x:v>
      </x:c>
      <x:c r="Y27" t="n">
        <x:v>80</x:v>
      </x:c>
      <x:c r="Z27" t="str">
        <x:v>Success</x:v>
      </x:c>
      <x:c r="AA27"/>
      <x:c r="AB27"/>
      <x:c r="AC27" s="13"/>
      <x:c r="AD27" t="n">
        <x:v>0</x:v>
      </x:c>
      <x:c r="AE27" s="19" t="n">
        <x:v>112006</x:v>
      </x:c>
      <x:c r="AF27" t="str">
        <x:v>deepseek-v4-pro</x:v>
      </x:c>
      <x:c r="AG27" s="20" t="n">
        <x:v>46224.14326011574</x:v>
      </x:c>
      <x:c r="AH27" t="n">
        <x:v>200</x:v>
      </x:c>
    </x:row>
    <x:row r="28">
      <x:c r="A28" s="17" t="str">
        <x:v>027</x:v>
      </x:c>
      <x:c r="B28" t="str">
        <x:v>ZH-EXCELLENT-027</x:v>
      </x:c>
      <x:c r="C28" s="17" t="str">
        <x:v>027</x:v>
      </x:c>
      <x:c r="D28" t="str">
        <x:v>Excellent</x:v>
      </x:c>
      <x:c r="E28" t="n">
        <x:v>85</x:v>
      </x:c>
      <x:c r="F28" t="n">
        <x:v>100</x:v>
      </x:c>
      <x:c r="G28" t="n">
        <x:v>1</x:v>
      </x:c>
      <x:c r="H28" s="18" t="n">
        <x:v>96</x:v>
      </x:c>
      <x:c r="I28" s="18" t="n">
        <x:v>97</x:v>
      </x:c>
      <x:c r="J28" s="18" t="n">
        <x:v>96</x:v>
      </x:c>
      <x:c r="K28" s="18" t="n">
        <x:v>95</x:v>
      </x:c>
      <x:c r="L28" s="18" t="n">
        <x:v>98</x:v>
      </x:c>
      <x:c r="M28" s="18" t="n">
        <x:v>95</x:v>
      </x:c>
      <x:c r="N28" s="18" t="n">
        <x:v>98</x:v>
      </x:c>
      <x:c r="O28" s="18" t="n">
        <x:v>96</x:v>
      </x:c>
      <x:c r="P28" s="18"/>
      <x:c r="Q28" t="str">
        <x:v>Yes</x:v>
      </x:c>
      <x:c r="R28" s="18" t="n">
        <x:v>0</x:v>
      </x:c>
      <x:c r="S28" s="18" t="n">
        <x:v>0</x:v>
      </x:c>
      <x:c r="T28" s="18" t="n">
        <x:v>0</x:v>
      </x:c>
      <x:c r="U28" t="str">
        <x:v>Excellent</x:v>
      </x:c>
      <x:c r="V28" t="str">
        <x:v>Yes</x:v>
      </x:c>
      <x:c r="W28" t="str">
        <x:v>PUBLICATION_READY</x:v>
      </x:c>
      <x:c r="X28" t="str">
        <x:v>PASS</x:v>
      </x:c>
      <x:c r="Y28" t="n">
        <x:v>80</x:v>
      </x:c>
      <x:c r="Z28" t="str">
        <x:v>Success</x:v>
      </x:c>
      <x:c r="AA28"/>
      <x:c r="AB28"/>
      <x:c r="AC28" s="13"/>
      <x:c r="AD28" t="n">
        <x:v>0</x:v>
      </x:c>
      <x:c r="AE28" s="19" t="n">
        <x:v>61050</x:v>
      </x:c>
      <x:c r="AF28" t="str">
        <x:v>deepseek-v4-pro</x:v>
      </x:c>
      <x:c r="AG28" s="20" t="n">
        <x:v>46224.143966793985</x:v>
      </x:c>
      <x:c r="AH28" t="n">
        <x:v>200</x:v>
      </x:c>
    </x:row>
    <x:row r="29">
      <x:c r="A29" s="17" t="str">
        <x:v>028</x:v>
      </x:c>
      <x:c r="B29" t="str">
        <x:v>ZH-EXCELLENT-028</x:v>
      </x:c>
      <x:c r="C29" s="17" t="str">
        <x:v>028</x:v>
      </x:c>
      <x:c r="D29" t="str">
        <x:v>Excellent</x:v>
      </x:c>
      <x:c r="E29" t="n">
        <x:v>85</x:v>
      </x:c>
      <x:c r="F29" t="n">
        <x:v>100</x:v>
      </x:c>
      <x:c r="G29" t="n">
        <x:v>1</x:v>
      </x:c>
      <x:c r="H29" s="18" t="n">
        <x:v>95</x:v>
      </x:c>
      <x:c r="I29" s="18" t="n">
        <x:v>95</x:v>
      </x:c>
      <x:c r="J29" s="18" t="n">
        <x:v>95</x:v>
      </x:c>
      <x:c r="K29" s="18" t="n">
        <x:v>95</x:v>
      </x:c>
      <x:c r="L29" s="18" t="n">
        <x:v>95</x:v>
      </x:c>
      <x:c r="M29" s="18" t="n">
        <x:v>95</x:v>
      </x:c>
      <x:c r="N29" s="18" t="n">
        <x:v>95</x:v>
      </x:c>
      <x:c r="O29" s="18" t="n">
        <x:v>95</x:v>
      </x:c>
      <x:c r="P29" s="18"/>
      <x:c r="Q29" t="str">
        <x:v>Yes</x:v>
      </x:c>
      <x:c r="R29" s="18" t="n">
        <x:v>0</x:v>
      </x:c>
      <x:c r="S29" s="18" t="n">
        <x:v>0</x:v>
      </x:c>
      <x:c r="T29" s="18" t="n">
        <x:v>0</x:v>
      </x:c>
      <x:c r="U29" t="str">
        <x:v>Excellent</x:v>
      </x:c>
      <x:c r="V29" t="str">
        <x:v>Yes</x:v>
      </x:c>
      <x:c r="W29" t="str">
        <x:v>PUBLICATION_READY</x:v>
      </x:c>
      <x:c r="X29" t="str">
        <x:v>PASS</x:v>
      </x:c>
      <x:c r="Y29" t="n">
        <x:v>80</x:v>
      </x:c>
      <x:c r="Z29" t="str">
        <x:v>Success</x:v>
      </x:c>
      <x:c r="AA29"/>
      <x:c r="AB29"/>
      <x:c r="AC29" s="13"/>
      <x:c r="AD29" t="n">
        <x:v>0</x:v>
      </x:c>
      <x:c r="AE29" s="19" t="n">
        <x:v>50918</x:v>
      </x:c>
      <x:c r="AF29" t="str">
        <x:v>deepseek-v4-pro</x:v>
      </x:c>
      <x:c r="AG29" s="20" t="n">
        <x:v>46224.14455613426</x:v>
      </x:c>
      <x:c r="AH29" t="n">
        <x:v>200</x:v>
      </x:c>
    </x:row>
    <x:row r="30">
      <x:c r="A30" s="17" t="str">
        <x:v>029</x:v>
      </x:c>
      <x:c r="B30" t="str">
        <x:v>ZH-EXCELLENT-029</x:v>
      </x:c>
      <x:c r="C30" s="17" t="str">
        <x:v>029</x:v>
      </x:c>
      <x:c r="D30" t="str">
        <x:v>Excellent</x:v>
      </x:c>
      <x:c r="E30" t="n">
        <x:v>85</x:v>
      </x:c>
      <x:c r="F30" t="n">
        <x:v>100</x:v>
      </x:c>
      <x:c r="G30" t="n">
        <x:v>1</x:v>
      </x:c>
      <x:c r="H30" s="18" t="n">
        <x:v>95</x:v>
      </x:c>
      <x:c r="I30" s="18" t="n">
        <x:v>95</x:v>
      </x:c>
      <x:c r="J30" s="18" t="n">
        <x:v>95</x:v>
      </x:c>
      <x:c r="K30" s="18" t="n">
        <x:v>95</x:v>
      </x:c>
      <x:c r="L30" s="18" t="n">
        <x:v>95</x:v>
      </x:c>
      <x:c r="M30" s="18" t="n">
        <x:v>95</x:v>
      </x:c>
      <x:c r="N30" s="18" t="n">
        <x:v>95</x:v>
      </x:c>
      <x:c r="O30" s="18" t="n">
        <x:v>95</x:v>
      </x:c>
      <x:c r="P30" s="18"/>
      <x:c r="Q30" t="str">
        <x:v>Yes</x:v>
      </x:c>
      <x:c r="R30" s="18" t="n">
        <x:v>0</x:v>
      </x:c>
      <x:c r="S30" s="18" t="n">
        <x:v>0</x:v>
      </x:c>
      <x:c r="T30" s="18" t="n">
        <x:v>0</x:v>
      </x:c>
      <x:c r="U30" t="str">
        <x:v>Excellent</x:v>
      </x:c>
      <x:c r="V30" t="str">
        <x:v>Yes</x:v>
      </x:c>
      <x:c r="W30" t="str">
        <x:v>PUBLICATION_READY</x:v>
      </x:c>
      <x:c r="X30" t="str">
        <x:v>PASS</x:v>
      </x:c>
      <x:c r="Y30" t="n">
        <x:v>80</x:v>
      </x:c>
      <x:c r="Z30" t="str">
        <x:v>Success</x:v>
      </x:c>
      <x:c r="AA30"/>
      <x:c r="AB30"/>
      <x:c r="AC30" s="13"/>
      <x:c r="AD30" t="n">
        <x:v>0</x:v>
      </x:c>
      <x:c r="AE30" s="19" t="n">
        <x:v>76789</x:v>
      </x:c>
      <x:c r="AF30" t="str">
        <x:v>deepseek-v4-pro</x:v>
      </x:c>
      <x:c r="AG30" s="20" t="n">
        <x:v>46224.145444953705</x:v>
      </x:c>
      <x:c r="AH30" t="n">
        <x:v>200</x:v>
      </x:c>
    </x:row>
    <x:row r="31">
      <x:c r="A31" s="17" t="str">
        <x:v>030</x:v>
      </x:c>
      <x:c r="B31" t="str">
        <x:v>ZH-EXCELLENT-030</x:v>
      </x:c>
      <x:c r="C31" s="17" t="str">
        <x:v>030</x:v>
      </x:c>
      <x:c r="D31" t="str">
        <x:v>Excellent</x:v>
      </x:c>
      <x:c r="E31" t="n">
        <x:v>85</x:v>
      </x:c>
      <x:c r="F31" t="n">
        <x:v>100</x:v>
      </x:c>
      <x:c r="G31" t="n">
        <x:v>1</x:v>
      </x:c>
      <x:c r="H31" s="18" t="n">
        <x:v>94</x:v>
      </x:c>
      <x:c r="I31" s="18" t="n">
        <x:v>92</x:v>
      </x:c>
      <x:c r="J31" s="18" t="n">
        <x:v>90</x:v>
      </x:c>
      <x:c r="K31" s="18" t="n">
        <x:v>94</x:v>
      </x:c>
      <x:c r="L31" s="18" t="n">
        <x:v>98</x:v>
      </x:c>
      <x:c r="M31" s="18" t="n">
        <x:v>95</x:v>
      </x:c>
      <x:c r="N31" s="18" t="n">
        <x:v>95</x:v>
      </x:c>
      <x:c r="O31" s="18" t="n">
        <x:v>94</x:v>
      </x:c>
      <x:c r="P31" s="18"/>
      <x:c r="Q31" t="str">
        <x:v>Yes</x:v>
      </x:c>
      <x:c r="R31" s="18" t="n">
        <x:v>0</x:v>
      </x:c>
      <x:c r="S31" s="18" t="n">
        <x:v>0</x:v>
      </x:c>
      <x:c r="T31" s="18" t="n">
        <x:v>0</x:v>
      </x:c>
      <x:c r="U31" t="str">
        <x:v>Excellent</x:v>
      </x:c>
      <x:c r="V31" t="str">
        <x:v>Yes</x:v>
      </x:c>
      <x:c r="W31" t="str">
        <x:v>PUBLICATION_READY</x:v>
      </x:c>
      <x:c r="X31" t="str">
        <x:v>PASS</x:v>
      </x:c>
      <x:c r="Y31" t="n">
        <x:v>80</x:v>
      </x:c>
      <x:c r="Z31" t="str">
        <x:v>Success</x:v>
      </x:c>
      <x:c r="AA31"/>
      <x:c r="AB31"/>
      <x:c r="AC31" s="13"/>
      <x:c r="AD31" t="n">
        <x:v>0</x:v>
      </x:c>
      <x:c r="AE31" s="19" t="n">
        <x:v>66093</x:v>
      </x:c>
      <x:c r="AF31" t="str">
        <x:v>deepseek-v4-pro</x:v>
      </x:c>
      <x:c r="AG31" s="20" t="n">
        <x:v>46224.14620991898</x:v>
      </x:c>
      <x:c r="AH31" t="n">
        <x:v>200</x:v>
      </x:c>
    </x:row>
    <x:row r="32">
      <x:c r="A32" s="17" t="str">
        <x:v>031</x:v>
      </x:c>
      <x:c r="B32" t="str">
        <x:v>ZH-GOOD-001</x:v>
      </x:c>
      <x:c r="C32" s="17" t="str">
        <x:v>001</x:v>
      </x:c>
      <x:c r="D32" t="str">
        <x:v>Good</x:v>
      </x:c>
      <x:c r="E32" t="n">
        <x:v>70</x:v>
      </x:c>
      <x:c r="F32" t="n">
        <x:v>84</x:v>
      </x:c>
      <x:c r="G32" t="n">
        <x:v>1</x:v>
      </x:c>
      <x:c r="H32" s="18" t="n">
        <x:v>59</x:v>
      </x:c>
      <x:c r="I32" s="18" t="n">
        <x:v>55</x:v>
      </x:c>
      <x:c r="J32" s="18" t="n">
        <x:v>70</x:v>
      </x:c>
      <x:c r="K32" s="18" t="n">
        <x:v>78</x:v>
      </x:c>
      <x:c r="L32" s="18" t="n">
        <x:v>88</x:v>
      </x:c>
      <x:c r="M32" s="18" t="n">
        <x:v>82</x:v>
      </x:c>
      <x:c r="N32" s="18" t="n">
        <x:v>78</x:v>
      </x:c>
      <x:c r="O32" s="18" t="n">
        <x:v>73</x:v>
      </x:c>
      <x:c r="P32" s="18" t="n">
        <x:v>59</x:v>
      </x:c>
      <x:c r="Q32" t="str">
        <x:v>No</x:v>
      </x:c>
      <x:c r="R32" s="18" t="n">
        <x:v>11</x:v>
      </x:c>
      <x:c r="S32" s="18" t="n">
        <x:v>11</x:v>
      </x:c>
      <x:c r="T32" s="18" t="n">
        <x:v>0</x:v>
      </x:c>
      <x:c r="U32" t="str">
        <x:v>Normal</x:v>
      </x:c>
      <x:c r="V32" t="str">
        <x:v>No</x:v>
      </x:c>
      <x:c r="W32" t="str">
        <x:v>WEAK</x:v>
      </x:c>
      <x:c r="X32" t="str">
        <x:v>REWRITE_REQUIRED</x:v>
      </x:c>
      <x:c r="Y32" t="n">
        <x:v>80</x:v>
      </x:c>
      <x:c r="Z32" t="str">
        <x:v>Success</x:v>
      </x:c>
      <x:c r="AA32"/>
      <x:c r="AB32"/>
      <x:c r="AC32" s="13"/>
      <x:c r="AD32" t="n">
        <x:v>0</x:v>
      </x:c>
      <x:c r="AE32" s="19" t="n">
        <x:v>117385</x:v>
      </x:c>
      <x:c r="AF32" t="str">
        <x:v>deepseek-v4-pro</x:v>
      </x:c>
      <x:c r="AG32" s="20" t="n">
        <x:v>46223.37135606482</x:v>
      </x:c>
      <x:c r="AH32" t="n">
        <x:v>200</x:v>
      </x:c>
    </x:row>
    <x:row r="33">
      <x:c r="A33" s="17" t="str">
        <x:v>032</x:v>
      </x:c>
      <x:c r="B33" t="str">
        <x:v>ZH-GOOD-002</x:v>
      </x:c>
      <x:c r="C33" s="17" t="str">
        <x:v>002</x:v>
      </x:c>
      <x:c r="D33" t="str">
        <x:v>Good</x:v>
      </x:c>
      <x:c r="E33" t="n">
        <x:v>70</x:v>
      </x:c>
      <x:c r="F33" t="n">
        <x:v>84</x:v>
      </x:c>
      <x:c r="G33" t="n">
        <x:v>1</x:v>
      </x:c>
      <x:c r="H33" s="18" t="n">
        <x:v>86</x:v>
      </x:c>
      <x:c r="I33" s="18" t="n">
        <x:v>88</x:v>
      </x:c>
      <x:c r="J33" s="18" t="n">
        <x:v>80</x:v>
      </x:c>
      <x:c r="K33" s="18" t="n">
        <x:v>88</x:v>
      </x:c>
      <x:c r="L33" s="18" t="n">
        <x:v>90</x:v>
      </x:c>
      <x:c r="M33" s="18" t="n">
        <x:v>88</x:v>
      </x:c>
      <x:c r="N33" s="18" t="n">
        <x:v>82</x:v>
      </x:c>
      <x:c r="O33" s="18" t="n">
        <x:v>86</x:v>
      </x:c>
      <x:c r="P33" s="18" t="n">
        <x:v>89</x:v>
      </x:c>
      <x:c r="Q33" t="str">
        <x:v>No</x:v>
      </x:c>
      <x:c r="R33" s="18" t="n">
        <x:v>2</x:v>
      </x:c>
      <x:c r="S33" s="18" t="n">
        <x:v>0</x:v>
      </x:c>
      <x:c r="T33" s="18" t="n">
        <x:v>2</x:v>
      </x:c>
      <x:c r="U33" t="str">
        <x:v>Excellent</x:v>
      </x:c>
      <x:c r="V33" t="str">
        <x:v>No</x:v>
      </x:c>
      <x:c r="W33" t="str">
        <x:v>STRONG_LIMITED_EDITING</x:v>
      </x:c>
      <x:c r="X33" t="str">
        <x:v>PASS</x:v>
      </x:c>
      <x:c r="Y33" t="n">
        <x:v>80</x:v>
      </x:c>
      <x:c r="Z33" t="str">
        <x:v>Success</x:v>
      </x:c>
      <x:c r="AA33"/>
      <x:c r="AB33"/>
      <x:c r="AC33" s="13"/>
      <x:c r="AD33" t="n">
        <x:v>0</x:v>
      </x:c>
      <x:c r="AE33" s="19" t="n">
        <x:v>115155</x:v>
      </x:c>
      <x:c r="AF33" t="str">
        <x:v>deepseek-v4-pro</x:v>
      </x:c>
      <x:c r="AG33" s="20" t="n">
        <x:v>46224.11509068287</x:v>
      </x:c>
      <x:c r="AH33" t="n">
        <x:v>200</x:v>
      </x:c>
    </x:row>
    <x:row r="34">
      <x:c r="A34" s="17" t="str">
        <x:v>033</x:v>
      </x:c>
      <x:c r="B34" t="str">
        <x:v>ZH-GOOD-003</x:v>
      </x:c>
      <x:c r="C34" s="17" t="str">
        <x:v>003</x:v>
      </x:c>
      <x:c r="D34" t="str">
        <x:v>Good</x:v>
      </x:c>
      <x:c r="E34" t="n">
        <x:v>70</x:v>
      </x:c>
      <x:c r="F34" t="n">
        <x:v>84</x:v>
      </x:c>
      <x:c r="G34" t="n">
        <x:v>1</x:v>
      </x:c>
      <x:c r="H34" s="18" t="n">
        <x:v>74</x:v>
      </x:c>
      <x:c r="I34" s="18" t="n">
        <x:v>68</x:v>
      </x:c>
      <x:c r="J34" s="18" t="n">
        <x:v>75</x:v>
      </x:c>
      <x:c r="K34" s="18" t="n">
        <x:v>85</x:v>
      </x:c>
      <x:c r="L34" s="18" t="n">
        <x:v>88</x:v>
      </x:c>
      <x:c r="M34" s="18" t="n">
        <x:v>75</x:v>
      </x:c>
      <x:c r="N34" s="18" t="n">
        <x:v>68</x:v>
      </x:c>
      <x:c r="O34" s="18" t="n">
        <x:v>76</x:v>
      </x:c>
      <x:c r="P34" s="18" t="n">
        <x:v>74</x:v>
      </x:c>
      <x:c r="Q34" t="str">
        <x:v>Yes</x:v>
      </x:c>
      <x:c r="R34" s="18" t="n">
        <x:v>0</x:v>
      </x:c>
      <x:c r="S34" s="18" t="n">
        <x:v>0</x:v>
      </x:c>
      <x:c r="T34" s="18" t="n">
        <x:v>0</x:v>
      </x:c>
      <x:c r="U34" t="str">
        <x:v>Good</x:v>
      </x:c>
      <x:c r="V34" t="str">
        <x:v>Yes</x:v>
      </x:c>
      <x:c r="W34" t="str">
        <x:v>SUBSTANTIAL_REWRITE</x:v>
      </x:c>
      <x:c r="X34" t="str">
        <x:v>REWRITE_REQUIRED</x:v>
      </x:c>
      <x:c r="Y34" t="n">
        <x:v>80</x:v>
      </x:c>
      <x:c r="Z34" t="str">
        <x:v>Success</x:v>
      </x:c>
      <x:c r="AA34"/>
      <x:c r="AB34"/>
      <x:c r="AC34" s="13"/>
      <x:c r="AD34" t="n">
        <x:v>0</x:v>
      </x:c>
      <x:c r="AE34" s="19" t="n">
        <x:v>148001</x:v>
      </x:c>
      <x:c r="AF34" t="str">
        <x:v>deepseek-v4-pro</x:v>
      </x:c>
      <x:c r="AG34" s="20" t="n">
        <x:v>46224.116803680554</x:v>
      </x:c>
      <x:c r="AH34" t="n">
        <x:v>200</x:v>
      </x:c>
    </x:row>
    <x:row r="35">
      <x:c r="A35" s="17" t="str">
        <x:v>034</x:v>
      </x:c>
      <x:c r="B35" t="str">
        <x:v>ZH-GOOD-004</x:v>
      </x:c>
      <x:c r="C35" s="17" t="str">
        <x:v>004</x:v>
      </x:c>
      <x:c r="D35" t="str">
        <x:v>Good</x:v>
      </x:c>
      <x:c r="E35" t="n">
        <x:v>70</x:v>
      </x:c>
      <x:c r="F35" t="n">
        <x:v>84</x:v>
      </x:c>
      <x:c r="G35" t="n">
        <x:v>1</x:v>
      </x:c>
      <x:c r="H35" s="18" t="n">
        <x:v>85</x:v>
      </x:c>
      <x:c r="I35" s="18" t="n">
        <x:v>78</x:v>
      </x:c>
      <x:c r="J35" s="18" t="n">
        <x:v>80</x:v>
      </x:c>
      <x:c r="K35" s="18" t="n">
        <x:v>85</x:v>
      </x:c>
      <x:c r="L35" s="18" t="n">
        <x:v>95</x:v>
      </x:c>
      <x:c r="M35" s="18" t="n">
        <x:v>90</x:v>
      </x:c>
      <x:c r="N35" s="18" t="n">
        <x:v>85</x:v>
      </x:c>
      <x:c r="O35" s="18" t="n">
        <x:v>85</x:v>
      </x:c>
      <x:c r="P35" s="18" t="n">
        <x:v>89</x:v>
      </x:c>
      <x:c r="Q35" t="str">
        <x:v>No</x:v>
      </x:c>
      <x:c r="R35" s="18" t="n">
        <x:v>1</x:v>
      </x:c>
      <x:c r="S35" s="18" t="n">
        <x:v>0</x:v>
      </x:c>
      <x:c r="T35" s="18" t="n">
        <x:v>1</x:v>
      </x:c>
      <x:c r="U35" t="str">
        <x:v>Excellent</x:v>
      </x:c>
      <x:c r="V35" t="str">
        <x:v>No</x:v>
      </x:c>
      <x:c r="W35" t="str">
        <x:v>STRONG_LIMITED_EDITING</x:v>
      </x:c>
      <x:c r="X35" t="str">
        <x:v>PASS</x:v>
      </x:c>
      <x:c r="Y35" t="n">
        <x:v>80</x:v>
      </x:c>
      <x:c r="Z35" t="str">
        <x:v>Success</x:v>
      </x:c>
      <x:c r="AA35"/>
      <x:c r="AB35"/>
      <x:c r="AC35" s="13"/>
      <x:c r="AD35" t="n">
        <x:v>0</x:v>
      </x:c>
      <x:c r="AE35" s="19" t="n">
        <x:v>132646</x:v>
      </x:c>
      <x:c r="AF35" t="str">
        <x:v>deepseek-v4-pro</x:v>
      </x:c>
      <x:c r="AG35" s="20" t="n">
        <x:v>46224.11833895833</x:v>
      </x:c>
      <x:c r="AH35" t="n">
        <x:v>200</x:v>
      </x:c>
    </x:row>
    <x:row r="36">
      <x:c r="A36" s="17" t="str">
        <x:v>035</x:v>
      </x:c>
      <x:c r="B36" t="str">
        <x:v>ZH-GOOD-005</x:v>
      </x:c>
      <x:c r="C36" s="17" t="str">
        <x:v>005</x:v>
      </x:c>
      <x:c r="D36" t="str">
        <x:v>Good</x:v>
      </x:c>
      <x:c r="E36" t="n">
        <x:v>70</x:v>
      </x:c>
      <x:c r="F36" t="n">
        <x:v>84</x:v>
      </x:c>
      <x:c r="G36" t="n">
        <x:v>1</x:v>
      </x:c>
      <x:c r="H36" s="18" t="n">
        <x:v>59</x:v>
      </x:c>
      <x:c r="I36" s="18" t="n">
        <x:v>55</x:v>
      </x:c>
      <x:c r="J36" s="18" t="n">
        <x:v>85</x:v>
      </x:c>
      <x:c r="K36" s="18" t="n">
        <x:v>85</x:v>
      </x:c>
      <x:c r="L36" s="18" t="n">
        <x:v>80</x:v>
      </x:c>
      <x:c r="M36" s="18" t="n">
        <x:v>55</x:v>
      </x:c>
      <x:c r="N36" s="18" t="n">
        <x:v>30</x:v>
      </x:c>
      <x:c r="O36" s="18" t="n">
        <x:v>67</x:v>
      </x:c>
      <x:c r="P36" s="18" t="n">
        <x:v>59</x:v>
      </x:c>
      <x:c r="Q36" t="str">
        <x:v>No</x:v>
      </x:c>
      <x:c r="R36" s="18" t="n">
        <x:v>11</x:v>
      </x:c>
      <x:c r="S36" s="18" t="n">
        <x:v>11</x:v>
      </x:c>
      <x:c r="T36" s="18" t="n">
        <x:v>0</x:v>
      </x:c>
      <x:c r="U36" t="str">
        <x:v>Normal</x:v>
      </x:c>
      <x:c r="V36" t="str">
        <x:v>No</x:v>
      </x:c>
      <x:c r="W36" t="str">
        <x:v>WEAK</x:v>
      </x:c>
      <x:c r="X36" t="str">
        <x:v>REWRITE_REQUIRED</x:v>
      </x:c>
      <x:c r="Y36" t="n">
        <x:v>80</x:v>
      </x:c>
      <x:c r="Z36" t="str">
        <x:v>Success</x:v>
      </x:c>
      <x:c r="AA36"/>
      <x:c r="AB36"/>
      <x:c r="AC36" s="13"/>
      <x:c r="AD36" t="n">
        <x:v>0</x:v>
      </x:c>
      <x:c r="AE36" s="19" t="n">
        <x:v>101317</x:v>
      </x:c>
      <x:c r="AF36" t="str">
        <x:v>deepseek-v4-pro</x:v>
      </x:c>
      <x:c r="AG36" s="20" t="n">
        <x:v>46224.119511655095</x:v>
      </x:c>
      <x:c r="AH36" t="n">
        <x:v>200</x:v>
      </x:c>
    </x:row>
    <x:row r="37">
      <x:c r="A37" s="17" t="str">
        <x:v>036</x:v>
      </x:c>
      <x:c r="B37" t="str">
        <x:v>ZH-GOOD-006</x:v>
      </x:c>
      <x:c r="C37" s="17" t="str">
        <x:v>006</x:v>
      </x:c>
      <x:c r="D37" t="str">
        <x:v>Good</x:v>
      </x:c>
      <x:c r="E37" t="n">
        <x:v>70</x:v>
      </x:c>
      <x:c r="F37" t="n">
        <x:v>84</x:v>
      </x:c>
      <x:c r="G37" t="n">
        <x:v>1</x:v>
      </x:c>
      <x:c r="H37" s="18" t="n">
        <x:v>59</x:v>
      </x:c>
      <x:c r="I37" s="18" t="n">
        <x:v>59</x:v>
      </x:c>
      <x:c r="J37" s="18" t="n">
        <x:v>80</x:v>
      </x:c>
      <x:c r="K37" s="18" t="n">
        <x:v>92</x:v>
      </x:c>
      <x:c r="L37" s="18" t="n">
        <x:v>92</x:v>
      </x:c>
      <x:c r="M37" s="18" t="n">
        <x:v>55</x:v>
      </x:c>
      <x:c r="N37" s="18" t="n">
        <x:v>40</x:v>
      </x:c>
      <x:c r="O37" s="18" t="n">
        <x:v>71</x:v>
      </x:c>
      <x:c r="P37" s="18" t="n">
        <x:v>59</x:v>
      </x:c>
      <x:c r="Q37" t="str">
        <x:v>No</x:v>
      </x:c>
      <x:c r="R37" s="18" t="n">
        <x:v>11</x:v>
      </x:c>
      <x:c r="S37" s="18" t="n">
        <x:v>11</x:v>
      </x:c>
      <x:c r="T37" s="18" t="n">
        <x:v>0</x:v>
      </x:c>
      <x:c r="U37" t="str">
        <x:v>Normal</x:v>
      </x:c>
      <x:c r="V37" t="str">
        <x:v>No</x:v>
      </x:c>
      <x:c r="W37" t="str">
        <x:v>WEAK</x:v>
      </x:c>
      <x:c r="X37" t="str">
        <x:v>REWRITE_REQUIRED</x:v>
      </x:c>
      <x:c r="Y37" t="n">
        <x:v>80</x:v>
      </x:c>
      <x:c r="Z37" t="str">
        <x:v>Success</x:v>
      </x:c>
      <x:c r="AA37"/>
      <x:c r="AB37"/>
      <x:c r="AC37" s="13"/>
      <x:c r="AD37" t="n">
        <x:v>0</x:v>
      </x:c>
      <x:c r="AE37" s="19" t="n">
        <x:v>160591</x:v>
      </x:c>
      <x:c r="AF37" t="str">
        <x:v>deepseek-v4-pro</x:v>
      </x:c>
      <x:c r="AG37" s="20" t="n">
        <x:v>46224.121370347224</x:v>
      </x:c>
      <x:c r="AH37" t="n">
        <x:v>200</x:v>
      </x:c>
    </x:row>
    <x:row r="38">
      <x:c r="A38" s="17" t="str">
        <x:v>037</x:v>
      </x:c>
      <x:c r="B38" t="str">
        <x:v>ZH-GOOD-007</x:v>
      </x:c>
      <x:c r="C38" s="17" t="str">
        <x:v>007</x:v>
      </x:c>
      <x:c r="D38" t="str">
        <x:v>Good</x:v>
      </x:c>
      <x:c r="E38" t="n">
        <x:v>70</x:v>
      </x:c>
      <x:c r="F38" t="n">
        <x:v>84</x:v>
      </x:c>
      <x:c r="G38" t="n">
        <x:v>1</x:v>
      </x:c>
      <x:c r="H38" s="18" t="n">
        <x:v>59</x:v>
      </x:c>
      <x:c r="I38" s="18" t="n">
        <x:v>50</x:v>
      </x:c>
      <x:c r="J38" s="18" t="n">
        <x:v>85</x:v>
      </x:c>
      <x:c r="K38" s="18" t="n">
        <x:v>92</x:v>
      </x:c>
      <x:c r="L38" s="18" t="n">
        <x:v>95</x:v>
      </x:c>
      <x:c r="M38" s="18" t="n">
        <x:v>50</x:v>
      </x:c>
      <x:c r="N38" s="18" t="n">
        <x:v>30</x:v>
      </x:c>
      <x:c r="O38" s="18" t="n">
        <x:v>68</x:v>
      </x:c>
      <x:c r="P38" s="18" t="n">
        <x:v>59</x:v>
      </x:c>
      <x:c r="Q38" t="str">
        <x:v>No</x:v>
      </x:c>
      <x:c r="R38" s="18" t="n">
        <x:v>11</x:v>
      </x:c>
      <x:c r="S38" s="18" t="n">
        <x:v>11</x:v>
      </x:c>
      <x:c r="T38" s="18" t="n">
        <x:v>0</x:v>
      </x:c>
      <x:c r="U38" t="str">
        <x:v>Normal</x:v>
      </x:c>
      <x:c r="V38" t="str">
        <x:v>No</x:v>
      </x:c>
      <x:c r="W38" t="str">
        <x:v>WEAK</x:v>
      </x:c>
      <x:c r="X38" t="str">
        <x:v>REWRITE_REQUIRED</x:v>
      </x:c>
      <x:c r="Y38" t="n">
        <x:v>80</x:v>
      </x:c>
      <x:c r="Z38" t="str">
        <x:v>Success</x:v>
      </x:c>
      <x:c r="AA38"/>
      <x:c r="AB38"/>
      <x:c r="AC38" s="13"/>
      <x:c r="AD38" t="n">
        <x:v>0</x:v>
      </x:c>
      <x:c r="AE38" s="19" t="n">
        <x:v>105823</x:v>
      </x:c>
      <x:c r="AF38" t="str">
        <x:v>deepseek-v4-pro</x:v>
      </x:c>
      <x:c r="AG38" s="20" t="n">
        <x:v>46224.12259519676</x:v>
      </x:c>
      <x:c r="AH38" t="n">
        <x:v>200</x:v>
      </x:c>
    </x:row>
    <x:row r="39">
      <x:c r="A39" s="17" t="str">
        <x:v>038</x:v>
      </x:c>
      <x:c r="B39" t="str">
        <x:v>ZH-GOOD-008</x:v>
      </x:c>
      <x:c r="C39" s="17" t="str">
        <x:v>008</x:v>
      </x:c>
      <x:c r="D39" t="str">
        <x:v>Good</x:v>
      </x:c>
      <x:c r="E39" t="n">
        <x:v>70</x:v>
      </x:c>
      <x:c r="F39" t="n">
        <x:v>84</x:v>
      </x:c>
      <x:c r="G39" t="n">
        <x:v>1</x:v>
      </x:c>
      <x:c r="H39" s="18" t="n">
        <x:v>59</x:v>
      </x:c>
      <x:c r="I39" s="18" t="n">
        <x:v>82</x:v>
      </x:c>
      <x:c r="J39" s="18" t="n">
        <x:v>85</x:v>
      </x:c>
      <x:c r="K39" s="18" t="n">
        <x:v>92</x:v>
      </x:c>
      <x:c r="L39" s="18" t="n">
        <x:v>95</x:v>
      </x:c>
      <x:c r="M39" s="18" t="n">
        <x:v>90</x:v>
      </x:c>
      <x:c r="N39" s="18" t="n">
        <x:v>55</x:v>
      </x:c>
      <x:c r="O39" s="18" t="n">
        <x:v>85</x:v>
      </x:c>
      <x:c r="P39" s="18" t="n">
        <x:v>59</x:v>
      </x:c>
      <x:c r="Q39" t="str">
        <x:v>No</x:v>
      </x:c>
      <x:c r="R39" s="18" t="n">
        <x:v>11</x:v>
      </x:c>
      <x:c r="S39" s="18" t="n">
        <x:v>11</x:v>
      </x:c>
      <x:c r="T39" s="18" t="n">
        <x:v>0</x:v>
      </x:c>
      <x:c r="U39" t="str">
        <x:v>Normal</x:v>
      </x:c>
      <x:c r="V39" t="str">
        <x:v>No</x:v>
      </x:c>
      <x:c r="W39" t="str">
        <x:v>WEAK</x:v>
      </x:c>
      <x:c r="X39" t="str">
        <x:v>REWRITE_REQUIRED</x:v>
      </x:c>
      <x:c r="Y39" t="n">
        <x:v>80</x:v>
      </x:c>
      <x:c r="Z39" t="str">
        <x:v>Success</x:v>
      </x:c>
      <x:c r="AA39"/>
      <x:c r="AB39"/>
      <x:c r="AC39" s="13"/>
      <x:c r="AD39" t="n">
        <x:v>0</x:v>
      </x:c>
      <x:c r="AE39" s="19" t="n">
        <x:v>147882</x:v>
      </x:c>
      <x:c r="AF39" t="str">
        <x:v>deepseek-v4-pro</x:v>
      </x:c>
      <x:c r="AG39" s="20" t="n">
        <x:v>46224.12430686343</x:v>
      </x:c>
      <x:c r="AH39" t="n">
        <x:v>200</x:v>
      </x:c>
    </x:row>
    <x:row r="40">
      <x:c r="A40" s="17" t="str">
        <x:v>039</x:v>
      </x:c>
      <x:c r="B40" t="str">
        <x:v>ZH-GOOD-009</x:v>
      </x:c>
      <x:c r="C40" s="17" t="str">
        <x:v>009</x:v>
      </x:c>
      <x:c r="D40" t="str">
        <x:v>Good</x:v>
      </x:c>
      <x:c r="E40" t="n">
        <x:v>70</x:v>
      </x:c>
      <x:c r="F40" t="n">
        <x:v>84</x:v>
      </x:c>
      <x:c r="G40" t="n">
        <x:v>1</x:v>
      </x:c>
      <x:c r="H40" s="18" t="n">
        <x:v>92</x:v>
      </x:c>
      <x:c r="I40" s="18" t="n">
        <x:v>92</x:v>
      </x:c>
      <x:c r="J40" s="18" t="n">
        <x:v>90</x:v>
      </x:c>
      <x:c r="K40" s="18" t="n">
        <x:v>92</x:v>
      </x:c>
      <x:c r="L40" s="18" t="n">
        <x:v>95</x:v>
      </x:c>
      <x:c r="M40" s="18" t="n">
        <x:v>93</x:v>
      </x:c>
      <x:c r="N40" s="18" t="n">
        <x:v>90</x:v>
      </x:c>
      <x:c r="O40" s="18" t="n">
        <x:v>92</x:v>
      </x:c>
      <x:c r="P40" s="18"/>
      <x:c r="Q40" t="str">
        <x:v>No</x:v>
      </x:c>
      <x:c r="R40" s="18" t="n">
        <x:v>8</x:v>
      </x:c>
      <x:c r="S40" s="18" t="n">
        <x:v>0</x:v>
      </x:c>
      <x:c r="T40" s="18" t="n">
        <x:v>8</x:v>
      </x:c>
      <x:c r="U40" t="str">
        <x:v>Excellent</x:v>
      </x:c>
      <x:c r="V40" t="str">
        <x:v>No</x:v>
      </x:c>
      <x:c r="W40" t="str">
        <x:v>PUBLICATION_READY</x:v>
      </x:c>
      <x:c r="X40" t="str">
        <x:v>PASS</x:v>
      </x:c>
      <x:c r="Y40" t="n">
        <x:v>80</x:v>
      </x:c>
      <x:c r="Z40" t="str">
        <x:v>Success</x:v>
      </x:c>
      <x:c r="AA40"/>
      <x:c r="AB40"/>
      <x:c r="AC40" s="13"/>
      <x:c r="AD40" t="n">
        <x:v>0</x:v>
      </x:c>
      <x:c r="AE40" s="19" t="n">
        <x:v>66880</x:v>
      </x:c>
      <x:c r="AF40" t="str">
        <x:v>deepseek-v4-pro</x:v>
      </x:c>
      <x:c r="AG40" s="20" t="n">
        <x:v>46224.125081018516</x:v>
      </x:c>
      <x:c r="AH40" t="n">
        <x:v>200</x:v>
      </x:c>
    </x:row>
    <x:row r="41">
      <x:c r="A41" s="17" t="str">
        <x:v>040</x:v>
      </x:c>
      <x:c r="B41" t="str">
        <x:v>ZH-GOOD-010</x:v>
      </x:c>
      <x:c r="C41" s="17" t="str">
        <x:v>010</x:v>
      </x:c>
      <x:c r="D41" t="str">
        <x:v>Good</x:v>
      </x:c>
      <x:c r="E41" t="n">
        <x:v>70</x:v>
      </x:c>
      <x:c r="F41" t="n">
        <x:v>84</x:v>
      </x:c>
      <x:c r="G41" t="n">
        <x:v>1</x:v>
      </x:c>
      <x:c r="H41" s="18" t="n">
        <x:v>59</x:v>
      </x:c>
      <x:c r="I41" s="18" t="n">
        <x:v>70</x:v>
      </x:c>
      <x:c r="J41" s="18" t="n">
        <x:v>78</x:v>
      </x:c>
      <x:c r="K41" s="18" t="n">
        <x:v>90</x:v>
      </x:c>
      <x:c r="L41" s="18" t="n">
        <x:v>92</x:v>
      </x:c>
      <x:c r="M41" s="18" t="n">
        <x:v>90</x:v>
      </x:c>
      <x:c r="N41" s="18" t="n">
        <x:v>52</x:v>
      </x:c>
      <x:c r="O41" s="18" t="n">
        <x:v>79</x:v>
      </x:c>
      <x:c r="P41" s="18" t="n">
        <x:v>59</x:v>
      </x:c>
      <x:c r="Q41" t="str">
        <x:v>No</x:v>
      </x:c>
      <x:c r="R41" s="18" t="n">
        <x:v>11</x:v>
      </x:c>
      <x:c r="S41" s="18" t="n">
        <x:v>11</x:v>
      </x:c>
      <x:c r="T41" s="18" t="n">
        <x:v>0</x:v>
      </x:c>
      <x:c r="U41" t="str">
        <x:v>Normal</x:v>
      </x:c>
      <x:c r="V41" t="str">
        <x:v>No</x:v>
      </x:c>
      <x:c r="W41" t="str">
        <x:v>WEAK</x:v>
      </x:c>
      <x:c r="X41" t="str">
        <x:v>REWRITE_REQUIRED</x:v>
      </x:c>
      <x:c r="Y41" t="n">
        <x:v>80</x:v>
      </x:c>
      <x:c r="Z41" t="str">
        <x:v>Success</x:v>
      </x:c>
      <x:c r="AA41"/>
      <x:c r="AB41"/>
      <x:c r="AC41" s="13"/>
      <x:c r="AD41" t="n">
        <x:v>0</x:v>
      </x:c>
      <x:c r="AE41" s="19" t="n">
        <x:v>123776</x:v>
      </x:c>
      <x:c r="AF41" t="str">
        <x:v>deepseek-v4-pro</x:v>
      </x:c>
      <x:c r="AG41" s="20" t="n">
        <x:v>46224.12651361111</x:v>
      </x:c>
      <x:c r="AH41" t="n">
        <x:v>200</x:v>
      </x:c>
    </x:row>
    <x:row r="42">
      <x:c r="A42" s="17" t="str">
        <x:v>041</x:v>
      </x:c>
      <x:c r="B42" t="str">
        <x:v>ZH-GOOD-011</x:v>
      </x:c>
      <x:c r="C42" s="17" t="str">
        <x:v>011</x:v>
      </x:c>
      <x:c r="D42" t="str">
        <x:v>Good</x:v>
      </x:c>
      <x:c r="E42" t="n">
        <x:v>70</x:v>
      </x:c>
      <x:c r="F42" t="n">
        <x:v>84</x:v>
      </x:c>
      <x:c r="G42" t="n">
        <x:v>1</x:v>
      </x:c>
      <x:c r="H42" s="18" t="n">
        <x:v>89</x:v>
      </x:c>
      <x:c r="I42" s="18" t="n">
        <x:v>85</x:v>
      </x:c>
      <x:c r="J42" s="18" t="n">
        <x:v>95</x:v>
      </x:c>
      <x:c r="K42" s="18" t="n">
        <x:v>98</x:v>
      </x:c>
      <x:c r="L42" s="18" t="n">
        <x:v>98</x:v>
      </x:c>
      <x:c r="M42" s="18" t="n">
        <x:v>98</x:v>
      </x:c>
      <x:c r="N42" s="18" t="n">
        <x:v>98</x:v>
      </x:c>
      <x:c r="O42" s="18" t="n">
        <x:v>94</x:v>
      </x:c>
      <x:c r="P42" s="18" t="n">
        <x:v>89</x:v>
      </x:c>
      <x:c r="Q42" t="str">
        <x:v>No</x:v>
      </x:c>
      <x:c r="R42" s="18" t="n">
        <x:v>5</x:v>
      </x:c>
      <x:c r="S42" s="18" t="n">
        <x:v>0</x:v>
      </x:c>
      <x:c r="T42" s="18" t="n">
        <x:v>5</x:v>
      </x:c>
      <x:c r="U42" t="str">
        <x:v>Excellent</x:v>
      </x:c>
      <x:c r="V42" t="str">
        <x:v>No</x:v>
      </x:c>
      <x:c r="W42" t="str">
        <x:v>STRONG_LIMITED_EDITING</x:v>
      </x:c>
      <x:c r="X42" t="str">
        <x:v>PASS</x:v>
      </x:c>
      <x:c r="Y42" t="n">
        <x:v>80</x:v>
      </x:c>
      <x:c r="Z42" t="str">
        <x:v>Success</x:v>
      </x:c>
      <x:c r="AA42"/>
      <x:c r="AB42"/>
      <x:c r="AC42" s="13"/>
      <x:c r="AD42" t="n">
        <x:v>0</x:v>
      </x:c>
      <x:c r="AE42" s="19" t="n">
        <x:v>90939</x:v>
      </x:c>
      <x:c r="AF42" t="str">
        <x:v>deepseek-v4-pro</x:v>
      </x:c>
      <x:c r="AG42" s="20" t="n">
        <x:v>46224.12756619213</x:v>
      </x:c>
      <x:c r="AH42" t="n">
        <x:v>200</x:v>
      </x:c>
    </x:row>
    <x:row r="43">
      <x:c r="A43" s="17" t="str">
        <x:v>042</x:v>
      </x:c>
      <x:c r="B43" t="str">
        <x:v>ZH-GOOD-012</x:v>
      </x:c>
      <x:c r="C43" s="17" t="str">
        <x:v>012</x:v>
      </x:c>
      <x:c r="D43" t="str">
        <x:v>Good</x:v>
      </x:c>
      <x:c r="E43" t="n">
        <x:v>70</x:v>
      </x:c>
      <x:c r="F43" t="n">
        <x:v>84</x:v>
      </x:c>
      <x:c r="G43" t="n">
        <x:v>1</x:v>
      </x:c>
      <x:c r="H43" s="18" t="n">
        <x:v>59</x:v>
      </x:c>
      <x:c r="I43" s="18" t="n">
        <x:v>65</x:v>
      </x:c>
      <x:c r="J43" s="18" t="n">
        <x:v>55</x:v>
      </x:c>
      <x:c r="K43" s="18" t="n">
        <x:v>80</x:v>
      </x:c>
      <x:c r="L43" s="18" t="n">
        <x:v>85</x:v>
      </x:c>
      <x:c r="M43" s="18" t="n">
        <x:v>90</x:v>
      </x:c>
      <x:c r="N43" s="18" t="n">
        <x:v>40</x:v>
      </x:c>
      <x:c r="O43" s="18" t="n">
        <x:v>70</x:v>
      </x:c>
      <x:c r="P43" s="18" t="n">
        <x:v>59</x:v>
      </x:c>
      <x:c r="Q43" t="str">
        <x:v>No</x:v>
      </x:c>
      <x:c r="R43" s="18" t="n">
        <x:v>11</x:v>
      </x:c>
      <x:c r="S43" s="18" t="n">
        <x:v>11</x:v>
      </x:c>
      <x:c r="T43" s="18" t="n">
        <x:v>0</x:v>
      </x:c>
      <x:c r="U43" t="str">
        <x:v>Normal</x:v>
      </x:c>
      <x:c r="V43" t="str">
        <x:v>No</x:v>
      </x:c>
      <x:c r="W43" t="str">
        <x:v>WEAK</x:v>
      </x:c>
      <x:c r="X43" t="str">
        <x:v>REWRITE_REQUIRED</x:v>
      </x:c>
      <x:c r="Y43" t="n">
        <x:v>80</x:v>
      </x:c>
      <x:c r="Z43" t="str">
        <x:v>Success</x:v>
      </x:c>
      <x:c r="AA43"/>
      <x:c r="AB43"/>
      <x:c r="AC43" s="13"/>
      <x:c r="AD43" t="n">
        <x:v>0</x:v>
      </x:c>
      <x:c r="AE43" s="19" t="n">
        <x:v>132981</x:v>
      </x:c>
      <x:c r="AF43" t="str">
        <x:v>deepseek-v4-pro</x:v>
      </x:c>
      <x:c r="AG43" s="20" t="n">
        <x:v>46224.12910532407</x:v>
      </x:c>
      <x:c r="AH43" t="n">
        <x:v>200</x:v>
      </x:c>
    </x:row>
    <x:row r="44">
      <x:c r="A44" s="17" t="str">
        <x:v>043</x:v>
      </x:c>
      <x:c r="B44" t="str">
        <x:v>ZH-GOOD-013</x:v>
      </x:c>
      <x:c r="C44" s="17" t="str">
        <x:v>013</x:v>
      </x:c>
      <x:c r="D44" t="str">
        <x:v>Good</x:v>
      </x:c>
      <x:c r="E44" t="n">
        <x:v>70</x:v>
      </x:c>
      <x:c r="F44" t="n">
        <x:v>84</x:v>
      </x:c>
      <x:c r="G44" t="n">
        <x:v>1</x:v>
      </x:c>
      <x:c r="H44" s="18" t="n">
        <x:v>59</x:v>
      </x:c>
      <x:c r="I44" s="18" t="n">
        <x:v>55</x:v>
      </x:c>
      <x:c r="J44" s="18" t="n">
        <x:v>65</x:v>
      </x:c>
      <x:c r="K44" s="18" t="n">
        <x:v>80</x:v>
      </x:c>
      <x:c r="L44" s="18" t="n">
        <x:v>88</x:v>
      </x:c>
      <x:c r="M44" s="18" t="n">
        <x:v>55</x:v>
      </x:c>
      <x:c r="N44" s="18" t="n">
        <x:v>45</x:v>
      </x:c>
      <x:c r="O44" s="18" t="n">
        <x:v>65</x:v>
      </x:c>
      <x:c r="P44" s="18" t="n">
        <x:v>59</x:v>
      </x:c>
      <x:c r="Q44" t="str">
        <x:v>No</x:v>
      </x:c>
      <x:c r="R44" s="18" t="n">
        <x:v>11</x:v>
      </x:c>
      <x:c r="S44" s="18" t="n">
        <x:v>11</x:v>
      </x:c>
      <x:c r="T44" s="18" t="n">
        <x:v>0</x:v>
      </x:c>
      <x:c r="U44" t="str">
        <x:v>Normal</x:v>
      </x:c>
      <x:c r="V44" t="str">
        <x:v>No</x:v>
      </x:c>
      <x:c r="W44" t="str">
        <x:v>WEAK</x:v>
      </x:c>
      <x:c r="X44" t="str">
        <x:v>REWRITE_REQUIRED</x:v>
      </x:c>
      <x:c r="Y44" t="n">
        <x:v>80</x:v>
      </x:c>
      <x:c r="Z44" t="str">
        <x:v>Success</x:v>
      </x:c>
      <x:c r="AA44"/>
      <x:c r="AB44"/>
      <x:c r="AC44" s="13"/>
      <x:c r="AD44" t="n">
        <x:v>0</x:v>
      </x:c>
      <x:c r="AE44" s="19" t="n">
        <x:v>124660</x:v>
      </x:c>
      <x:c r="AF44" t="str">
        <x:v>deepseek-v4-pro</x:v>
      </x:c>
      <x:c r="AG44" s="20" t="n">
        <x:v>46224.13054818287</x:v>
      </x:c>
      <x:c r="AH44" t="n">
        <x:v>200</x:v>
      </x:c>
    </x:row>
    <x:row r="45">
      <x:c r="A45" s="17" t="str">
        <x:v>044</x:v>
      </x:c>
      <x:c r="B45" t="str">
        <x:v>ZH-GOOD-014</x:v>
      </x:c>
      <x:c r="C45" s="17" t="str">
        <x:v>014</x:v>
      </x:c>
      <x:c r="D45" t="str">
        <x:v>Good</x:v>
      </x:c>
      <x:c r="E45" t="n">
        <x:v>70</x:v>
      </x:c>
      <x:c r="F45" t="n">
        <x:v>84</x:v>
      </x:c>
      <x:c r="G45" t="n">
        <x:v>1</x:v>
      </x:c>
      <x:c r="H45" s="18" t="n">
        <x:v>89</x:v>
      </x:c>
      <x:c r="I45" s="18" t="n">
        <x:v>88</x:v>
      </x:c>
      <x:c r="J45" s="18" t="n">
        <x:v>85</x:v>
      </x:c>
      <x:c r="K45" s="18" t="n">
        <x:v>92</x:v>
      </x:c>
      <x:c r="L45" s="18" t="n">
        <x:v>95</x:v>
      </x:c>
      <x:c r="M45" s="18" t="n">
        <x:v>93</x:v>
      </x:c>
      <x:c r="N45" s="18" t="n">
        <x:v>80</x:v>
      </x:c>
      <x:c r="O45" s="18" t="n">
        <x:v>89</x:v>
      </x:c>
      <x:c r="P45" s="18" t="n">
        <x:v>89</x:v>
      </x:c>
      <x:c r="Q45" t="str">
        <x:v>No</x:v>
      </x:c>
      <x:c r="R45" s="18" t="n">
        <x:v>5</x:v>
      </x:c>
      <x:c r="S45" s="18" t="n">
        <x:v>0</x:v>
      </x:c>
      <x:c r="T45" s="18" t="n">
        <x:v>5</x:v>
      </x:c>
      <x:c r="U45" t="str">
        <x:v>Excellent</x:v>
      </x:c>
      <x:c r="V45" t="str">
        <x:v>No</x:v>
      </x:c>
      <x:c r="W45" t="str">
        <x:v>STRONG_LIMITED_EDITING</x:v>
      </x:c>
      <x:c r="X45" t="str">
        <x:v>PASS</x:v>
      </x:c>
      <x:c r="Y45" t="n">
        <x:v>80</x:v>
      </x:c>
      <x:c r="Z45" t="str">
        <x:v>Success</x:v>
      </x:c>
      <x:c r="AA45"/>
      <x:c r="AB45"/>
      <x:c r="AC45" s="13"/>
      <x:c r="AD45" t="n">
        <x:v>0</x:v>
      </x:c>
      <x:c r="AE45" s="19" t="n">
        <x:v>85277</x:v>
      </x:c>
      <x:c r="AF45" t="str">
        <x:v>deepseek-v4-pro</x:v>
      </x:c>
      <x:c r="AG45" s="20" t="n">
        <x:v>46224.13153519676</x:v>
      </x:c>
      <x:c r="AH45" t="n">
        <x:v>200</x:v>
      </x:c>
    </x:row>
    <x:row r="46">
      <x:c r="A46" s="17" t="str">
        <x:v>045</x:v>
      </x:c>
      <x:c r="B46" t="str">
        <x:v>ZH-GOOD-015</x:v>
      </x:c>
      <x:c r="C46" s="17" t="str">
        <x:v>015</x:v>
      </x:c>
      <x:c r="D46" t="str">
        <x:v>Good</x:v>
      </x:c>
      <x:c r="E46" t="n">
        <x:v>70</x:v>
      </x:c>
      <x:c r="F46" t="n">
        <x:v>84</x:v>
      </x:c>
      <x:c r="G46" t="n">
        <x:v>1</x:v>
      </x:c>
      <x:c r="H46" s="18" t="n">
        <x:v>94</x:v>
      </x:c>
      <x:c r="I46" s="18" t="n">
        <x:v>95</x:v>
      </x:c>
      <x:c r="J46" s="18" t="n">
        <x:v>90</x:v>
      </x:c>
      <x:c r="K46" s="18" t="n">
        <x:v>95</x:v>
      </x:c>
      <x:c r="L46" s="18" t="n">
        <x:v>95</x:v>
      </x:c>
      <x:c r="M46" s="18" t="n">
        <x:v>95</x:v>
      </x:c>
      <x:c r="N46" s="18" t="n">
        <x:v>90</x:v>
      </x:c>
      <x:c r="O46" s="18" t="n">
        <x:v>94</x:v>
      </x:c>
      <x:c r="P46" s="18"/>
      <x:c r="Q46" t="str">
        <x:v>No</x:v>
      </x:c>
      <x:c r="R46" s="18" t="n">
        <x:v>10</x:v>
      </x:c>
      <x:c r="S46" s="18" t="n">
        <x:v>0</x:v>
      </x:c>
      <x:c r="T46" s="18" t="n">
        <x:v>10</x:v>
      </x:c>
      <x:c r="U46" t="str">
        <x:v>Excellent</x:v>
      </x:c>
      <x:c r="V46" t="str">
        <x:v>No</x:v>
      </x:c>
      <x:c r="W46" t="str">
        <x:v>PUBLICATION_READY</x:v>
      </x:c>
      <x:c r="X46" t="str">
        <x:v>PASS</x:v>
      </x:c>
      <x:c r="Y46" t="n">
        <x:v>80</x:v>
      </x:c>
      <x:c r="Z46" t="str">
        <x:v>Success</x:v>
      </x:c>
      <x:c r="AA46"/>
      <x:c r="AB46"/>
      <x:c r="AC46" s="13"/>
      <x:c r="AD46" t="n">
        <x:v>0</x:v>
      </x:c>
      <x:c r="AE46" s="19" t="n">
        <x:v>102778</x:v>
      </x:c>
      <x:c r="AF46" t="str">
        <x:v>deepseek-v4-pro</x:v>
      </x:c>
      <x:c r="AG46" s="20" t="n">
        <x:v>46224.13272482639</x:v>
      </x:c>
      <x:c r="AH46" t="n">
        <x:v>200</x:v>
      </x:c>
    </x:row>
    <x:row r="47">
      <x:c r="A47" s="17" t="str">
        <x:v>046</x:v>
      </x:c>
      <x:c r="B47" t="str">
        <x:v>ZH-GOOD-016</x:v>
      </x:c>
      <x:c r="C47" s="17" t="str">
        <x:v>016</x:v>
      </x:c>
      <x:c r="D47" t="str">
        <x:v>Good</x:v>
      </x:c>
      <x:c r="E47" t="n">
        <x:v>70</x:v>
      </x:c>
      <x:c r="F47" t="n">
        <x:v>84</x:v>
      </x:c>
      <x:c r="G47" t="n">
        <x:v>1</x:v>
      </x:c>
      <x:c r="H47" s="18" t="n">
        <x:v>59</x:v>
      </x:c>
      <x:c r="I47" s="18" t="n">
        <x:v>50</x:v>
      </x:c>
      <x:c r="J47" s="18" t="n">
        <x:v>85</x:v>
      </x:c>
      <x:c r="K47" s="18" t="n">
        <x:v>90</x:v>
      </x:c>
      <x:c r="L47" s="18" t="n">
        <x:v>95</x:v>
      </x:c>
      <x:c r="M47" s="18" t="n">
        <x:v>55</x:v>
      </x:c>
      <x:c r="N47" s="18" t="n">
        <x:v>40</x:v>
      </x:c>
      <x:c r="O47" s="18" t="n">
        <x:v>70</x:v>
      </x:c>
      <x:c r="P47" s="18" t="n">
        <x:v>59</x:v>
      </x:c>
      <x:c r="Q47" t="str">
        <x:v>No</x:v>
      </x:c>
      <x:c r="R47" s="18" t="n">
        <x:v>11</x:v>
      </x:c>
      <x:c r="S47" s="18" t="n">
        <x:v>11</x:v>
      </x:c>
      <x:c r="T47" s="18" t="n">
        <x:v>0</x:v>
      </x:c>
      <x:c r="U47" t="str">
        <x:v>Normal</x:v>
      </x:c>
      <x:c r="V47" t="str">
        <x:v>No</x:v>
      </x:c>
      <x:c r="W47" t="str">
        <x:v>WEAK</x:v>
      </x:c>
      <x:c r="X47" t="str">
        <x:v>REWRITE_REQUIRED</x:v>
      </x:c>
      <x:c r="Y47" t="n">
        <x:v>80</x:v>
      </x:c>
      <x:c r="Z47" t="str">
        <x:v>Success</x:v>
      </x:c>
      <x:c r="AA47"/>
      <x:c r="AB47"/>
      <x:c r="AC47" s="13"/>
      <x:c r="AD47" t="n">
        <x:v>0</x:v>
      </x:c>
      <x:c r="AE47" s="19" t="n">
        <x:v>152473</x:v>
      </x:c>
      <x:c r="AF47" t="str">
        <x:v>deepseek-v4-pro</x:v>
      </x:c>
      <x:c r="AG47" s="20" t="n">
        <x:v>46224.13448958333</x:v>
      </x:c>
      <x:c r="AH47" t="n">
        <x:v>200</x:v>
      </x:c>
    </x:row>
    <x:row r="48">
      <x:c r="A48" s="17" t="str">
        <x:v>047</x:v>
      </x:c>
      <x:c r="B48" t="str">
        <x:v>ZH-GOOD-017</x:v>
      </x:c>
      <x:c r="C48" s="17" t="str">
        <x:v>017</x:v>
      </x:c>
      <x:c r="D48" t="str">
        <x:v>Good</x:v>
      </x:c>
      <x:c r="E48" t="n">
        <x:v>70</x:v>
      </x:c>
      <x:c r="F48" t="n">
        <x:v>84</x:v>
      </x:c>
      <x:c r="G48" t="n">
        <x:v>1</x:v>
      </x:c>
      <x:c r="H48" s="18" t="n">
        <x:v>74</x:v>
      </x:c>
      <x:c r="I48" s="18" t="n">
        <x:v>88</x:v>
      </x:c>
      <x:c r="J48" s="18" t="n">
        <x:v>85</x:v>
      </x:c>
      <x:c r="K48" s="18" t="n">
        <x:v>90</x:v>
      </x:c>
      <x:c r="L48" s="18" t="n">
        <x:v>92</x:v>
      </x:c>
      <x:c r="M48" s="18" t="n">
        <x:v>92</x:v>
      </x:c>
      <x:c r="N48" s="18" t="n">
        <x:v>65</x:v>
      </x:c>
      <x:c r="O48" s="18" t="n">
        <x:v>87</x:v>
      </x:c>
      <x:c r="P48" s="18" t="n">
        <x:v>74</x:v>
      </x:c>
      <x:c r="Q48" t="str">
        <x:v>Yes</x:v>
      </x:c>
      <x:c r="R48" s="18" t="n">
        <x:v>0</x:v>
      </x:c>
      <x:c r="S48" s="18" t="n">
        <x:v>0</x:v>
      </x:c>
      <x:c r="T48" s="18" t="n">
        <x:v>0</x:v>
      </x:c>
      <x:c r="U48" t="str">
        <x:v>Good</x:v>
      </x:c>
      <x:c r="V48" t="str">
        <x:v>Yes</x:v>
      </x:c>
      <x:c r="W48" t="str">
        <x:v>SUBSTANTIAL_REWRITE</x:v>
      </x:c>
      <x:c r="X48" t="str">
        <x:v>REWRITE_REQUIRED</x:v>
      </x:c>
      <x:c r="Y48" t="n">
        <x:v>80</x:v>
      </x:c>
      <x:c r="Z48" t="str">
        <x:v>Success</x:v>
      </x:c>
      <x:c r="AA48"/>
      <x:c r="AB48"/>
      <x:c r="AC48" s="13"/>
      <x:c r="AD48" t="n">
        <x:v>0</x:v>
      </x:c>
      <x:c r="AE48" s="19" t="n">
        <x:v>109360</x:v>
      </x:c>
      <x:c r="AF48" t="str">
        <x:v>deepseek-v4-pro</x:v>
      </x:c>
      <x:c r="AG48" s="20" t="n">
        <x:v>46224.13575534722</x:v>
      </x:c>
      <x:c r="AH48" t="n">
        <x:v>200</x:v>
      </x:c>
    </x:row>
    <x:row r="49">
      <x:c r="A49" s="17" t="str">
        <x:v>048</x:v>
      </x:c>
      <x:c r="B49" t="str">
        <x:v>ZH-GOOD-018</x:v>
      </x:c>
      <x:c r="C49" s="17" t="str">
        <x:v>018</x:v>
      </x:c>
      <x:c r="D49" t="str">
        <x:v>Good</x:v>
      </x:c>
      <x:c r="E49" t="n">
        <x:v>70</x:v>
      </x:c>
      <x:c r="F49" t="n">
        <x:v>84</x:v>
      </x:c>
      <x:c r="G49" t="n">
        <x:v>1</x:v>
      </x:c>
      <x:c r="H49" s="18" t="n">
        <x:v>89</x:v>
      </x:c>
      <x:c r="I49" s="18" t="n">
        <x:v>88</x:v>
      </x:c>
      <x:c r="J49" s="18" t="n">
        <x:v>85</x:v>
      </x:c>
      <x:c r="K49" s="18" t="n">
        <x:v>95</x:v>
      </x:c>
      <x:c r="L49" s="18" t="n">
        <x:v>96</x:v>
      </x:c>
      <x:c r="M49" s="18" t="n">
        <x:v>95</x:v>
      </x:c>
      <x:c r="N49" s="18" t="n">
        <x:v>75</x:v>
      </x:c>
      <x:c r="O49" s="18" t="n">
        <x:v>89</x:v>
      </x:c>
      <x:c r="P49" s="18" t="n">
        <x:v>89</x:v>
      </x:c>
      <x:c r="Q49" t="str">
        <x:v>No</x:v>
      </x:c>
      <x:c r="R49" s="18" t="n">
        <x:v>5</x:v>
      </x:c>
      <x:c r="S49" s="18" t="n">
        <x:v>0</x:v>
      </x:c>
      <x:c r="T49" s="18" t="n">
        <x:v>5</x:v>
      </x:c>
      <x:c r="U49" t="str">
        <x:v>Excellent</x:v>
      </x:c>
      <x:c r="V49" t="str">
        <x:v>No</x:v>
      </x:c>
      <x:c r="W49" t="str">
        <x:v>STRONG_LIMITED_EDITING</x:v>
      </x:c>
      <x:c r="X49" t="str">
        <x:v>PASS</x:v>
      </x:c>
      <x:c r="Y49" t="n">
        <x:v>80</x:v>
      </x:c>
      <x:c r="Z49" t="str">
        <x:v>Success</x:v>
      </x:c>
      <x:c r="AA49"/>
      <x:c r="AB49"/>
      <x:c r="AC49" s="13"/>
      <x:c r="AD49" t="n">
        <x:v>0</x:v>
      </x:c>
      <x:c r="AE49" s="19" t="n">
        <x:v>101684</x:v>
      </x:c>
      <x:c r="AF49" t="str">
        <x:v>deepseek-v4-pro</x:v>
      </x:c>
      <x:c r="AG49" s="20" t="n">
        <x:v>46224.136932291665</x:v>
      </x:c>
      <x:c r="AH49" t="n">
        <x:v>200</x:v>
      </x:c>
    </x:row>
    <x:row r="50">
      <x:c r="A50" s="17" t="str">
        <x:v>049</x:v>
      </x:c>
      <x:c r="B50" t="str">
        <x:v>ZH-GOOD-019</x:v>
      </x:c>
      <x:c r="C50" s="17" t="str">
        <x:v>019</x:v>
      </x:c>
      <x:c r="D50" t="str">
        <x:v>Good</x:v>
      </x:c>
      <x:c r="E50" t="n">
        <x:v>70</x:v>
      </x:c>
      <x:c r="F50" t="n">
        <x:v>84</x:v>
      </x:c>
      <x:c r="G50" t="n">
        <x:v>1</x:v>
      </x:c>
      <x:c r="H50" s="18" t="n">
        <x:v>89</x:v>
      </x:c>
      <x:c r="I50" s="18" t="n">
        <x:v>82</x:v>
      </x:c>
      <x:c r="J50" s="18" t="n">
        <x:v>90</x:v>
      </x:c>
      <x:c r="K50" s="18" t="n">
        <x:v>92</x:v>
      </x:c>
      <x:c r="L50" s="18" t="n">
        <x:v>95</x:v>
      </x:c>
      <x:c r="M50" s="18" t="n">
        <x:v>90</x:v>
      </x:c>
      <x:c r="N50" s="18" t="n">
        <x:v>85</x:v>
      </x:c>
      <x:c r="O50" s="18" t="n">
        <x:v>89</x:v>
      </x:c>
      <x:c r="P50" s="18" t="n">
        <x:v>89</x:v>
      </x:c>
      <x:c r="Q50" t="str">
        <x:v>No</x:v>
      </x:c>
      <x:c r="R50" s="18" t="n">
        <x:v>5</x:v>
      </x:c>
      <x:c r="S50" s="18" t="n">
        <x:v>0</x:v>
      </x:c>
      <x:c r="T50" s="18" t="n">
        <x:v>5</x:v>
      </x:c>
      <x:c r="U50" t="str">
        <x:v>Excellent</x:v>
      </x:c>
      <x:c r="V50" t="str">
        <x:v>No</x:v>
      </x:c>
      <x:c r="W50" t="str">
        <x:v>STRONG_LIMITED_EDITING</x:v>
      </x:c>
      <x:c r="X50" t="str">
        <x:v>PASS</x:v>
      </x:c>
      <x:c r="Y50" t="n">
        <x:v>80</x:v>
      </x:c>
      <x:c r="Z50" t="str">
        <x:v>Success</x:v>
      </x:c>
      <x:c r="AA50"/>
      <x:c r="AB50"/>
      <x:c r="AC50" s="13"/>
      <x:c r="AD50" t="n">
        <x:v>0</x:v>
      </x:c>
      <x:c r="AE50" s="19" t="n">
        <x:v>64974</x:v>
      </x:c>
      <x:c r="AF50" t="str">
        <x:v>deepseek-v4-pro</x:v>
      </x:c>
      <x:c r="AG50" s="20" t="n">
        <x:v>46224.13768435185</x:v>
      </x:c>
      <x:c r="AH50" t="n">
        <x:v>200</x:v>
      </x:c>
    </x:row>
    <x:row r="51">
      <x:c r="A51" s="17" t="str">
        <x:v>050</x:v>
      </x:c>
      <x:c r="B51" t="str">
        <x:v>ZH-GOOD-020</x:v>
      </x:c>
      <x:c r="C51" s="17" t="str">
        <x:v>020</x:v>
      </x:c>
      <x:c r="D51" t="str">
        <x:v>Good</x:v>
      </x:c>
      <x:c r="E51" t="n">
        <x:v>70</x:v>
      </x:c>
      <x:c r="F51" t="n">
        <x:v>84</x:v>
      </x:c>
      <x:c r="G51" t="n">
        <x:v>1</x:v>
      </x:c>
      <x:c r="H51" s="18" t="n">
        <x:v>74</x:v>
      </x:c>
      <x:c r="I51" s="18" t="n">
        <x:v>88</x:v>
      </x:c>
      <x:c r="J51" s="18" t="n">
        <x:v>90</x:v>
      </x:c>
      <x:c r="K51" s="18" t="n">
        <x:v>92</x:v>
      </x:c>
      <x:c r="L51" s="18" t="n">
        <x:v>90</x:v>
      </x:c>
      <x:c r="M51" s="18" t="n">
        <x:v>95</x:v>
      </x:c>
      <x:c r="N51" s="18" t="n">
        <x:v>62</x:v>
      </x:c>
      <x:c r="O51" s="18" t="n">
        <x:v>88</x:v>
      </x:c>
      <x:c r="P51" s="18" t="n">
        <x:v>74</x:v>
      </x:c>
      <x:c r="Q51" t="str">
        <x:v>Yes</x:v>
      </x:c>
      <x:c r="R51" s="18" t="n">
        <x:v>0</x:v>
      </x:c>
      <x:c r="S51" s="18" t="n">
        <x:v>0</x:v>
      </x:c>
      <x:c r="T51" s="18" t="n">
        <x:v>0</x:v>
      </x:c>
      <x:c r="U51" t="str">
        <x:v>Good</x:v>
      </x:c>
      <x:c r="V51" t="str">
        <x:v>Yes</x:v>
      </x:c>
      <x:c r="W51" t="str">
        <x:v>SUBSTANTIAL_REWRITE</x:v>
      </x:c>
      <x:c r="X51" t="str">
        <x:v>REWRITE_REQUIRED</x:v>
      </x:c>
      <x:c r="Y51" t="n">
        <x:v>80</x:v>
      </x:c>
      <x:c r="Z51" t="str">
        <x:v>Success</x:v>
      </x:c>
      <x:c r="AA51"/>
      <x:c r="AB51"/>
      <x:c r="AC51" s="13"/>
      <x:c r="AD51" t="n">
        <x:v>0</x:v>
      </x:c>
      <x:c r="AE51" s="19" t="n">
        <x:v>126853</x:v>
      </x:c>
      <x:c r="AF51" t="str">
        <x:v>deepseek-v4-pro</x:v>
      </x:c>
      <x:c r="AG51" s="20" t="n">
        <x:v>46224.13915253472</x:v>
      </x:c>
      <x:c r="AH51" t="n">
        <x:v>200</x:v>
      </x:c>
    </x:row>
    <x:row r="52">
      <x:c r="A52" s="17" t="str">
        <x:v>051</x:v>
      </x:c>
      <x:c r="B52" t="str">
        <x:v>ZH-GOOD-021</x:v>
      </x:c>
      <x:c r="C52" s="17" t="str">
        <x:v>021</x:v>
      </x:c>
      <x:c r="D52" t="str">
        <x:v>Good</x:v>
      </x:c>
      <x:c r="E52" t="n">
        <x:v>70</x:v>
      </x:c>
      <x:c r="F52" t="n">
        <x:v>84</x:v>
      </x:c>
      <x:c r="G52" t="n">
        <x:v>1</x:v>
      </x:c>
      <x:c r="H52" s="18" t="n">
        <x:v>88</x:v>
      </x:c>
      <x:c r="I52" s="18" t="n">
        <x:v>82</x:v>
      </x:c>
      <x:c r="J52" s="18" t="n">
        <x:v>90</x:v>
      </x:c>
      <x:c r="K52" s="18" t="n">
        <x:v>88</x:v>
      </x:c>
      <x:c r="L52" s="18" t="n">
        <x:v>92</x:v>
      </x:c>
      <x:c r="M52" s="18" t="n">
        <x:v>90</x:v>
      </x:c>
      <x:c r="N52" s="18" t="n">
        <x:v>88</x:v>
      </x:c>
      <x:c r="O52" s="18" t="n">
        <x:v>88</x:v>
      </x:c>
      <x:c r="P52" s="18" t="n">
        <x:v>89</x:v>
      </x:c>
      <x:c r="Q52" t="str">
        <x:v>No</x:v>
      </x:c>
      <x:c r="R52" s="18" t="n">
        <x:v>4</x:v>
      </x:c>
      <x:c r="S52" s="18" t="n">
        <x:v>0</x:v>
      </x:c>
      <x:c r="T52" s="18" t="n">
        <x:v>4</x:v>
      </x:c>
      <x:c r="U52" t="str">
        <x:v>Excellent</x:v>
      </x:c>
      <x:c r="V52" t="str">
        <x:v>No</x:v>
      </x:c>
      <x:c r="W52" t="str">
        <x:v>STRONG_LIMITED_EDITING</x:v>
      </x:c>
      <x:c r="X52" t="str">
        <x:v>PASS</x:v>
      </x:c>
      <x:c r="Y52" t="n">
        <x:v>80</x:v>
      </x:c>
      <x:c r="Z52" t="str">
        <x:v>Success</x:v>
      </x:c>
      <x:c r="AA52"/>
      <x:c r="AB52"/>
      <x:c r="AC52" s="13"/>
      <x:c r="AD52" t="n">
        <x:v>0</x:v>
      </x:c>
      <x:c r="AE52" s="19" t="n">
        <x:v>150765</x:v>
      </x:c>
      <x:c r="AF52" t="str">
        <x:v>deepseek-v4-pro</x:v>
      </x:c>
      <x:c r="AG52" s="20" t="n">
        <x:v>46224.14089758102</x:v>
      </x:c>
      <x:c r="AH52" t="n">
        <x:v>200</x:v>
      </x:c>
    </x:row>
    <x:row r="53">
      <x:c r="A53" s="17" t="str">
        <x:v>052</x:v>
      </x:c>
      <x:c r="B53" t="str">
        <x:v>ZH-GOOD-022</x:v>
      </x:c>
      <x:c r="C53" s="17" t="str">
        <x:v>022</x:v>
      </x:c>
      <x:c r="D53" t="str">
        <x:v>Good</x:v>
      </x:c>
      <x:c r="E53" t="n">
        <x:v>70</x:v>
      </x:c>
      <x:c r="F53" t="n">
        <x:v>84</x:v>
      </x:c>
      <x:c r="G53" t="n">
        <x:v>1</x:v>
      </x:c>
      <x:c r="H53" s="18" t="n">
        <x:v>59</x:v>
      </x:c>
      <x:c r="I53" s="18" t="n">
        <x:v>59</x:v>
      </x:c>
      <x:c r="J53" s="18" t="n">
        <x:v>60</x:v>
      </x:c>
      <x:c r="K53" s="18" t="n">
        <x:v>78</x:v>
      </x:c>
      <x:c r="L53" s="18" t="n">
        <x:v>85</x:v>
      </x:c>
      <x:c r="M53" s="18" t="n">
        <x:v>59</x:v>
      </x:c>
      <x:c r="N53" s="18" t="n">
        <x:v>35</x:v>
      </x:c>
      <x:c r="O53" s="18" t="n">
        <x:v>64</x:v>
      </x:c>
      <x:c r="P53" s="18" t="n">
        <x:v>59</x:v>
      </x:c>
      <x:c r="Q53" t="str">
        <x:v>No</x:v>
      </x:c>
      <x:c r="R53" s="18" t="n">
        <x:v>11</x:v>
      </x:c>
      <x:c r="S53" s="18" t="n">
        <x:v>11</x:v>
      </x:c>
      <x:c r="T53" s="18" t="n">
        <x:v>0</x:v>
      </x:c>
      <x:c r="U53" t="str">
        <x:v>Normal</x:v>
      </x:c>
      <x:c r="V53" t="str">
        <x:v>No</x:v>
      </x:c>
      <x:c r="W53" t="str">
        <x:v>WEAK</x:v>
      </x:c>
      <x:c r="X53" t="str">
        <x:v>REWRITE_REQUIRED</x:v>
      </x:c>
      <x:c r="Y53" t="n">
        <x:v>80</x:v>
      </x:c>
      <x:c r="Z53" t="str">
        <x:v>Success</x:v>
      </x:c>
      <x:c r="AA53"/>
      <x:c r="AB53"/>
      <x:c r="AC53" s="13"/>
      <x:c r="AD53" t="n">
        <x:v>0</x:v>
      </x:c>
      <x:c r="AE53" s="19" t="n">
        <x:v>121931</x:v>
      </x:c>
      <x:c r="AF53" t="str">
        <x:v>deepseek-v4-pro</x:v>
      </x:c>
      <x:c r="AG53" s="20" t="n">
        <x:v>46224.142308842595</x:v>
      </x:c>
      <x:c r="AH53" t="n">
        <x:v>200</x:v>
      </x:c>
    </x:row>
    <x:row r="54">
      <x:c r="A54" s="17" t="str">
        <x:v>053</x:v>
      </x:c>
      <x:c r="B54" t="str">
        <x:v>ZH-GOOD-023</x:v>
      </x:c>
      <x:c r="C54" s="17" t="str">
        <x:v>023</x:v>
      </x:c>
      <x:c r="D54" t="str">
        <x:v>Good</x:v>
      </x:c>
      <x:c r="E54" t="n">
        <x:v>70</x:v>
      </x:c>
      <x:c r="F54" t="n">
        <x:v>84</x:v>
      </x:c>
      <x:c r="G54" t="n">
        <x:v>1</x:v>
      </x:c>
      <x:c r="H54" s="18" t="n">
        <x:v>59</x:v>
      </x:c>
      <x:c r="I54" s="18" t="n">
        <x:v>55</x:v>
      </x:c>
      <x:c r="J54" s="18" t="n">
        <x:v>65</x:v>
      </x:c>
      <x:c r="K54" s="18" t="n">
        <x:v>85</x:v>
      </x:c>
      <x:c r="L54" s="18" t="n">
        <x:v>90</x:v>
      </x:c>
      <x:c r="M54" s="18" t="n">
        <x:v>50</x:v>
      </x:c>
      <x:c r="N54" s="18" t="n">
        <x:v>30</x:v>
      </x:c>
      <x:c r="O54" s="18" t="n">
        <x:v>64</x:v>
      </x:c>
      <x:c r="P54" s="18" t="n">
        <x:v>59</x:v>
      </x:c>
      <x:c r="Q54" t="str">
        <x:v>No</x:v>
      </x:c>
      <x:c r="R54" s="18" t="n">
        <x:v>11</x:v>
      </x:c>
      <x:c r="S54" s="18" t="n">
        <x:v>11</x:v>
      </x:c>
      <x:c r="T54" s="18" t="n">
        <x:v>0</x:v>
      </x:c>
      <x:c r="U54" t="str">
        <x:v>Normal</x:v>
      </x:c>
      <x:c r="V54" t="str">
        <x:v>No</x:v>
      </x:c>
      <x:c r="W54" t="str">
        <x:v>WEAK</x:v>
      </x:c>
      <x:c r="X54" t="str">
        <x:v>REWRITE_REQUIRED</x:v>
      </x:c>
      <x:c r="Y54" t="n">
        <x:v>80</x:v>
      </x:c>
      <x:c r="Z54" t="str">
        <x:v>Success</x:v>
      </x:c>
      <x:c r="AA54"/>
      <x:c r="AB54"/>
      <x:c r="AC54" s="13"/>
      <x:c r="AD54" t="n">
        <x:v>0</x:v>
      </x:c>
      <x:c r="AE54" s="19" t="n">
        <x:v>99858</x:v>
      </x:c>
      <x:c r="AF54" t="str">
        <x:v>deepseek-v4-pro</x:v>
      </x:c>
      <x:c r="AG54" s="20" t="n">
        <x:v>46224.14346465278</x:v>
      </x:c>
      <x:c r="AH54" t="n">
        <x:v>200</x:v>
      </x:c>
    </x:row>
    <x:row r="55">
      <x:c r="A55" s="17" t="str">
        <x:v>054</x:v>
      </x:c>
      <x:c r="B55" t="str">
        <x:v>ZH-GOOD-024</x:v>
      </x:c>
      <x:c r="C55" s="17" t="str">
        <x:v>024</x:v>
      </x:c>
      <x:c r="D55" t="str">
        <x:v>Good</x:v>
      </x:c>
      <x:c r="E55" t="n">
        <x:v>70</x:v>
      </x:c>
      <x:c r="F55" t="n">
        <x:v>84</x:v>
      </x:c>
      <x:c r="G55" t="n">
        <x:v>1</x:v>
      </x:c>
      <x:c r="H55" s="18" t="n">
        <x:v>54</x:v>
      </x:c>
      <x:c r="I55" s="18" t="n">
        <x:v>52</x:v>
      </x:c>
      <x:c r="J55" s="18" t="n">
        <x:v>50</x:v>
      </x:c>
      <x:c r="K55" s="18" t="n">
        <x:v>78</x:v>
      </x:c>
      <x:c r="L55" s="18" t="n">
        <x:v>75</x:v>
      </x:c>
      <x:c r="M55" s="18" t="n">
        <x:v>45</x:v>
      </x:c>
      <x:c r="N55" s="18" t="n">
        <x:v>15</x:v>
      </x:c>
      <x:c r="O55" s="18" t="n">
        <x:v>54</x:v>
      </x:c>
      <x:c r="P55" s="18" t="n">
        <x:v>59</x:v>
      </x:c>
      <x:c r="Q55" t="str">
        <x:v>No</x:v>
      </x:c>
      <x:c r="R55" s="18" t="n">
        <x:v>16</x:v>
      </x:c>
      <x:c r="S55" s="18" t="n">
        <x:v>16</x:v>
      </x:c>
      <x:c r="T55" s="18" t="n">
        <x:v>0</x:v>
      </x:c>
      <x:c r="U55" t="str">
        <x:v>Normal</x:v>
      </x:c>
      <x:c r="V55" t="str">
        <x:v>No</x:v>
      </x:c>
      <x:c r="W55" t="str">
        <x:v>WEAK</x:v>
      </x:c>
      <x:c r="X55" t="str">
        <x:v>REWRITE_REQUIRED</x:v>
      </x:c>
      <x:c r="Y55" t="n">
        <x:v>80</x:v>
      </x:c>
      <x:c r="Z55" t="str">
        <x:v>Success</x:v>
      </x:c>
      <x:c r="AA55"/>
      <x:c r="AB55"/>
      <x:c r="AC55" s="13"/>
      <x:c r="AD55" t="n">
        <x:v>0</x:v>
      </x:c>
      <x:c r="AE55" s="19" t="n">
        <x:v>127956</x:v>
      </x:c>
      <x:c r="AF55" t="str">
        <x:v>deepseek-v4-pro</x:v>
      </x:c>
      <x:c r="AG55" s="20" t="n">
        <x:v>46224.144945659726</x:v>
      </x:c>
      <x:c r="AH55" t="n">
        <x:v>200</x:v>
      </x:c>
    </x:row>
    <x:row r="56">
      <x:c r="A56" s="17" t="str">
        <x:v>055</x:v>
      </x:c>
      <x:c r="B56" t="str">
        <x:v>ZH-GOOD-025</x:v>
      </x:c>
      <x:c r="C56" s="17" t="str">
        <x:v>025</x:v>
      </x:c>
      <x:c r="D56" t="str">
        <x:v>Good</x:v>
      </x:c>
      <x:c r="E56" t="n">
        <x:v>70</x:v>
      </x:c>
      <x:c r="F56" t="n">
        <x:v>84</x:v>
      </x:c>
      <x:c r="G56" t="n">
        <x:v>1</x:v>
      </x:c>
      <x:c r="H56" s="18" t="n">
        <x:v>59</x:v>
      </x:c>
      <x:c r="I56" s="18" t="n">
        <x:v>55</x:v>
      </x:c>
      <x:c r="J56" s="18" t="n">
        <x:v>80</x:v>
      </x:c>
      <x:c r="K56" s="18" t="n">
        <x:v>90</x:v>
      </x:c>
      <x:c r="L56" s="18" t="n">
        <x:v>85</x:v>
      </x:c>
      <x:c r="M56" s="18" t="n">
        <x:v>55</x:v>
      </x:c>
      <x:c r="N56" s="18" t="n">
        <x:v>30</x:v>
      </x:c>
      <x:c r="O56" s="18" t="n">
        <x:v>67</x:v>
      </x:c>
      <x:c r="P56" s="18" t="n">
        <x:v>59</x:v>
      </x:c>
      <x:c r="Q56" t="str">
        <x:v>No</x:v>
      </x:c>
      <x:c r="R56" s="18" t="n">
        <x:v>11</x:v>
      </x:c>
      <x:c r="S56" s="18" t="n">
        <x:v>11</x:v>
      </x:c>
      <x:c r="T56" s="18" t="n">
        <x:v>0</x:v>
      </x:c>
      <x:c r="U56" t="str">
        <x:v>Normal</x:v>
      </x:c>
      <x:c r="V56" t="str">
        <x:v>No</x:v>
      </x:c>
      <x:c r="W56" t="str">
        <x:v>WEAK</x:v>
      </x:c>
      <x:c r="X56" t="str">
        <x:v>REWRITE_REQUIRED</x:v>
      </x:c>
      <x:c r="Y56" t="n">
        <x:v>80</x:v>
      </x:c>
      <x:c r="Z56" t="str">
        <x:v>Success</x:v>
      </x:c>
      <x:c r="AA56"/>
      <x:c r="AB56"/>
      <x:c r="AC56" s="13"/>
      <x:c r="AD56" t="n">
        <x:v>0</x:v>
      </x:c>
      <x:c r="AE56" s="19" t="n">
        <x:v>60040</x:v>
      </x:c>
      <x:c r="AF56" t="str">
        <x:v>deepseek-v4-pro</x:v>
      </x:c>
      <x:c r="AG56" s="20" t="n">
        <x:v>46224.145640601855</x:v>
      </x:c>
      <x:c r="AH56" t="n">
        <x:v>200</x:v>
      </x:c>
    </x:row>
    <x:row r="57">
      <x:c r="A57" s="17" t="str">
        <x:v>056</x:v>
      </x:c>
      <x:c r="B57" t="str">
        <x:v>ZH-GOOD-026</x:v>
      </x:c>
      <x:c r="C57" s="17" t="str">
        <x:v>026</x:v>
      </x:c>
      <x:c r="D57" t="str">
        <x:v>Good</x:v>
      </x:c>
      <x:c r="E57" t="n">
        <x:v>70</x:v>
      </x:c>
      <x:c r="F57" t="n">
        <x:v>84</x:v>
      </x:c>
      <x:c r="G57" t="n">
        <x:v>1</x:v>
      </x:c>
      <x:c r="H57" s="18" t="n">
        <x:v>59</x:v>
      </x:c>
      <x:c r="I57" s="18" t="n">
        <x:v>55</x:v>
      </x:c>
      <x:c r="J57" s="18" t="n">
        <x:v>85</x:v>
      </x:c>
      <x:c r="K57" s="18" t="n">
        <x:v>85</x:v>
      </x:c>
      <x:c r="L57" s="18" t="n">
        <x:v>92</x:v>
      </x:c>
      <x:c r="M57" s="18" t="n">
        <x:v>55</x:v>
      </x:c>
      <x:c r="N57" s="18" t="n">
        <x:v>40</x:v>
      </x:c>
      <x:c r="O57" s="18" t="n">
        <x:v>70</x:v>
      </x:c>
      <x:c r="P57" s="18" t="n">
        <x:v>59</x:v>
      </x:c>
      <x:c r="Q57" t="str">
        <x:v>No</x:v>
      </x:c>
      <x:c r="R57" s="18" t="n">
        <x:v>11</x:v>
      </x:c>
      <x:c r="S57" s="18" t="n">
        <x:v>11</x:v>
      </x:c>
      <x:c r="T57" s="18" t="n">
        <x:v>0</x:v>
      </x:c>
      <x:c r="U57" t="str">
        <x:v>Normal</x:v>
      </x:c>
      <x:c r="V57" t="str">
        <x:v>No</x:v>
      </x:c>
      <x:c r="W57" t="str">
        <x:v>WEAK</x:v>
      </x:c>
      <x:c r="X57" t="str">
        <x:v>REWRITE_REQUIRED</x:v>
      </x:c>
      <x:c r="Y57" t="n">
        <x:v>80</x:v>
      </x:c>
      <x:c r="Z57" t="str">
        <x:v>Success</x:v>
      </x:c>
      <x:c r="AA57"/>
      <x:c r="AB57"/>
      <x:c r="AC57" s="13"/>
      <x:c r="AD57" t="n">
        <x:v>0</x:v>
      </x:c>
      <x:c r="AE57" s="19" t="n">
        <x:v>161366</x:v>
      </x:c>
      <x:c r="AF57" t="str">
        <x:v>deepseek-v4-pro</x:v>
      </x:c>
      <x:c r="AG57" s="20" t="n">
        <x:v>46224.14750827546</x:v>
      </x:c>
      <x:c r="AH57" t="n">
        <x:v>200</x:v>
      </x:c>
    </x:row>
    <x:row r="58">
      <x:c r="A58" s="17" t="str">
        <x:v>057</x:v>
      </x:c>
      <x:c r="B58" t="str">
        <x:v>ZH-GOOD-027</x:v>
      </x:c>
      <x:c r="C58" s="17" t="str">
        <x:v>027</x:v>
      </x:c>
      <x:c r="D58" t="str">
        <x:v>Good</x:v>
      </x:c>
      <x:c r="E58" t="n">
        <x:v>70</x:v>
      </x:c>
      <x:c r="F58" t="n">
        <x:v>84</x:v>
      </x:c>
      <x:c r="G58" t="n">
        <x:v>1</x:v>
      </x:c>
      <x:c r="H58" s="18" t="n">
        <x:v>89</x:v>
      </x:c>
      <x:c r="I58" s="18" t="n">
        <x:v>90</x:v>
      </x:c>
      <x:c r="J58" s="18" t="n">
        <x:v>88</x:v>
      </x:c>
      <x:c r="K58" s="18" t="n">
        <x:v>90</x:v>
      </x:c>
      <x:c r="L58" s="18" t="n">
        <x:v>88</x:v>
      </x:c>
      <x:c r="M58" s="18" t="n">
        <x:v>95</x:v>
      </x:c>
      <x:c r="N58" s="18" t="n">
        <x:v>85</x:v>
      </x:c>
      <x:c r="O58" s="18" t="n">
        <x:v>90</x:v>
      </x:c>
      <x:c r="P58" s="18" t="n">
        <x:v>89</x:v>
      </x:c>
      <x:c r="Q58" t="str">
        <x:v>No</x:v>
      </x:c>
      <x:c r="R58" s="18" t="n">
        <x:v>5</x:v>
      </x:c>
      <x:c r="S58" s="18" t="n">
        <x:v>0</x:v>
      </x:c>
      <x:c r="T58" s="18" t="n">
        <x:v>5</x:v>
      </x:c>
      <x:c r="U58" t="str">
        <x:v>Excellent</x:v>
      </x:c>
      <x:c r="V58" t="str">
        <x:v>No</x:v>
      </x:c>
      <x:c r="W58" t="str">
        <x:v>STRONG_LIMITED_EDITING</x:v>
      </x:c>
      <x:c r="X58" t="str">
        <x:v>PASS</x:v>
      </x:c>
      <x:c r="Y58" t="n">
        <x:v>80</x:v>
      </x:c>
      <x:c r="Z58" t="str">
        <x:v>Success</x:v>
      </x:c>
      <x:c r="AA58"/>
      <x:c r="AB58"/>
      <x:c r="AC58" s="13"/>
      <x:c r="AD58" t="n">
        <x:v>0</x:v>
      </x:c>
      <x:c r="AE58" s="19" t="n">
        <x:v>171770</x:v>
      </x:c>
      <x:c r="AF58" t="str">
        <x:v>deepseek-v4-pro</x:v>
      </x:c>
      <x:c r="AG58" s="20" t="n">
        <x:v>46224.14949644676</x:v>
      </x:c>
      <x:c r="AH58" t="n">
        <x:v>200</x:v>
      </x:c>
    </x:row>
    <x:row r="59">
      <x:c r="A59" s="17" t="str">
        <x:v>058</x:v>
      </x:c>
      <x:c r="B59" t="str">
        <x:v>ZH-GOOD-028</x:v>
      </x:c>
      <x:c r="C59" s="17" t="str">
        <x:v>028</x:v>
      </x:c>
      <x:c r="D59" t="str">
        <x:v>Good</x:v>
      </x:c>
      <x:c r="E59" t="n">
        <x:v>70</x:v>
      </x:c>
      <x:c r="F59" t="n">
        <x:v>84</x:v>
      </x:c>
      <x:c r="G59" t="n">
        <x:v>1</x:v>
      </x:c>
      <x:c r="H59" s="18" t="n">
        <x:v>59</x:v>
      </x:c>
      <x:c r="I59" s="18" t="n">
        <x:v>45</x:v>
      </x:c>
      <x:c r="J59" s="18" t="n">
        <x:v>68</x:v>
      </x:c>
      <x:c r="K59" s="18" t="n">
        <x:v>82</x:v>
      </x:c>
      <x:c r="L59" s="18" t="n">
        <x:v>85</x:v>
      </x:c>
      <x:c r="M59" s="18" t="n">
        <x:v>50</x:v>
      </x:c>
      <x:c r="N59" s="18" t="n">
        <x:v>30</x:v>
      </x:c>
      <x:c r="O59" s="18" t="n">
        <x:v>60</x:v>
      </x:c>
      <x:c r="P59" s="18" t="n">
        <x:v>59</x:v>
      </x:c>
      <x:c r="Q59" t="str">
        <x:v>No</x:v>
      </x:c>
      <x:c r="R59" s="18" t="n">
        <x:v>11</x:v>
      </x:c>
      <x:c r="S59" s="18" t="n">
        <x:v>11</x:v>
      </x:c>
      <x:c r="T59" s="18" t="n">
        <x:v>0</x:v>
      </x:c>
      <x:c r="U59" t="str">
        <x:v>Normal</x:v>
      </x:c>
      <x:c r="V59" t="str">
        <x:v>No</x:v>
      </x:c>
      <x:c r="W59" t="str">
        <x:v>WEAK</x:v>
      </x:c>
      <x:c r="X59" t="str">
        <x:v>REWRITE_REQUIRED</x:v>
      </x:c>
      <x:c r="Y59" t="n">
        <x:v>80</x:v>
      </x:c>
      <x:c r="Z59" t="str">
        <x:v>Success</x:v>
      </x:c>
      <x:c r="AA59"/>
      <x:c r="AB59"/>
      <x:c r="AC59" s="13"/>
      <x:c r="AD59" t="n">
        <x:v>0</x:v>
      </x:c>
      <x:c r="AE59" s="19" t="n">
        <x:v>76435</x:v>
      </x:c>
      <x:c r="AF59" t="str">
        <x:v>deepseek-v4-pro</x:v>
      </x:c>
      <x:c r="AG59" s="20" t="n">
        <x:v>46224.15038116898</x:v>
      </x:c>
      <x:c r="AH59" t="n">
        <x:v>200</x:v>
      </x:c>
    </x:row>
    <x:row r="60">
      <x:c r="A60" s="17" t="str">
        <x:v>059</x:v>
      </x:c>
      <x:c r="B60" t="str">
        <x:v>ZH-GOOD-029</x:v>
      </x:c>
      <x:c r="C60" s="17" t="str">
        <x:v>029</x:v>
      </x:c>
      <x:c r="D60" t="str">
        <x:v>Good</x:v>
      </x:c>
      <x:c r="E60" t="n">
        <x:v>70</x:v>
      </x:c>
      <x:c r="F60" t="n">
        <x:v>84</x:v>
      </x:c>
      <x:c r="G60" t="n">
        <x:v>1</x:v>
      </x:c>
      <x:c r="H60" s="18" t="n">
        <x:v>58</x:v>
      </x:c>
      <x:c r="I60" s="18" t="n">
        <x:v>45</x:v>
      </x:c>
      <x:c r="J60" s="18" t="n">
        <x:v>65</x:v>
      </x:c>
      <x:c r="K60" s="18" t="n">
        <x:v>75</x:v>
      </x:c>
      <x:c r="L60" s="18" t="n">
        <x:v>85</x:v>
      </x:c>
      <x:c r="M60" s="18" t="n">
        <x:v>50</x:v>
      </x:c>
      <x:c r="N60" s="18" t="n">
        <x:v>25</x:v>
      </x:c>
      <x:c r="O60" s="18" t="n">
        <x:v>58</x:v>
      </x:c>
      <x:c r="P60" s="18" t="n">
        <x:v>59</x:v>
      </x:c>
      <x:c r="Q60" t="str">
        <x:v>No</x:v>
      </x:c>
      <x:c r="R60" s="18" t="n">
        <x:v>12</x:v>
      </x:c>
      <x:c r="S60" s="18" t="n">
        <x:v>12</x:v>
      </x:c>
      <x:c r="T60" s="18" t="n">
        <x:v>0</x:v>
      </x:c>
      <x:c r="U60" t="str">
        <x:v>Normal</x:v>
      </x:c>
      <x:c r="V60" t="str">
        <x:v>No</x:v>
      </x:c>
      <x:c r="W60" t="str">
        <x:v>WEAK</x:v>
      </x:c>
      <x:c r="X60" t="str">
        <x:v>REWRITE_REQUIRED</x:v>
      </x:c>
      <x:c r="Y60" t="n">
        <x:v>80</x:v>
      </x:c>
      <x:c r="Z60" t="str">
        <x:v>Success</x:v>
      </x:c>
      <x:c r="AA60"/>
      <x:c r="AB60"/>
      <x:c r="AC60" s="13"/>
      <x:c r="AD60" t="n">
        <x:v>0</x:v>
      </x:c>
      <x:c r="AE60" s="19" t="n">
        <x:v>75288</x:v>
      </x:c>
      <x:c r="AF60" t="str">
        <x:v>deepseek-v4-pro</x:v>
      </x:c>
      <x:c r="AG60" s="20" t="n">
        <x:v>46224.15125256944</x:v>
      </x:c>
      <x:c r="AH60" t="n">
        <x:v>200</x:v>
      </x:c>
    </x:row>
    <x:row r="61">
      <x:c r="A61" s="17" t="str">
        <x:v>060</x:v>
      </x:c>
      <x:c r="B61" t="str">
        <x:v>ZH-GOOD-030</x:v>
      </x:c>
      <x:c r="C61" s="17" t="str">
        <x:v>030</x:v>
      </x:c>
      <x:c r="D61" t="str">
        <x:v>Good</x:v>
      </x:c>
      <x:c r="E61" t="n">
        <x:v>70</x:v>
      </x:c>
      <x:c r="F61" t="n">
        <x:v>84</x:v>
      </x:c>
      <x:c r="G61" t="n">
        <x:v>1</x:v>
      </x:c>
      <x:c r="H61" s="18" t="n">
        <x:v>86</x:v>
      </x:c>
      <x:c r="I61" s="18" t="n">
        <x:v>85</x:v>
      </x:c>
      <x:c r="J61" s="18" t="n">
        <x:v>78</x:v>
      </x:c>
      <x:c r="K61" s="18" t="n">
        <x:v>88</x:v>
      </x:c>
      <x:c r="L61" s="18" t="n">
        <x:v>90</x:v>
      </x:c>
      <x:c r="M61" s="18" t="n">
        <x:v>90</x:v>
      </x:c>
      <x:c r="N61" s="18" t="n">
        <x:v>92</x:v>
      </x:c>
      <x:c r="O61" s="18" t="n">
        <x:v>86</x:v>
      </x:c>
      <x:c r="P61" s="18" t="n">
        <x:v>89</x:v>
      </x:c>
      <x:c r="Q61" t="str">
        <x:v>No</x:v>
      </x:c>
      <x:c r="R61" s="18" t="n">
        <x:v>2</x:v>
      </x:c>
      <x:c r="S61" s="18" t="n">
        <x:v>0</x:v>
      </x:c>
      <x:c r="T61" s="18" t="n">
        <x:v>2</x:v>
      </x:c>
      <x:c r="U61" t="str">
        <x:v>Excellent</x:v>
      </x:c>
      <x:c r="V61" t="str">
        <x:v>No</x:v>
      </x:c>
      <x:c r="W61" t="str">
        <x:v>STRONG_LIMITED_EDITING</x:v>
      </x:c>
      <x:c r="X61" t="str">
        <x:v>PASS</x:v>
      </x:c>
      <x:c r="Y61" t="n">
        <x:v>80</x:v>
      </x:c>
      <x:c r="Z61" t="str">
        <x:v>Success</x:v>
      </x:c>
      <x:c r="AA61"/>
      <x:c r="AB61"/>
      <x:c r="AC61" s="13"/>
      <x:c r="AD61" t="n">
        <x:v>0</x:v>
      </x:c>
      <x:c r="AE61" s="19" t="n">
        <x:v>79216</x:v>
      </x:c>
      <x:c r="AF61" t="str">
        <x:v>deepseek-v4-pro</x:v>
      </x:c>
      <x:c r="AG61" s="20" t="n">
        <x:v>46224.15216945602</x:v>
      </x:c>
      <x:c r="AH61" t="n">
        <x:v>200</x:v>
      </x:c>
    </x:row>
    <x:row r="62">
      <x:c r="A62" s="17" t="str">
        <x:v>061</x:v>
      </x:c>
      <x:c r="B62" t="str">
        <x:v>ZH-NORMAL-001</x:v>
      </x:c>
      <x:c r="C62" s="17" t="str">
        <x:v>001</x:v>
      </x:c>
      <x:c r="D62" t="str">
        <x:v>Normal</x:v>
      </x:c>
      <x:c r="E62" t="n">
        <x:v>50</x:v>
      </x:c>
      <x:c r="F62" t="n">
        <x:v>69</x:v>
      </x:c>
      <x:c r="G62" t="n">
        <x:v>1</x:v>
      </x:c>
      <x:c r="H62" s="18" t="n">
        <x:v>56</x:v>
      </x:c>
      <x:c r="I62" s="18" t="n">
        <x:v>55</x:v>
      </x:c>
      <x:c r="J62" s="18" t="n">
        <x:v>60</x:v>
      </x:c>
      <x:c r="K62" s="18" t="n">
        <x:v>65</x:v>
      </x:c>
      <x:c r="L62" s="18" t="n">
        <x:v>60</x:v>
      </x:c>
      <x:c r="M62" s="18" t="n">
        <x:v>50</x:v>
      </x:c>
      <x:c r="N62" s="18" t="n">
        <x:v>40</x:v>
      </x:c>
      <x:c r="O62" s="18" t="n">
        <x:v>56</x:v>
      </x:c>
      <x:c r="P62" s="18" t="n">
        <x:v>59</x:v>
      </x:c>
      <x:c r="Q62" t="str">
        <x:v>Yes</x:v>
      </x:c>
      <x:c r="R62" s="18" t="n">
        <x:v>0</x:v>
      </x:c>
      <x:c r="S62" s="18" t="n">
        <x:v>0</x:v>
      </x:c>
      <x:c r="T62" s="18" t="n">
        <x:v>0</x:v>
      </x:c>
      <x:c r="U62" t="str">
        <x:v>Normal</x:v>
      </x:c>
      <x:c r="V62" t="str">
        <x:v>Yes</x:v>
      </x:c>
      <x:c r="W62" t="str">
        <x:v>WEAK</x:v>
      </x:c>
      <x:c r="X62" t="str">
        <x:v>REWRITE_REQUIRED</x:v>
      </x:c>
      <x:c r="Y62" t="n">
        <x:v>80</x:v>
      </x:c>
      <x:c r="Z62" t="str">
        <x:v>Success</x:v>
      </x:c>
      <x:c r="AA62"/>
      <x:c r="AB62"/>
      <x:c r="AC62" s="13"/>
      <x:c r="AD62" t="n">
        <x:v>0</x:v>
      </x:c>
      <x:c r="AE62" s="19" t="n">
        <x:v>60386</x:v>
      </x:c>
      <x:c r="AF62" t="str">
        <x:v>deepseek-v4-pro</x:v>
      </x:c>
      <x:c r="AG62" s="20" t="n">
        <x:v>46223.370696377315</x:v>
      </x:c>
      <x:c r="AH62" t="n">
        <x:v>200</x:v>
      </x:c>
    </x:row>
    <x:row r="63">
      <x:c r="A63" s="17" t="str">
        <x:v>062</x:v>
      </x:c>
      <x:c r="B63" t="str">
        <x:v>ZH-NORMAL-002</x:v>
      </x:c>
      <x:c r="C63" s="17" t="str">
        <x:v>002</x:v>
      </x:c>
      <x:c r="D63" t="str">
        <x:v>Normal</x:v>
      </x:c>
      <x:c r="E63" t="n">
        <x:v>50</x:v>
      </x:c>
      <x:c r="F63" t="n">
        <x:v>69</x:v>
      </x:c>
      <x:c r="G63" t="n">
        <x:v>1</x:v>
      </x:c>
      <x:c r="H63" s="18" t="n">
        <x:v>51</x:v>
      </x:c>
      <x:c r="I63" s="18" t="n">
        <x:v>50</x:v>
      </x:c>
      <x:c r="J63" s="18" t="n">
        <x:v>40</x:v>
      </x:c>
      <x:c r="K63" s="18" t="n">
        <x:v>65</x:v>
      </x:c>
      <x:c r="L63" s="18" t="n">
        <x:v>55</x:v>
      </x:c>
      <x:c r="M63" s="18" t="n">
        <x:v>55</x:v>
      </x:c>
      <x:c r="N63" s="18" t="n">
        <x:v>45</x:v>
      </x:c>
      <x:c r="O63" s="18" t="n">
        <x:v>51</x:v>
      </x:c>
      <x:c r="P63" s="18" t="n">
        <x:v>59</x:v>
      </x:c>
      <x:c r="Q63" t="str">
        <x:v>Yes</x:v>
      </x:c>
      <x:c r="R63" s="18" t="n">
        <x:v>0</x:v>
      </x:c>
      <x:c r="S63" s="18" t="n">
        <x:v>0</x:v>
      </x:c>
      <x:c r="T63" s="18" t="n">
        <x:v>0</x:v>
      </x:c>
      <x:c r="U63" t="str">
        <x:v>Normal</x:v>
      </x:c>
      <x:c r="V63" t="str">
        <x:v>Yes</x:v>
      </x:c>
      <x:c r="W63" t="str">
        <x:v>WEAK</x:v>
      </x:c>
      <x:c r="X63" t="str">
        <x:v>REWRITE_REQUIRED</x:v>
      </x:c>
      <x:c r="Y63" t="n">
        <x:v>80</x:v>
      </x:c>
      <x:c r="Z63" t="str">
        <x:v>Success</x:v>
      </x:c>
      <x:c r="AA63"/>
      <x:c r="AB63"/>
      <x:c r="AC63" s="13"/>
      <x:c r="AD63" t="n">
        <x:v>0</x:v>
      </x:c>
      <x:c r="AE63" s="19" t="n">
        <x:v>77093</x:v>
      </x:c>
      <x:c r="AF63" t="str">
        <x:v>deepseek-v4-pro</x:v>
      </x:c>
      <x:c r="AG63" s="20" t="n">
        <x:v>46224.11465015046</x:v>
      </x:c>
      <x:c r="AH63" t="n">
        <x:v>200</x:v>
      </x:c>
    </x:row>
    <x:row r="64">
      <x:c r="A64" s="17" t="str">
        <x:v>063</x:v>
      </x:c>
      <x:c r="B64" t="str">
        <x:v>ZH-NORMAL-003</x:v>
      </x:c>
      <x:c r="C64" s="17" t="str">
        <x:v>003</x:v>
      </x:c>
      <x:c r="D64" t="str">
        <x:v>Normal</x:v>
      </x:c>
      <x:c r="E64" t="n">
        <x:v>50</x:v>
      </x:c>
      <x:c r="F64" t="n">
        <x:v>69</x:v>
      </x:c>
      <x:c r="G64" t="n">
        <x:v>1</x:v>
      </x:c>
      <x:c r="H64" s="18" t="n">
        <x:v>51</x:v>
      </x:c>
      <x:c r="I64" s="18" t="n">
        <x:v>45</x:v>
      </x:c>
      <x:c r="J64" s="18" t="n">
        <x:v>50</x:v>
      </x:c>
      <x:c r="K64" s="18" t="n">
        <x:v>60</x:v>
      </x:c>
      <x:c r="L64" s="18" t="n">
        <x:v>62</x:v>
      </x:c>
      <x:c r="M64" s="18" t="n">
        <x:v>50</x:v>
      </x:c>
      <x:c r="N64" s="18" t="n">
        <x:v>40</x:v>
      </x:c>
      <x:c r="O64" s="18" t="n">
        <x:v>51</x:v>
      </x:c>
      <x:c r="P64" s="18" t="n">
        <x:v>59</x:v>
      </x:c>
      <x:c r="Q64" t="str">
        <x:v>Yes</x:v>
      </x:c>
      <x:c r="R64" s="18" t="n">
        <x:v>0</x:v>
      </x:c>
      <x:c r="S64" s="18" t="n">
        <x:v>0</x:v>
      </x:c>
      <x:c r="T64" s="18" t="n">
        <x:v>0</x:v>
      </x:c>
      <x:c r="U64" t="str">
        <x:v>Normal</x:v>
      </x:c>
      <x:c r="V64" t="str">
        <x:v>Yes</x:v>
      </x:c>
      <x:c r="W64" t="str">
        <x:v>WEAK</x:v>
      </x:c>
      <x:c r="X64" t="str">
        <x:v>REWRITE_REQUIRED</x:v>
      </x:c>
      <x:c r="Y64" t="n">
        <x:v>80</x:v>
      </x:c>
      <x:c r="Z64" t="str">
        <x:v>Success</x:v>
      </x:c>
      <x:c r="AA64"/>
      <x:c r="AB64"/>
      <x:c r="AC64" s="13"/>
      <x:c r="AD64" t="n">
        <x:v>0</x:v>
      </x:c>
      <x:c r="AE64" s="19" t="n">
        <x:v>105755</x:v>
      </x:c>
      <x:c r="AF64" t="str">
        <x:v>deepseek-v4-pro</x:v>
      </x:c>
      <x:c r="AG64" s="20" t="n">
        <x:v>46224.11587420139</x:v>
      </x:c>
      <x:c r="AH64" t="n">
        <x:v>200</x:v>
      </x:c>
    </x:row>
    <x:row r="65">
      <x:c r="A65" s="17" t="str">
        <x:v>064</x:v>
      </x:c>
      <x:c r="B65" t="str">
        <x:v>ZH-NORMAL-004</x:v>
      </x:c>
      <x:c r="C65" s="17" t="str">
        <x:v>004</x:v>
      </x:c>
      <x:c r="D65" t="str">
        <x:v>Normal</x:v>
      </x:c>
      <x:c r="E65" t="n">
        <x:v>50</x:v>
      </x:c>
      <x:c r="F65" t="n">
        <x:v>69</x:v>
      </x:c>
      <x:c r="G65" t="n">
        <x:v>1</x:v>
      </x:c>
      <x:c r="H65" s="18" t="n">
        <x:v>49</x:v>
      </x:c>
      <x:c r="I65" s="18" t="n">
        <x:v>50</x:v>
      </x:c>
      <x:c r="J65" s="18" t="n">
        <x:v>45</x:v>
      </x:c>
      <x:c r="K65" s="18" t="n">
        <x:v>65</x:v>
      </x:c>
      <x:c r="L65" s="18" t="n">
        <x:v>45</x:v>
      </x:c>
      <x:c r="M65" s="18" t="n">
        <x:v>50</x:v>
      </x:c>
      <x:c r="N65" s="18" t="n">
        <x:v>35</x:v>
      </x:c>
      <x:c r="O65" s="18" t="n">
        <x:v>49</x:v>
      </x:c>
      <x:c r="P65" s="18" t="n">
        <x:v>59</x:v>
      </x:c>
      <x:c r="Q65" t="str">
        <x:v>No</x:v>
      </x:c>
      <x:c r="R65" s="18" t="n">
        <x:v>1</x:v>
      </x:c>
      <x:c r="S65" s="18" t="n">
        <x:v>1</x:v>
      </x:c>
      <x:c r="T65" s="18" t="n">
        <x:v>0</x:v>
      </x:c>
      <x:c r="U65" t="str">
        <x:v>Bad</x:v>
      </x:c>
      <x:c r="V65" t="str">
        <x:v>No</x:v>
      </x:c>
      <x:c r="W65" t="str">
        <x:v>WEAK</x:v>
      </x:c>
      <x:c r="X65" t="str">
        <x:v>REWRITE_REQUIRED</x:v>
      </x:c>
      <x:c r="Y65" t="n">
        <x:v>80</x:v>
      </x:c>
      <x:c r="Z65" t="str">
        <x:v>Success</x:v>
      </x:c>
      <x:c r="AA65"/>
      <x:c r="AB65"/>
      <x:c r="AC65" s="13"/>
      <x:c r="AD65" t="n">
        <x:v>0</x:v>
      </x:c>
      <x:c r="AE65" s="19" t="n">
        <x:v>99821</x:v>
      </x:c>
      <x:c r="AF65" t="str">
        <x:v>deepseek-v4-pro</x:v>
      </x:c>
      <x:c r="AG65" s="20" t="n">
        <x:v>46224.117029583336</x:v>
      </x:c>
      <x:c r="AH65" t="n">
        <x:v>200</x:v>
      </x:c>
    </x:row>
    <x:row r="66">
      <x:c r="A66" s="17" t="str">
        <x:v>065</x:v>
      </x:c>
      <x:c r="B66" t="str">
        <x:v>ZH-NORMAL-005</x:v>
      </x:c>
      <x:c r="C66" s="17" t="str">
        <x:v>005</x:v>
      </x:c>
      <x:c r="D66" t="str">
        <x:v>Normal</x:v>
      </x:c>
      <x:c r="E66" t="n">
        <x:v>50</x:v>
      </x:c>
      <x:c r="F66" t="n">
        <x:v>69</x:v>
      </x:c>
      <x:c r="G66" t="n">
        <x:v>1</x:v>
      </x:c>
      <x:c r="H66" s="18" t="n">
        <x:v>46</x:v>
      </x:c>
      <x:c r="I66" s="18" t="n">
        <x:v>45</x:v>
      </x:c>
      <x:c r="J66" s="18" t="n">
        <x:v>40</x:v>
      </x:c>
      <x:c r="K66" s="18" t="n">
        <x:v>60</x:v>
      </x:c>
      <x:c r="L66" s="18" t="n">
        <x:v>40</x:v>
      </x:c>
      <x:c r="M66" s="18" t="n">
        <x:v>45</x:v>
      </x:c>
      <x:c r="N66" s="18" t="n">
        <x:v>50</x:v>
      </x:c>
      <x:c r="O66" s="18" t="n">
        <x:v>46</x:v>
      </x:c>
      <x:c r="P66" s="18" t="n">
        <x:v>59</x:v>
      </x:c>
      <x:c r="Q66" t="str">
        <x:v>No</x:v>
      </x:c>
      <x:c r="R66" s="18" t="n">
        <x:v>4</x:v>
      </x:c>
      <x:c r="S66" s="18" t="n">
        <x:v>4</x:v>
      </x:c>
      <x:c r="T66" s="18" t="n">
        <x:v>0</x:v>
      </x:c>
      <x:c r="U66" t="str">
        <x:v>Bad</x:v>
      </x:c>
      <x:c r="V66" t="str">
        <x:v>No</x:v>
      </x:c>
      <x:c r="W66" t="str">
        <x:v>WEAK</x:v>
      </x:c>
      <x:c r="X66" t="str">
        <x:v>REWRITE_REQUIRED</x:v>
      </x:c>
      <x:c r="Y66" t="n">
        <x:v>80</x:v>
      </x:c>
      <x:c r="Z66" t="str">
        <x:v>Success</x:v>
      </x:c>
      <x:c r="AA66"/>
      <x:c r="AB66"/>
      <x:c r="AC66" s="13"/>
      <x:c r="AD66" t="n">
        <x:v>0</x:v>
      </x:c>
      <x:c r="AE66" s="19" t="n">
        <x:v>147704</x:v>
      </x:c>
      <x:c r="AF66" t="str">
        <x:v>deepseek-v4-pro</x:v>
      </x:c>
      <x:c r="AG66" s="20" t="n">
        <x:v>46224.11873913195</x:v>
      </x:c>
      <x:c r="AH66" t="n">
        <x:v>200</x:v>
      </x:c>
    </x:row>
    <x:row r="67">
      <x:c r="A67" s="17" t="str">
        <x:v>066</x:v>
      </x:c>
      <x:c r="B67" t="str">
        <x:v>ZH-NORMAL-006</x:v>
      </x:c>
      <x:c r="C67" s="17" t="str">
        <x:v>006</x:v>
      </x:c>
      <x:c r="D67" t="str">
        <x:v>Normal</x:v>
      </x:c>
      <x:c r="E67" t="n">
        <x:v>50</x:v>
      </x:c>
      <x:c r="F67" t="n">
        <x:v>69</x:v>
      </x:c>
      <x:c r="G67" t="n">
        <x:v>1</x:v>
      </x:c>
      <x:c r="H67" s="18" t="n">
        <x:v>47</x:v>
      </x:c>
      <x:c r="I67" s="18" t="n">
        <x:v>50</x:v>
      </x:c>
      <x:c r="J67" s="18" t="n">
        <x:v>45</x:v>
      </x:c>
      <x:c r="K67" s="18" t="n">
        <x:v>45</x:v>
      </x:c>
      <x:c r="L67" s="18" t="n">
        <x:v>52</x:v>
      </x:c>
      <x:c r="M67" s="18" t="n">
        <x:v>55</x:v>
      </x:c>
      <x:c r="N67" s="18" t="n">
        <x:v>30</x:v>
      </x:c>
      <x:c r="O67" s="18" t="n">
        <x:v>47</x:v>
      </x:c>
      <x:c r="P67" s="18" t="n">
        <x:v>59</x:v>
      </x:c>
      <x:c r="Q67" t="str">
        <x:v>No</x:v>
      </x:c>
      <x:c r="R67" s="18" t="n">
        <x:v>3</x:v>
      </x:c>
      <x:c r="S67" s="18" t="n">
        <x:v>3</x:v>
      </x:c>
      <x:c r="T67" s="18" t="n">
        <x:v>0</x:v>
      </x:c>
      <x:c r="U67" t="str">
        <x:v>Bad</x:v>
      </x:c>
      <x:c r="V67" t="str">
        <x:v>No</x:v>
      </x:c>
      <x:c r="W67" t="str">
        <x:v>WEAK</x:v>
      </x:c>
      <x:c r="X67" t="str">
        <x:v>REWRITE_REQUIRED</x:v>
      </x:c>
      <x:c r="Y67" t="n">
        <x:v>80</x:v>
      </x:c>
      <x:c r="Z67" t="str">
        <x:v>Success</x:v>
      </x:c>
      <x:c r="AA67"/>
      <x:c r="AB67"/>
      <x:c r="AC67" s="13"/>
      <x:c r="AD67" t="n">
        <x:v>0</x:v>
      </x:c>
      <x:c r="AE67" s="19" t="n">
        <x:v>91288</x:v>
      </x:c>
      <x:c r="AF67" t="str">
        <x:v>deepseek-v4-pro</x:v>
      </x:c>
      <x:c r="AG67" s="20" t="n">
        <x:v>46224.11979574074</x:v>
      </x:c>
      <x:c r="AH67" t="n">
        <x:v>200</x:v>
      </x:c>
    </x:row>
    <x:row r="68">
      <x:c r="A68" s="17" t="str">
        <x:v>067</x:v>
      </x:c>
      <x:c r="B68" t="str">
        <x:v>ZH-NORMAL-007</x:v>
      </x:c>
      <x:c r="C68" s="17" t="str">
        <x:v>007</x:v>
      </x:c>
      <x:c r="D68" t="str">
        <x:v>Normal</x:v>
      </x:c>
      <x:c r="E68" t="n">
        <x:v>50</x:v>
      </x:c>
      <x:c r="F68" t="n">
        <x:v>69</x:v>
      </x:c>
      <x:c r="G68" t="n">
        <x:v>1</x:v>
      </x:c>
      <x:c r="H68" s="18" t="n">
        <x:v>55</x:v>
      </x:c>
      <x:c r="I68" s="18" t="n">
        <x:v>50</x:v>
      </x:c>
      <x:c r="J68" s="18" t="n">
        <x:v>55</x:v>
      </x:c>
      <x:c r="K68" s="18" t="n">
        <x:v>65</x:v>
      </x:c>
      <x:c r="L68" s="18" t="n">
        <x:v>65</x:v>
      </x:c>
      <x:c r="M68" s="18" t="n">
        <x:v>50</x:v>
      </x:c>
      <x:c r="N68" s="18" t="n">
        <x:v>45</x:v>
      </x:c>
      <x:c r="O68" s="18" t="n">
        <x:v>55</x:v>
      </x:c>
      <x:c r="P68" s="18" t="n">
        <x:v>59</x:v>
      </x:c>
      <x:c r="Q68" t="str">
        <x:v>Yes</x:v>
      </x:c>
      <x:c r="R68" s="18" t="n">
        <x:v>0</x:v>
      </x:c>
      <x:c r="S68" s="18" t="n">
        <x:v>0</x:v>
      </x:c>
      <x:c r="T68" s="18" t="n">
        <x:v>0</x:v>
      </x:c>
      <x:c r="U68" t="str">
        <x:v>Normal</x:v>
      </x:c>
      <x:c r="V68" t="str">
        <x:v>Yes</x:v>
      </x:c>
      <x:c r="W68" t="str">
        <x:v>WEAK</x:v>
      </x:c>
      <x:c r="X68" t="str">
        <x:v>REWRITE_REQUIRED</x:v>
      </x:c>
      <x:c r="Y68" t="n">
        <x:v>80</x:v>
      </x:c>
      <x:c r="Z68" t="str">
        <x:v>Success</x:v>
      </x:c>
      <x:c r="AA68"/>
      <x:c r="AB68"/>
      <x:c r="AC68" s="13"/>
      <x:c r="AD68" t="n">
        <x:v>0</x:v>
      </x:c>
      <x:c r="AE68" s="19" t="n">
        <x:v>156603</x:v>
      </x:c>
      <x:c r="AF68" t="str">
        <x:v>deepseek-v4-pro</x:v>
      </x:c>
      <x:c r="AG68" s="20" t="n">
        <x:v>46224.121608298614</x:v>
      </x:c>
      <x:c r="AH68" t="n">
        <x:v>200</x:v>
      </x:c>
    </x:row>
    <x:row r="69">
      <x:c r="A69" s="17" t="str">
        <x:v>068</x:v>
      </x:c>
      <x:c r="B69" t="str">
        <x:v>ZH-NORMAL-008</x:v>
      </x:c>
      <x:c r="C69" s="17" t="str">
        <x:v>008</x:v>
      </x:c>
      <x:c r="D69" t="str">
        <x:v>Normal</x:v>
      </x:c>
      <x:c r="E69" t="n">
        <x:v>50</x:v>
      </x:c>
      <x:c r="F69" t="n">
        <x:v>69</x:v>
      </x:c>
      <x:c r="G69" t="n">
        <x:v>1</x:v>
      </x:c>
      <x:c r="H69" s="18" t="n">
        <x:v>48</x:v>
      </x:c>
      <x:c r="I69" s="18" t="n">
        <x:v>45</x:v>
      </x:c>
      <x:c r="J69" s="18" t="n">
        <x:v>50</x:v>
      </x:c>
      <x:c r="K69" s="18" t="n">
        <x:v>60</x:v>
      </x:c>
      <x:c r="L69" s="18" t="n">
        <x:v>45</x:v>
      </x:c>
      <x:c r="M69" s="18" t="n">
        <x:v>50</x:v>
      </x:c>
      <x:c r="N69" s="18" t="n">
        <x:v>30</x:v>
      </x:c>
      <x:c r="O69" s="18" t="n">
        <x:v>48</x:v>
      </x:c>
      <x:c r="P69" s="18" t="n">
        <x:v>59</x:v>
      </x:c>
      <x:c r="Q69" t="str">
        <x:v>No</x:v>
      </x:c>
      <x:c r="R69" s="18" t="n">
        <x:v>2</x:v>
      </x:c>
      <x:c r="S69" s="18" t="n">
        <x:v>2</x:v>
      </x:c>
      <x:c r="T69" s="18" t="n">
        <x:v>0</x:v>
      </x:c>
      <x:c r="U69" t="str">
        <x:v>Bad</x:v>
      </x:c>
      <x:c r="V69" t="str">
        <x:v>No</x:v>
      </x:c>
      <x:c r="W69" t="str">
        <x:v>WEAK</x:v>
      </x:c>
      <x:c r="X69" t="str">
        <x:v>REWRITE_REQUIRED</x:v>
      </x:c>
      <x:c r="Y69" t="n">
        <x:v>80</x:v>
      </x:c>
      <x:c r="Z69" t="str">
        <x:v>Success</x:v>
      </x:c>
      <x:c r="AA69"/>
      <x:c r="AB69"/>
      <x:c r="AC69" s="13"/>
      <x:c r="AD69" t="n">
        <x:v>0</x:v>
      </x:c>
      <x:c r="AE69" s="19" t="n">
        <x:v>99358</x:v>
      </x:c>
      <x:c r="AF69" t="str">
        <x:v>deepseek-v4-pro</x:v>
      </x:c>
      <x:c r="AG69" s="20" t="n">
        <x:v>46224.122758310186</x:v>
      </x:c>
      <x:c r="AH69" t="n">
        <x:v>200</x:v>
      </x:c>
    </x:row>
    <x:row r="70">
      <x:c r="A70" s="17" t="str">
        <x:v>069</x:v>
      </x:c>
      <x:c r="B70" t="str">
        <x:v>ZH-NORMAL-009</x:v>
      </x:c>
      <x:c r="C70" s="17" t="str">
        <x:v>009</x:v>
      </x:c>
      <x:c r="D70" t="str">
        <x:v>Normal</x:v>
      </x:c>
      <x:c r="E70" t="n">
        <x:v>50</x:v>
      </x:c>
      <x:c r="F70" t="n">
        <x:v>69</x:v>
      </x:c>
      <x:c r="G70" t="n">
        <x:v>1</x:v>
      </x:c>
      <x:c r="H70" s="18" t="n">
        <x:v>48</x:v>
      </x:c>
      <x:c r="I70" s="18" t="n">
        <x:v>45</x:v>
      </x:c>
      <x:c r="J70" s="18" t="n">
        <x:v>60</x:v>
      </x:c>
      <x:c r="K70" s="18" t="n">
        <x:v>55</x:v>
      </x:c>
      <x:c r="L70" s="18" t="n">
        <x:v>50</x:v>
      </x:c>
      <x:c r="M70" s="18" t="n">
        <x:v>45</x:v>
      </x:c>
      <x:c r="N70" s="18" t="n">
        <x:v>20</x:v>
      </x:c>
      <x:c r="O70" s="18" t="n">
        <x:v>48</x:v>
      </x:c>
      <x:c r="P70" s="18" t="n">
        <x:v>59</x:v>
      </x:c>
      <x:c r="Q70" t="str">
        <x:v>No</x:v>
      </x:c>
      <x:c r="R70" s="18" t="n">
        <x:v>2</x:v>
      </x:c>
      <x:c r="S70" s="18" t="n">
        <x:v>2</x:v>
      </x:c>
      <x:c r="T70" s="18" t="n">
        <x:v>0</x:v>
      </x:c>
      <x:c r="U70" t="str">
        <x:v>Bad</x:v>
      </x:c>
      <x:c r="V70" t="str">
        <x:v>No</x:v>
      </x:c>
      <x:c r="W70" t="str">
        <x:v>WEAK</x:v>
      </x:c>
      <x:c r="X70" t="str">
        <x:v>REWRITE_REQUIRED</x:v>
      </x:c>
      <x:c r="Y70" t="n">
        <x:v>80</x:v>
      </x:c>
      <x:c r="Z70" t="str">
        <x:v>Success</x:v>
      </x:c>
      <x:c r="AA70"/>
      <x:c r="AB70"/>
      <x:c r="AC70" s="13"/>
      <x:c r="AD70" t="n">
        <x:v>0</x:v>
      </x:c>
      <x:c r="AE70" s="19" t="n">
        <x:v>62201</x:v>
      </x:c>
      <x:c r="AF70" t="str">
        <x:v>deepseek-v4-pro</x:v>
      </x:c>
      <x:c r="AG70" s="20" t="n">
        <x:v>46224.12347825232</x:v>
      </x:c>
      <x:c r="AH70" t="n">
        <x:v>200</x:v>
      </x:c>
    </x:row>
    <x:row r="71">
      <x:c r="A71" s="17" t="str">
        <x:v>070</x:v>
      </x:c>
      <x:c r="B71" t="str">
        <x:v>ZH-NORMAL-010</x:v>
      </x:c>
      <x:c r="C71" s="17" t="str">
        <x:v>010</x:v>
      </x:c>
      <x:c r="D71" t="str">
        <x:v>Normal</x:v>
      </x:c>
      <x:c r="E71" t="n">
        <x:v>50</x:v>
      </x:c>
      <x:c r="F71" t="n">
        <x:v>69</x:v>
      </x:c>
      <x:c r="G71" t="n">
        <x:v>1</x:v>
      </x:c>
      <x:c r="H71" s="18" t="n">
        <x:v>50</x:v>
      </x:c>
      <x:c r="I71" s="18" t="n">
        <x:v>52</x:v>
      </x:c>
      <x:c r="J71" s="18" t="n">
        <x:v>45</x:v>
      </x:c>
      <x:c r="K71" s="18" t="n">
        <x:v>55</x:v>
      </x:c>
      <x:c r="L71" s="18" t="n">
        <x:v>50</x:v>
      </x:c>
      <x:c r="M71" s="18" t="n">
        <x:v>45</x:v>
      </x:c>
      <x:c r="N71" s="18" t="n">
        <x:v>50</x:v>
      </x:c>
      <x:c r="O71" s="18" t="n">
        <x:v>50</x:v>
      </x:c>
      <x:c r="P71" s="18" t="n">
        <x:v>59</x:v>
      </x:c>
      <x:c r="Q71" t="str">
        <x:v>Yes</x:v>
      </x:c>
      <x:c r="R71" s="18" t="n">
        <x:v>0</x:v>
      </x:c>
      <x:c r="S71" s="18" t="n">
        <x:v>0</x:v>
      </x:c>
      <x:c r="T71" s="18" t="n">
        <x:v>0</x:v>
      </x:c>
      <x:c r="U71" t="str">
        <x:v>Normal</x:v>
      </x:c>
      <x:c r="V71" t="str">
        <x:v>Yes</x:v>
      </x:c>
      <x:c r="W71" t="str">
        <x:v>WEAK</x:v>
      </x:c>
      <x:c r="X71" t="str">
        <x:v>REWRITE_REQUIRED</x:v>
      </x:c>
      <x:c r="Y71" t="n">
        <x:v>80</x:v>
      </x:c>
      <x:c r="Z71" t="str">
        <x:v>Success</x:v>
      </x:c>
      <x:c r="AA71"/>
      <x:c r="AB71"/>
      <x:c r="AC71" s="13"/>
      <x:c r="AD71" t="n">
        <x:v>0</x:v>
      </x:c>
      <x:c r="AE71" s="19" t="n">
        <x:v>66546</x:v>
      </x:c>
      <x:c r="AF71" t="str">
        <x:v>deepseek-v4-pro</x:v>
      </x:c>
      <x:c r="AG71" s="20" t="n">
        <x:v>46224.124248472224</x:v>
      </x:c>
      <x:c r="AH71" t="n">
        <x:v>200</x:v>
      </x:c>
    </x:row>
    <x:row r="72">
      <x:c r="A72" s="17" t="str">
        <x:v>071</x:v>
      </x:c>
      <x:c r="B72" t="str">
        <x:v>ZH-NORMAL-011</x:v>
      </x:c>
      <x:c r="C72" s="17" t="str">
        <x:v>011</x:v>
      </x:c>
      <x:c r="D72" t="str">
        <x:v>Normal</x:v>
      </x:c>
      <x:c r="E72" t="n">
        <x:v>50</x:v>
      </x:c>
      <x:c r="F72" t="n">
        <x:v>69</x:v>
      </x:c>
      <x:c r="G72" t="n">
        <x:v>1</x:v>
      </x:c>
      <x:c r="H72" s="18" t="n">
        <x:v>53</x:v>
      </x:c>
      <x:c r="I72" s="18" t="n">
        <x:v>55</x:v>
      </x:c>
      <x:c r="J72" s="18" t="n">
        <x:v>45</x:v>
      </x:c>
      <x:c r="K72" s="18" t="n">
        <x:v>65</x:v>
      </x:c>
      <x:c r="L72" s="18" t="n">
        <x:v>55</x:v>
      </x:c>
      <x:c r="M72" s="18" t="n">
        <x:v>59</x:v>
      </x:c>
      <x:c r="N72" s="18" t="n">
        <x:v>30</x:v>
      </x:c>
      <x:c r="O72" s="18" t="n">
        <x:v>53</x:v>
      </x:c>
      <x:c r="P72" s="18" t="n">
        <x:v>59</x:v>
      </x:c>
      <x:c r="Q72" t="str">
        <x:v>Yes</x:v>
      </x:c>
      <x:c r="R72" s="18" t="n">
        <x:v>0</x:v>
      </x:c>
      <x:c r="S72" s="18" t="n">
        <x:v>0</x:v>
      </x:c>
      <x:c r="T72" s="18" t="n">
        <x:v>0</x:v>
      </x:c>
      <x:c r="U72" t="str">
        <x:v>Normal</x:v>
      </x:c>
      <x:c r="V72" t="str">
        <x:v>Yes</x:v>
      </x:c>
      <x:c r="W72" t="str">
        <x:v>WEAK</x:v>
      </x:c>
      <x:c r="X72" t="str">
        <x:v>REWRITE_REQUIRED</x:v>
      </x:c>
      <x:c r="Y72" t="n">
        <x:v>80</x:v>
      </x:c>
      <x:c r="Z72" t="str">
        <x:v>Success</x:v>
      </x:c>
      <x:c r="AA72"/>
      <x:c r="AB72"/>
      <x:c r="AC72" s="13"/>
      <x:c r="AD72" t="n">
        <x:v>0</x:v>
      </x:c>
      <x:c r="AE72" s="19" t="n">
        <x:v>132395</x:v>
      </x:c>
      <x:c r="AF72" t="str">
        <x:v>deepseek-v4-pro</x:v>
      </x:c>
      <x:c r="AG72" s="20" t="n">
        <x:v>46224.12578084491</x:v>
      </x:c>
      <x:c r="AH72" t="n">
        <x:v>200</x:v>
      </x:c>
    </x:row>
    <x:row r="73">
      <x:c r="A73" s="17" t="str">
        <x:v>072</x:v>
      </x:c>
      <x:c r="B73" t="str">
        <x:v>ZH-NORMAL-012</x:v>
      </x:c>
      <x:c r="C73" s="17" t="str">
        <x:v>012</x:v>
      </x:c>
      <x:c r="D73" t="str">
        <x:v>Normal</x:v>
      </x:c>
      <x:c r="E73" t="n">
        <x:v>50</x:v>
      </x:c>
      <x:c r="F73" t="n">
        <x:v>69</x:v>
      </x:c>
      <x:c r="G73" t="n">
        <x:v>1</x:v>
      </x:c>
      <x:c r="H73" s="18" t="n">
        <x:v>45</x:v>
      </x:c>
      <x:c r="I73" s="18" t="n">
        <x:v>50</x:v>
      </x:c>
      <x:c r="J73" s="18" t="n">
        <x:v>40</x:v>
      </x:c>
      <x:c r="K73" s="18" t="n">
        <x:v>50</x:v>
      </x:c>
      <x:c r="L73" s="18" t="n">
        <x:v>50</x:v>
      </x:c>
      <x:c r="M73" s="18" t="n">
        <x:v>40</x:v>
      </x:c>
      <x:c r="N73" s="18" t="n">
        <x:v>30</x:v>
      </x:c>
      <x:c r="O73" s="18" t="n">
        <x:v>45</x:v>
      </x:c>
      <x:c r="P73" s="18" t="n">
        <x:v>59</x:v>
      </x:c>
      <x:c r="Q73" t="str">
        <x:v>No</x:v>
      </x:c>
      <x:c r="R73" s="18" t="n">
        <x:v>5</x:v>
      </x:c>
      <x:c r="S73" s="18" t="n">
        <x:v>5</x:v>
      </x:c>
      <x:c r="T73" s="18" t="n">
        <x:v>0</x:v>
      </x:c>
      <x:c r="U73" t="str">
        <x:v>Bad</x:v>
      </x:c>
      <x:c r="V73" t="str">
        <x:v>No</x:v>
      </x:c>
      <x:c r="W73" t="str">
        <x:v>WEAK</x:v>
      </x:c>
      <x:c r="X73" t="str">
        <x:v>REWRITE_REQUIRED</x:v>
      </x:c>
      <x:c r="Y73" t="n">
        <x:v>80</x:v>
      </x:c>
      <x:c r="Z73" t="str">
        <x:v>Success</x:v>
      </x:c>
      <x:c r="AA73"/>
      <x:c r="AB73"/>
      <x:c r="AC73" s="13"/>
      <x:c r="AD73" t="n">
        <x:v>0</x:v>
      </x:c>
      <x:c r="AE73" s="19" t="n">
        <x:v>90118</x:v>
      </x:c>
      <x:c r="AF73" t="str">
        <x:v>deepseek-v4-pro</x:v>
      </x:c>
      <x:c r="AG73" s="20" t="n">
        <x:v>46224.126823900464</x:v>
      </x:c>
      <x:c r="AH73" t="n">
        <x:v>200</x:v>
      </x:c>
    </x:row>
    <x:row r="74">
      <x:c r="A74" s="17" t="str">
        <x:v>073</x:v>
      </x:c>
      <x:c r="B74" t="str">
        <x:v>ZH-NORMAL-013</x:v>
      </x:c>
      <x:c r="C74" s="17" t="str">
        <x:v>013</x:v>
      </x:c>
      <x:c r="D74" t="str">
        <x:v>Normal</x:v>
      </x:c>
      <x:c r="E74" t="n">
        <x:v>50</x:v>
      </x:c>
      <x:c r="F74" t="n">
        <x:v>69</x:v>
      </x:c>
      <x:c r="G74" t="n">
        <x:v>1</x:v>
      </x:c>
      <x:c r="H74" s="18" t="n">
        <x:v>43</x:v>
      </x:c>
      <x:c r="I74" s="18" t="n">
        <x:v>48</x:v>
      </x:c>
      <x:c r="J74" s="18" t="n">
        <x:v>35</x:v>
      </x:c>
      <x:c r="K74" s="18" t="n">
        <x:v>50</x:v>
      </x:c>
      <x:c r="L74" s="18" t="n">
        <x:v>40</x:v>
      </x:c>
      <x:c r="M74" s="18" t="n">
        <x:v>45</x:v>
      </x:c>
      <x:c r="N74" s="18" t="n">
        <x:v>35</x:v>
      </x:c>
      <x:c r="O74" s="18" t="n">
        <x:v>43</x:v>
      </x:c>
      <x:c r="P74" s="18" t="n">
        <x:v>59</x:v>
      </x:c>
      <x:c r="Q74" t="str">
        <x:v>No</x:v>
      </x:c>
      <x:c r="R74" s="18" t="n">
        <x:v>7</x:v>
      </x:c>
      <x:c r="S74" s="18" t="n">
        <x:v>7</x:v>
      </x:c>
      <x:c r="T74" s="18" t="n">
        <x:v>0</x:v>
      </x:c>
      <x:c r="U74" t="str">
        <x:v>Bad</x:v>
      </x:c>
      <x:c r="V74" t="str">
        <x:v>No</x:v>
      </x:c>
      <x:c r="W74" t="str">
        <x:v>WEAK</x:v>
      </x:c>
      <x:c r="X74" t="str">
        <x:v>REWRITE_REQUIRED</x:v>
      </x:c>
      <x:c r="Y74" t="n">
        <x:v>80</x:v>
      </x:c>
      <x:c r="Z74" t="str">
        <x:v>Success</x:v>
      </x:c>
      <x:c r="AA74"/>
      <x:c r="AB74"/>
      <x:c r="AC74" s="13"/>
      <x:c r="AD74" t="n">
        <x:v>0</x:v>
      </x:c>
      <x:c r="AE74" s="19" t="n">
        <x:v>79294</x:v>
      </x:c>
      <x:c r="AF74" t="str">
        <x:v>deepseek-v4-pro</x:v>
      </x:c>
      <x:c r="AG74" s="20" t="n">
        <x:v>46224.127741689816</x:v>
      </x:c>
      <x:c r="AH74" t="n">
        <x:v>200</x:v>
      </x:c>
    </x:row>
    <x:row r="75">
      <x:c r="A75" s="17" t="str">
        <x:v>074</x:v>
      </x:c>
      <x:c r="B75" t="str">
        <x:v>ZH-NORMAL-014</x:v>
      </x:c>
      <x:c r="C75" s="17" t="str">
        <x:v>014</x:v>
      </x:c>
      <x:c r="D75" t="str">
        <x:v>Normal</x:v>
      </x:c>
      <x:c r="E75" t="n">
        <x:v>50</x:v>
      </x:c>
      <x:c r="F75" t="n">
        <x:v>69</x:v>
      </x:c>
      <x:c r="G75" t="n">
        <x:v>1</x:v>
      </x:c>
      <x:c r="H75" s="18" t="n">
        <x:v>48</x:v>
      </x:c>
      <x:c r="I75" s="18" t="n">
        <x:v>59</x:v>
      </x:c>
      <x:c r="J75" s="18" t="n">
        <x:v>40</x:v>
      </x:c>
      <x:c r="K75" s="18" t="n">
        <x:v>55</x:v>
      </x:c>
      <x:c r="L75" s="18" t="n">
        <x:v>45</x:v>
      </x:c>
      <x:c r="M75" s="18" t="n">
        <x:v>45</x:v>
      </x:c>
      <x:c r="N75" s="18" t="n">
        <x:v>30</x:v>
      </x:c>
      <x:c r="O75" s="18" t="n">
        <x:v>48</x:v>
      </x:c>
      <x:c r="P75" s="18" t="n">
        <x:v>59</x:v>
      </x:c>
      <x:c r="Q75" t="str">
        <x:v>No</x:v>
      </x:c>
      <x:c r="R75" s="18" t="n">
        <x:v>2</x:v>
      </x:c>
      <x:c r="S75" s="18" t="n">
        <x:v>2</x:v>
      </x:c>
      <x:c r="T75" s="18" t="n">
        <x:v>0</x:v>
      </x:c>
      <x:c r="U75" t="str">
        <x:v>Bad</x:v>
      </x:c>
      <x:c r="V75" t="str">
        <x:v>No</x:v>
      </x:c>
      <x:c r="W75" t="str">
        <x:v>WEAK</x:v>
      </x:c>
      <x:c r="X75" t="str">
        <x:v>REWRITE_REQUIRED</x:v>
      </x:c>
      <x:c r="Y75" t="n">
        <x:v>80</x:v>
      </x:c>
      <x:c r="Z75" t="str">
        <x:v>Success</x:v>
      </x:c>
      <x:c r="AA75"/>
      <x:c r="AB75"/>
      <x:c r="AC75" s="13"/>
      <x:c r="AD75" t="n">
        <x:v>0</x:v>
      </x:c>
      <x:c r="AE75" s="19" t="n">
        <x:v>110692</x:v>
      </x:c>
      <x:c r="AF75" t="str">
        <x:v>deepseek-v4-pro</x:v>
      </x:c>
      <x:c r="AG75" s="20" t="n">
        <x:v>46224.129022905094</x:v>
      </x:c>
      <x:c r="AH75" t="n">
        <x:v>200</x:v>
      </x:c>
    </x:row>
    <x:row r="76">
      <x:c r="A76" s="17" t="str">
        <x:v>075</x:v>
      </x:c>
      <x:c r="B76" t="str">
        <x:v>ZH-NORMAL-015</x:v>
      </x:c>
      <x:c r="C76" s="17" t="str">
        <x:v>015</x:v>
      </x:c>
      <x:c r="D76" t="str">
        <x:v>Normal</x:v>
      </x:c>
      <x:c r="E76" t="n">
        <x:v>50</x:v>
      </x:c>
      <x:c r="F76" t="n">
        <x:v>69</x:v>
      </x:c>
      <x:c r="G76" t="n">
        <x:v>1</x:v>
      </x:c>
      <x:c r="H76" s="18" t="n">
        <x:v>39</x:v>
      </x:c>
      <x:c r="I76" s="18" t="n">
        <x:v>45</x:v>
      </x:c>
      <x:c r="J76" s="18" t="n">
        <x:v>35</x:v>
      </x:c>
      <x:c r="K76" s="18" t="n">
        <x:v>40</x:v>
      </x:c>
      <x:c r="L76" s="18" t="n">
        <x:v>40</x:v>
      </x:c>
      <x:c r="M76" s="18" t="n">
        <x:v>40</x:v>
      </x:c>
      <x:c r="N76" s="18" t="n">
        <x:v>30</x:v>
      </x:c>
      <x:c r="O76" s="18" t="n">
        <x:v>39</x:v>
      </x:c>
      <x:c r="P76" s="18" t="n">
        <x:v>59</x:v>
      </x:c>
      <x:c r="Q76" t="str">
        <x:v>No</x:v>
      </x:c>
      <x:c r="R76" s="18" t="n">
        <x:v>11</x:v>
      </x:c>
      <x:c r="S76" s="18" t="n">
        <x:v>11</x:v>
      </x:c>
      <x:c r="T76" s="18" t="n">
        <x:v>0</x:v>
      </x:c>
      <x:c r="U76" t="str">
        <x:v>Bad</x:v>
      </x:c>
      <x:c r="V76" t="str">
        <x:v>No</x:v>
      </x:c>
      <x:c r="W76" t="str">
        <x:v>SEVERELY_DEFICIENT</x:v>
      </x:c>
      <x:c r="X76" t="str">
        <x:v>REWRITE_REQUIRED</x:v>
      </x:c>
      <x:c r="Y76" t="n">
        <x:v>80</x:v>
      </x:c>
      <x:c r="Z76" t="str">
        <x:v>Success</x:v>
      </x:c>
      <x:c r="AA76"/>
      <x:c r="AB76"/>
      <x:c r="AC76" s="13"/>
      <x:c r="AD76" t="n">
        <x:v>0</x:v>
      </x:c>
      <x:c r="AE76" s="19" t="n">
        <x:v>72364</x:v>
      </x:c>
      <x:c r="AF76" t="str">
        <x:v>deepseek-v4-pro</x:v>
      </x:c>
      <x:c r="AG76" s="20" t="n">
        <x:v>46224.12986048611</x:v>
      </x:c>
      <x:c r="AH76" t="n">
        <x:v>200</x:v>
      </x:c>
    </x:row>
    <x:row r="77">
      <x:c r="A77" s="17" t="str">
        <x:v>076</x:v>
      </x:c>
      <x:c r="B77" t="str">
        <x:v>ZH-NORMAL-016</x:v>
      </x:c>
      <x:c r="C77" s="17" t="str">
        <x:v>016</x:v>
      </x:c>
      <x:c r="D77" t="str">
        <x:v>Normal</x:v>
      </x:c>
      <x:c r="E77" t="n">
        <x:v>50</x:v>
      </x:c>
      <x:c r="F77" t="n">
        <x:v>69</x:v>
      </x:c>
      <x:c r="G77" t="n">
        <x:v>1</x:v>
      </x:c>
      <x:c r="H77" s="18" t="n">
        <x:v>46</x:v>
      </x:c>
      <x:c r="I77" s="18" t="n">
        <x:v>50</x:v>
      </x:c>
      <x:c r="J77" s="18" t="n">
        <x:v>38</x:v>
      </x:c>
      <x:c r="K77" s="18" t="n">
        <x:v>52</x:v>
      </x:c>
      <x:c r="L77" s="18" t="n">
        <x:v>50</x:v>
      </x:c>
      <x:c r="M77" s="18" t="n">
        <x:v>45</x:v>
      </x:c>
      <x:c r="N77" s="18" t="n">
        <x:v>42</x:v>
      </x:c>
      <x:c r="O77" s="18" t="n">
        <x:v>46</x:v>
      </x:c>
      <x:c r="P77" s="18" t="n">
        <x:v>59</x:v>
      </x:c>
      <x:c r="Q77" t="str">
        <x:v>No</x:v>
      </x:c>
      <x:c r="R77" s="18" t="n">
        <x:v>4</x:v>
      </x:c>
      <x:c r="S77" s="18" t="n">
        <x:v>4</x:v>
      </x:c>
      <x:c r="T77" s="18" t="n">
        <x:v>0</x:v>
      </x:c>
      <x:c r="U77" t="str">
        <x:v>Bad</x:v>
      </x:c>
      <x:c r="V77" t="str">
        <x:v>No</x:v>
      </x:c>
      <x:c r="W77" t="str">
        <x:v>WEAK</x:v>
      </x:c>
      <x:c r="X77" t="str">
        <x:v>REWRITE_REQUIRED</x:v>
      </x:c>
      <x:c r="Y77" t="n">
        <x:v>80</x:v>
      </x:c>
      <x:c r="Z77" t="str">
        <x:v>Success</x:v>
      </x:c>
      <x:c r="AA77"/>
      <x:c r="AB77"/>
      <x:c r="AC77" s="13"/>
      <x:c r="AD77" t="n">
        <x:v>0</x:v>
      </x:c>
      <x:c r="AE77" s="19" t="n">
        <x:v>124529</x:v>
      </x:c>
      <x:c r="AF77" t="str">
        <x:v>deepseek-v4-pro</x:v>
      </x:c>
      <x:c r="AG77" s="20" t="n">
        <x:v>46224.13130181713</x:v>
      </x:c>
      <x:c r="AH77" t="n">
        <x:v>200</x:v>
      </x:c>
    </x:row>
    <x:row r="78">
      <x:c r="A78" s="17" t="str">
        <x:v>077</x:v>
      </x:c>
      <x:c r="B78" t="str">
        <x:v>ZH-NORMAL-017</x:v>
      </x:c>
      <x:c r="C78" s="17" t="str">
        <x:v>017</x:v>
      </x:c>
      <x:c r="D78" t="str">
        <x:v>Normal</x:v>
      </x:c>
      <x:c r="E78" t="n">
        <x:v>50</x:v>
      </x:c>
      <x:c r="F78" t="n">
        <x:v>69</x:v>
      </x:c>
      <x:c r="G78" t="n">
        <x:v>1</x:v>
      </x:c>
      <x:c r="H78" s="18" t="n">
        <x:v>49</x:v>
      </x:c>
      <x:c r="I78" s="18" t="n">
        <x:v>55</x:v>
      </x:c>
      <x:c r="J78" s="18" t="n">
        <x:v>35</x:v>
      </x:c>
      <x:c r="K78" s="18" t="n">
        <x:v>50</x:v>
      </x:c>
      <x:c r="L78" s="18" t="n">
        <x:v>70</x:v>
      </x:c>
      <x:c r="M78" s="18" t="n">
        <x:v>50</x:v>
      </x:c>
      <x:c r="N78" s="18" t="n">
        <x:v>30</x:v>
      </x:c>
      <x:c r="O78" s="18" t="n">
        <x:v>49</x:v>
      </x:c>
      <x:c r="P78" s="18" t="n">
        <x:v>59</x:v>
      </x:c>
      <x:c r="Q78" t="str">
        <x:v>No</x:v>
      </x:c>
      <x:c r="R78" s="18" t="n">
        <x:v>1</x:v>
      </x:c>
      <x:c r="S78" s="18" t="n">
        <x:v>1</x:v>
      </x:c>
      <x:c r="T78" s="18" t="n">
        <x:v>0</x:v>
      </x:c>
      <x:c r="U78" t="str">
        <x:v>Bad</x:v>
      </x:c>
      <x:c r="V78" t="str">
        <x:v>No</x:v>
      </x:c>
      <x:c r="W78" t="str">
        <x:v>WEAK</x:v>
      </x:c>
      <x:c r="X78" t="str">
        <x:v>REWRITE_REQUIRED</x:v>
      </x:c>
      <x:c r="Y78" t="n">
        <x:v>80</x:v>
      </x:c>
      <x:c r="Z78" t="str">
        <x:v>Success</x:v>
      </x:c>
      <x:c r="AA78"/>
      <x:c r="AB78"/>
      <x:c r="AC78" s="13"/>
      <x:c r="AD78" t="n">
        <x:v>0</x:v>
      </x:c>
      <x:c r="AE78" s="19" t="n">
        <x:v>87467</x:v>
      </x:c>
      <x:c r="AF78" t="str">
        <x:v>deepseek-v4-pro</x:v>
      </x:c>
      <x:c r="AG78" s="20" t="n">
        <x:v>46224.13231421296</x:v>
      </x:c>
      <x:c r="AH78" t="n">
        <x:v>200</x:v>
      </x:c>
    </x:row>
    <x:row r="79">
      <x:c r="A79" s="17" t="str">
        <x:v>078</x:v>
      </x:c>
      <x:c r="B79" t="str">
        <x:v>ZH-NORMAL-018</x:v>
      </x:c>
      <x:c r="C79" s="17" t="str">
        <x:v>018</x:v>
      </x:c>
      <x:c r="D79" t="str">
        <x:v>Normal</x:v>
      </x:c>
      <x:c r="E79" t="n">
        <x:v>50</x:v>
      </x:c>
      <x:c r="F79" t="n">
        <x:v>69</x:v>
      </x:c>
      <x:c r="G79" t="n">
        <x:v>1</x:v>
      </x:c>
      <x:c r="H79" s="18" t="n">
        <x:v>39</x:v>
      </x:c>
      <x:c r="I79" s="18" t="n">
        <x:v>55</x:v>
      </x:c>
      <x:c r="J79" s="18" t="n">
        <x:v>38</x:v>
      </x:c>
      <x:c r="K79" s="18" t="n">
        <x:v>50</x:v>
      </x:c>
      <x:c r="L79" s="18" t="n">
        <x:v>40</x:v>
      </x:c>
      <x:c r="M79" s="18" t="n">
        <x:v>45</x:v>
      </x:c>
      <x:c r="N79" s="18" t="n">
        <x:v>20</x:v>
      </x:c>
      <x:c r="O79" s="18" t="n">
        <x:v>44</x:v>
      </x:c>
      <x:c r="P79" s="18" t="n">
        <x:v>39</x:v>
      </x:c>
      <x:c r="Q79" t="str">
        <x:v>No</x:v>
      </x:c>
      <x:c r="R79" s="18" t="n">
        <x:v>11</x:v>
      </x:c>
      <x:c r="S79" s="18" t="n">
        <x:v>11</x:v>
      </x:c>
      <x:c r="T79" s="18" t="n">
        <x:v>0</x:v>
      </x:c>
      <x:c r="U79" t="str">
        <x:v>Bad</x:v>
      </x:c>
      <x:c r="V79" t="str">
        <x:v>No</x:v>
      </x:c>
      <x:c r="W79" t="str">
        <x:v>SEVERELY_DEFICIENT</x:v>
      </x:c>
      <x:c r="X79" t="str">
        <x:v>REWRITE_REQUIRED</x:v>
      </x:c>
      <x:c r="Y79" t="n">
        <x:v>80</x:v>
      </x:c>
      <x:c r="Z79" t="str">
        <x:v>Success</x:v>
      </x:c>
      <x:c r="AA79"/>
      <x:c r="AB79"/>
      <x:c r="AC79" s="13"/>
      <x:c r="AD79" t="n">
        <x:v>0</x:v>
      </x:c>
      <x:c r="AE79" s="19" t="n">
        <x:v>116734</x:v>
      </x:c>
      <x:c r="AF79" t="str">
        <x:v>deepseek-v4-pro</x:v>
      </x:c>
      <x:c r="AG79" s="20" t="n">
        <x:v>46224.13366535879</x:v>
      </x:c>
      <x:c r="AH79" t="n">
        <x:v>200</x:v>
      </x:c>
    </x:row>
    <x:row r="80">
      <x:c r="A80" s="17" t="str">
        <x:v>079</x:v>
      </x:c>
      <x:c r="B80" t="str">
        <x:v>ZH-NORMAL-019</x:v>
      </x:c>
      <x:c r="C80" s="17" t="str">
        <x:v>019</x:v>
      </x:c>
      <x:c r="D80" t="str">
        <x:v>Normal</x:v>
      </x:c>
      <x:c r="E80" t="n">
        <x:v>50</x:v>
      </x:c>
      <x:c r="F80" t="n">
        <x:v>69</x:v>
      </x:c>
      <x:c r="G80" t="n">
        <x:v>1</x:v>
      </x:c>
      <x:c r="H80" s="18" t="n">
        <x:v>51</x:v>
      </x:c>
      <x:c r="I80" s="18" t="n">
        <x:v>50</x:v>
      </x:c>
      <x:c r="J80" s="18" t="n">
        <x:v>60</x:v>
      </x:c>
      <x:c r="K80" s="18" t="n">
        <x:v>60</x:v>
      </x:c>
      <x:c r="L80" s="18" t="n">
        <x:v>50</x:v>
      </x:c>
      <x:c r="M80" s="18" t="n">
        <x:v>45</x:v>
      </x:c>
      <x:c r="N80" s="18" t="n">
        <x:v>30</x:v>
      </x:c>
      <x:c r="O80" s="18" t="n">
        <x:v>51</x:v>
      </x:c>
      <x:c r="P80" s="18" t="n">
        <x:v>59</x:v>
      </x:c>
      <x:c r="Q80" t="str">
        <x:v>Yes</x:v>
      </x:c>
      <x:c r="R80" s="18" t="n">
        <x:v>0</x:v>
      </x:c>
      <x:c r="S80" s="18" t="n">
        <x:v>0</x:v>
      </x:c>
      <x:c r="T80" s="18" t="n">
        <x:v>0</x:v>
      </x:c>
      <x:c r="U80" t="str">
        <x:v>Normal</x:v>
      </x:c>
      <x:c r="V80" t="str">
        <x:v>Yes</x:v>
      </x:c>
      <x:c r="W80" t="str">
        <x:v>WEAK</x:v>
      </x:c>
      <x:c r="X80" t="str">
        <x:v>REWRITE_REQUIRED</x:v>
      </x:c>
      <x:c r="Y80" t="n">
        <x:v>80</x:v>
      </x:c>
      <x:c r="Z80" t="str">
        <x:v>Success</x:v>
      </x:c>
      <x:c r="AA80"/>
      <x:c r="AB80"/>
      <x:c r="AC80" s="13"/>
      <x:c r="AD80" t="n">
        <x:v>0</x:v>
      </x:c>
      <x:c r="AE80" s="19" t="n">
        <x:v>92950</x:v>
      </x:c>
      <x:c r="AF80" t="str">
        <x:v>deepseek-v4-pro</x:v>
      </x:c>
      <x:c r="AG80" s="20" t="n">
        <x:v>46224.134741180555</x:v>
      </x:c>
      <x:c r="AH80" t="n">
        <x:v>200</x:v>
      </x:c>
    </x:row>
    <x:row r="81">
      <x:c r="A81" s="17" t="str">
        <x:v>080</x:v>
      </x:c>
      <x:c r="B81" t="str">
        <x:v>ZH-NORMAL-020</x:v>
      </x:c>
      <x:c r="C81" s="17" t="str">
        <x:v>020</x:v>
      </x:c>
      <x:c r="D81" t="str">
        <x:v>Normal</x:v>
      </x:c>
      <x:c r="E81" t="n">
        <x:v>50</x:v>
      </x:c>
      <x:c r="F81" t="n">
        <x:v>69</x:v>
      </x:c>
      <x:c r="G81" t="n">
        <x:v>1</x:v>
      </x:c>
      <x:c r="H81" s="18" t="n">
        <x:v>58</x:v>
      </x:c>
      <x:c r="I81" s="18" t="n">
        <x:v>55</x:v>
      </x:c>
      <x:c r="J81" s="18" t="n">
        <x:v>60</x:v>
      </x:c>
      <x:c r="K81" s="18" t="n">
        <x:v>70</x:v>
      </x:c>
      <x:c r="L81" s="18" t="n">
        <x:v>65</x:v>
      </x:c>
      <x:c r="M81" s="18" t="n">
        <x:v>55</x:v>
      </x:c>
      <x:c r="N81" s="18" t="n">
        <x:v>40</x:v>
      </x:c>
      <x:c r="O81" s="18" t="n">
        <x:v>58</x:v>
      </x:c>
      <x:c r="P81" s="18" t="n">
        <x:v>59</x:v>
      </x:c>
      <x:c r="Q81" t="str">
        <x:v>Yes</x:v>
      </x:c>
      <x:c r="R81" s="18" t="n">
        <x:v>0</x:v>
      </x:c>
      <x:c r="S81" s="18" t="n">
        <x:v>0</x:v>
      </x:c>
      <x:c r="T81" s="18" t="n">
        <x:v>0</x:v>
      </x:c>
      <x:c r="U81" t="str">
        <x:v>Normal</x:v>
      </x:c>
      <x:c r="V81" t="str">
        <x:v>Yes</x:v>
      </x:c>
      <x:c r="W81" t="str">
        <x:v>WEAK</x:v>
      </x:c>
      <x:c r="X81" t="str">
        <x:v>REWRITE_REQUIRED</x:v>
      </x:c>
      <x:c r="Y81" t="n">
        <x:v>80</x:v>
      </x:c>
      <x:c r="Z81" t="str">
        <x:v>Success</x:v>
      </x:c>
      <x:c r="AA81"/>
      <x:c r="AB81"/>
      <x:c r="AC81" s="13"/>
      <x:c r="AD81" t="n">
        <x:v>0</x:v>
      </x:c>
      <x:c r="AE81" s="19" t="n">
        <x:v>110197</x:v>
      </x:c>
      <x:c r="AF81" t="str">
        <x:v>deepseek-v4-pro</x:v>
      </x:c>
      <x:c r="AG81" s="20" t="n">
        <x:v>46224.13601664352</x:v>
      </x:c>
      <x:c r="AH81" t="n">
        <x:v>200</x:v>
      </x:c>
    </x:row>
    <x:row r="82">
      <x:c r="A82" s="17" t="str">
        <x:v>081</x:v>
      </x:c>
      <x:c r="B82" t="str">
        <x:v>ZH-NORMAL-021</x:v>
      </x:c>
      <x:c r="C82" s="17" t="str">
        <x:v>021</x:v>
      </x:c>
      <x:c r="D82" t="str">
        <x:v>Normal</x:v>
      </x:c>
      <x:c r="E82" t="n">
        <x:v>50</x:v>
      </x:c>
      <x:c r="F82" t="n">
        <x:v>69</x:v>
      </x:c>
      <x:c r="G82" t="n">
        <x:v>1</x:v>
      </x:c>
      <x:c r="H82" s="18" t="n">
        <x:v>49</x:v>
      </x:c>
      <x:c r="I82" s="18" t="n">
        <x:v>48</x:v>
      </x:c>
      <x:c r="J82" s="18" t="n">
        <x:v>40</x:v>
      </x:c>
      <x:c r="K82" s="18" t="n">
        <x:v>55</x:v>
      </x:c>
      <x:c r="L82" s="18" t="n">
        <x:v>55</x:v>
      </x:c>
      <x:c r="M82" s="18" t="n">
        <x:v>50</x:v>
      </x:c>
      <x:c r="N82" s="18" t="n">
        <x:v>50</x:v>
      </x:c>
      <x:c r="O82" s="18" t="n">
        <x:v>49</x:v>
      </x:c>
      <x:c r="P82" s="18" t="n">
        <x:v>59</x:v>
      </x:c>
      <x:c r="Q82" t="str">
        <x:v>No</x:v>
      </x:c>
      <x:c r="R82" s="18" t="n">
        <x:v>1</x:v>
      </x:c>
      <x:c r="S82" s="18" t="n">
        <x:v>1</x:v>
      </x:c>
      <x:c r="T82" s="18" t="n">
        <x:v>0</x:v>
      </x:c>
      <x:c r="U82" t="str">
        <x:v>Bad</x:v>
      </x:c>
      <x:c r="V82" t="str">
        <x:v>No</x:v>
      </x:c>
      <x:c r="W82" t="str">
        <x:v>WEAK</x:v>
      </x:c>
      <x:c r="X82" t="str">
        <x:v>REWRITE_REQUIRED</x:v>
      </x:c>
      <x:c r="Y82" t="n">
        <x:v>80</x:v>
      </x:c>
      <x:c r="Z82" t="str">
        <x:v>Success</x:v>
      </x:c>
      <x:c r="AA82"/>
      <x:c r="AB82"/>
      <x:c r="AC82" s="13"/>
      <x:c r="AD82" t="n">
        <x:v>0</x:v>
      </x:c>
      <x:c r="AE82" s="19" t="n">
        <x:v>83006</x:v>
      </x:c>
      <x:c r="AF82" t="str">
        <x:v>deepseek-v4-pro</x:v>
      </x:c>
      <x:c r="AG82" s="20" t="n">
        <x:v>46224.13697743056</x:v>
      </x:c>
      <x:c r="AH82" t="n">
        <x:v>200</x:v>
      </x:c>
    </x:row>
    <x:row r="83">
      <x:c r="A83" s="17" t="str">
        <x:v>082</x:v>
      </x:c>
      <x:c r="B83" t="str">
        <x:v>ZH-NORMAL-022</x:v>
      </x:c>
      <x:c r="C83" s="17" t="str">
        <x:v>022</x:v>
      </x:c>
      <x:c r="D83" t="str">
        <x:v>Normal</x:v>
      </x:c>
      <x:c r="E83" t="n">
        <x:v>50</x:v>
      </x:c>
      <x:c r="F83" t="n">
        <x:v>69</x:v>
      </x:c>
      <x:c r="G83" t="n">
        <x:v>1</x:v>
      </x:c>
      <x:c r="H83" s="18" t="n">
        <x:v>57</x:v>
      </x:c>
      <x:c r="I83" s="18" t="n">
        <x:v>55</x:v>
      </x:c>
      <x:c r="J83" s="18" t="n">
        <x:v>72</x:v>
      </x:c>
      <x:c r="K83" s="18" t="n">
        <x:v>60</x:v>
      </x:c>
      <x:c r="L83" s="18" t="n">
        <x:v>45</x:v>
      </x:c>
      <x:c r="M83" s="18" t="n">
        <x:v>50</x:v>
      </x:c>
      <x:c r="N83" s="18" t="n">
        <x:v>55</x:v>
      </x:c>
      <x:c r="O83" s="18" t="n">
        <x:v>57</x:v>
      </x:c>
      <x:c r="P83" s="18" t="n">
        <x:v>59</x:v>
      </x:c>
      <x:c r="Q83" t="str">
        <x:v>Yes</x:v>
      </x:c>
      <x:c r="R83" s="18" t="n">
        <x:v>0</x:v>
      </x:c>
      <x:c r="S83" s="18" t="n">
        <x:v>0</x:v>
      </x:c>
      <x:c r="T83" s="18" t="n">
        <x:v>0</x:v>
      </x:c>
      <x:c r="U83" t="str">
        <x:v>Normal</x:v>
      </x:c>
      <x:c r="V83" t="str">
        <x:v>Yes</x:v>
      </x:c>
      <x:c r="W83" t="str">
        <x:v>WEAK</x:v>
      </x:c>
      <x:c r="X83" t="str">
        <x:v>REWRITE_REQUIRED</x:v>
      </x:c>
      <x:c r="Y83" t="n">
        <x:v>80</x:v>
      </x:c>
      <x:c r="Z83" t="str">
        <x:v>Success</x:v>
      </x:c>
      <x:c r="AA83"/>
      <x:c r="AB83"/>
      <x:c r="AC83" s="13"/>
      <x:c r="AD83" t="n">
        <x:v>0</x:v>
      </x:c>
      <x:c r="AE83" s="19" t="n">
        <x:v>128991</x:v>
      </x:c>
      <x:c r="AF83" t="str">
        <x:v>deepseek-v4-pro</x:v>
      </x:c>
      <x:c r="AG83" s="20" t="n">
        <x:v>46224.13847039352</x:v>
      </x:c>
      <x:c r="AH83" t="n">
        <x:v>200</x:v>
      </x:c>
    </x:row>
    <x:row r="84">
      <x:c r="A84" s="17" t="str">
        <x:v>083</x:v>
      </x:c>
      <x:c r="B84" t="str">
        <x:v>ZH-NORMAL-023</x:v>
      </x:c>
      <x:c r="C84" s="17" t="str">
        <x:v>023</x:v>
      </x:c>
      <x:c r="D84" t="str">
        <x:v>Normal</x:v>
      </x:c>
      <x:c r="E84" t="n">
        <x:v>50</x:v>
      </x:c>
      <x:c r="F84" t="n">
        <x:v>69</x:v>
      </x:c>
      <x:c r="G84" t="n">
        <x:v>1</x:v>
      </x:c>
      <x:c r="H84" s="18" t="n">
        <x:v>39</x:v>
      </x:c>
      <x:c r="I84" s="18" t="n">
        <x:v>39</x:v>
      </x:c>
      <x:c r="J84" s="18" t="n">
        <x:v>55</x:v>
      </x:c>
      <x:c r="K84" s="18" t="n">
        <x:v>50</x:v>
      </x:c>
      <x:c r="L84" s="18" t="n">
        <x:v>48</x:v>
      </x:c>
      <x:c r="M84" s="18" t="n">
        <x:v>35</x:v>
      </x:c>
      <x:c r="N84" s="18" t="n">
        <x:v>15</x:v>
      </x:c>
      <x:c r="O84" s="18" t="n">
        <x:v>42</x:v>
      </x:c>
      <x:c r="P84" s="18" t="n">
        <x:v>39</x:v>
      </x:c>
      <x:c r="Q84" t="str">
        <x:v>No</x:v>
      </x:c>
      <x:c r="R84" s="18" t="n">
        <x:v>11</x:v>
      </x:c>
      <x:c r="S84" s="18" t="n">
        <x:v>11</x:v>
      </x:c>
      <x:c r="T84" s="18" t="n">
        <x:v>0</x:v>
      </x:c>
      <x:c r="U84" t="str">
        <x:v>Bad</x:v>
      </x:c>
      <x:c r="V84" t="str">
        <x:v>No</x:v>
      </x:c>
      <x:c r="W84" t="str">
        <x:v>SEVERELY_DEFICIENT</x:v>
      </x:c>
      <x:c r="X84" t="str">
        <x:v>REWRITE_REQUIRED</x:v>
      </x:c>
      <x:c r="Y84" t="n">
        <x:v>80</x:v>
      </x:c>
      <x:c r="Z84" t="str">
        <x:v>Success</x:v>
      </x:c>
      <x:c r="AA84"/>
      <x:c r="AB84"/>
      <x:c r="AC84" s="13"/>
      <x:c r="AD84" t="n">
        <x:v>0</x:v>
      </x:c>
      <x:c r="AE84" s="19" t="n">
        <x:v>105815</x:v>
      </x:c>
      <x:c r="AF84" t="str">
        <x:v>deepseek-v4-pro</x:v>
      </x:c>
      <x:c r="AG84" s="20" t="n">
        <x:v>46224.13969517361</x:v>
      </x:c>
      <x:c r="AH84" t="n">
        <x:v>200</x:v>
      </x:c>
    </x:row>
    <x:row r="85">
      <x:c r="A85" s="17" t="str">
        <x:v>084</x:v>
      </x:c>
      <x:c r="B85" t="str">
        <x:v>ZH-NORMAL-024</x:v>
      </x:c>
      <x:c r="C85" s="17" t="str">
        <x:v>024</x:v>
      </x:c>
      <x:c r="D85" t="str">
        <x:v>Normal</x:v>
      </x:c>
      <x:c r="E85" t="n">
        <x:v>50</x:v>
      </x:c>
      <x:c r="F85" t="n">
        <x:v>69</x:v>
      </x:c>
      <x:c r="G85" t="n">
        <x:v>1</x:v>
      </x:c>
      <x:c r="H85" s="18" t="n">
        <x:v>53</x:v>
      </x:c>
      <x:c r="I85" s="18" t="n">
        <x:v>45</x:v>
      </x:c>
      <x:c r="J85" s="18" t="n">
        <x:v>65</x:v>
      </x:c>
      <x:c r="K85" s="18" t="n">
        <x:v>68</x:v>
      </x:c>
      <x:c r="L85" s="18" t="n">
        <x:v>55</x:v>
      </x:c>
      <x:c r="M85" s="18" t="n">
        <x:v>50</x:v>
      </x:c>
      <x:c r="N85" s="18" t="n">
        <x:v>30</x:v>
      </x:c>
      <x:c r="O85" s="18" t="n">
        <x:v>53</x:v>
      </x:c>
      <x:c r="P85" s="18" t="n">
        <x:v>59</x:v>
      </x:c>
      <x:c r="Q85" t="str">
        <x:v>Yes</x:v>
      </x:c>
      <x:c r="R85" s="18" t="n">
        <x:v>0</x:v>
      </x:c>
      <x:c r="S85" s="18" t="n">
        <x:v>0</x:v>
      </x:c>
      <x:c r="T85" s="18" t="n">
        <x:v>0</x:v>
      </x:c>
      <x:c r="U85" t="str">
        <x:v>Normal</x:v>
      </x:c>
      <x:c r="V85" t="str">
        <x:v>Yes</x:v>
      </x:c>
      <x:c r="W85" t="str">
        <x:v>WEAK</x:v>
      </x:c>
      <x:c r="X85" t="str">
        <x:v>REWRITE_REQUIRED</x:v>
      </x:c>
      <x:c r="Y85" t="n">
        <x:v>80</x:v>
      </x:c>
      <x:c r="Z85" t="str">
        <x:v>Success</x:v>
      </x:c>
      <x:c r="AA85"/>
      <x:c r="AB85"/>
      <x:c r="AC85" s="13"/>
      <x:c r="AD85" t="n">
        <x:v>0</x:v>
      </x:c>
      <x:c r="AE85" s="19" t="n">
        <x:v>96064</x:v>
      </x:c>
      <x:c r="AF85" t="str">
        <x:v>deepseek-v4-pro</x:v>
      </x:c>
      <x:c r="AG85" s="20" t="n">
        <x:v>46224.14080712963</x:v>
      </x:c>
      <x:c r="AH85" t="n">
        <x:v>200</x:v>
      </x:c>
    </x:row>
    <x:row r="86">
      <x:c r="A86" s="17" t="str">
        <x:v>085</x:v>
      </x:c>
      <x:c r="B86" t="str">
        <x:v>ZH-NORMAL-025</x:v>
      </x:c>
      <x:c r="C86" s="17" t="str">
        <x:v>025</x:v>
      </x:c>
      <x:c r="D86" t="str">
        <x:v>Normal</x:v>
      </x:c>
      <x:c r="E86" t="n">
        <x:v>50</x:v>
      </x:c>
      <x:c r="F86" t="n">
        <x:v>69</x:v>
      </x:c>
      <x:c r="G86" t="n">
        <x:v>1</x:v>
      </x:c>
      <x:c r="H86" s="18" t="n">
        <x:v>39</x:v>
      </x:c>
      <x:c r="I86" s="18" t="n">
        <x:v>55</x:v>
      </x:c>
      <x:c r="J86" s="18" t="n">
        <x:v>59</x:v>
      </x:c>
      <x:c r="K86" s="18" t="n">
        <x:v>65</x:v>
      </x:c>
      <x:c r="L86" s="18" t="n">
        <x:v>60</x:v>
      </x:c>
      <x:c r="M86" s="18" t="n">
        <x:v>55</x:v>
      </x:c>
      <x:c r="N86" s="18" t="n">
        <x:v>35</x:v>
      </x:c>
      <x:c r="O86" s="18" t="n">
        <x:v>56</x:v>
      </x:c>
      <x:c r="P86" s="18" t="n">
        <x:v>39</x:v>
      </x:c>
      <x:c r="Q86" t="str">
        <x:v>No</x:v>
      </x:c>
      <x:c r="R86" s="18" t="n">
        <x:v>11</x:v>
      </x:c>
      <x:c r="S86" s="18" t="n">
        <x:v>11</x:v>
      </x:c>
      <x:c r="T86" s="18" t="n">
        <x:v>0</x:v>
      </x:c>
      <x:c r="U86" t="str">
        <x:v>Bad</x:v>
      </x:c>
      <x:c r="V86" t="str">
        <x:v>No</x:v>
      </x:c>
      <x:c r="W86" t="str">
        <x:v>SEVERELY_DEFICIENT</x:v>
      </x:c>
      <x:c r="X86" t="str">
        <x:v>REWRITE_REQUIRED</x:v>
      </x:c>
      <x:c r="Y86" t="n">
        <x:v>80</x:v>
      </x:c>
      <x:c r="Z86" t="str">
        <x:v>Success</x:v>
      </x:c>
      <x:c r="AA86"/>
      <x:c r="AB86"/>
      <x:c r="AC86" s="13"/>
      <x:c r="AD86" t="n">
        <x:v>0</x:v>
      </x:c>
      <x:c r="AE86" s="19" t="n">
        <x:v>69951</x:v>
      </x:c>
      <x:c r="AF86" t="str">
        <x:v>deepseek-v4-pro</x:v>
      </x:c>
      <x:c r="AG86" s="20" t="n">
        <x:v>46224.14161675926</x:v>
      </x:c>
      <x:c r="AH86" t="n">
        <x:v>200</x:v>
      </x:c>
    </x:row>
    <x:row r="87">
      <x:c r="A87" s="17" t="str">
        <x:v>086</x:v>
      </x:c>
      <x:c r="B87" t="str">
        <x:v>ZH-NORMAL-026</x:v>
      </x:c>
      <x:c r="C87" s="17" t="str">
        <x:v>026</x:v>
      </x:c>
      <x:c r="D87" t="str">
        <x:v>Normal</x:v>
      </x:c>
      <x:c r="E87" t="n">
        <x:v>50</x:v>
      </x:c>
      <x:c r="F87" t="n">
        <x:v>69</x:v>
      </x:c>
      <x:c r="G87" t="n">
        <x:v>1</x:v>
      </x:c>
      <x:c r="H87" s="18" t="n">
        <x:v>59</x:v>
      </x:c>
      <x:c r="I87" s="18" t="n">
        <x:v>55</x:v>
      </x:c>
      <x:c r="J87" s="18" t="n">
        <x:v>72</x:v>
      </x:c>
      <x:c r="K87" s="18" t="n">
        <x:v>72</x:v>
      </x:c>
      <x:c r="L87" s="18" t="n">
        <x:v>70</x:v>
      </x:c>
      <x:c r="M87" s="18" t="n">
        <x:v>55</x:v>
      </x:c>
      <x:c r="N87" s="18" t="n">
        <x:v>45</x:v>
      </x:c>
      <x:c r="O87" s="18" t="n">
        <x:v>62</x:v>
      </x:c>
      <x:c r="P87" s="18" t="n">
        <x:v>59</x:v>
      </x:c>
      <x:c r="Q87" t="str">
        <x:v>Yes</x:v>
      </x:c>
      <x:c r="R87" s="18" t="n">
        <x:v>0</x:v>
      </x:c>
      <x:c r="S87" s="18" t="n">
        <x:v>0</x:v>
      </x:c>
      <x:c r="T87" s="18" t="n">
        <x:v>0</x:v>
      </x:c>
      <x:c r="U87" t="str">
        <x:v>Normal</x:v>
      </x:c>
      <x:c r="V87" t="str">
        <x:v>Yes</x:v>
      </x:c>
      <x:c r="W87" t="str">
        <x:v>WEAK</x:v>
      </x:c>
      <x:c r="X87" t="str">
        <x:v>REWRITE_REQUIRED</x:v>
      </x:c>
      <x:c r="Y87" t="n">
        <x:v>80</x:v>
      </x:c>
      <x:c r="Z87" t="str">
        <x:v>Success</x:v>
      </x:c>
      <x:c r="AA87"/>
      <x:c r="AB87"/>
      <x:c r="AC87" s="13"/>
      <x:c r="AD87" t="n">
        <x:v>0</x:v>
      </x:c>
      <x:c r="AE87" s="19" t="n">
        <x:v>115376</x:v>
      </x:c>
      <x:c r="AF87" t="str">
        <x:v>deepseek-v4-pro</x:v>
      </x:c>
      <x:c r="AG87" s="20" t="n">
        <x:v>46224.14295214121</x:v>
      </x:c>
      <x:c r="AH87" t="n">
        <x:v>200</x:v>
      </x:c>
    </x:row>
    <x:row r="88">
      <x:c r="A88" s="17" t="str">
        <x:v>087</x:v>
      </x:c>
      <x:c r="B88" t="str">
        <x:v>ZH-NORMAL-027</x:v>
      </x:c>
      <x:c r="C88" s="17" t="str">
        <x:v>027</x:v>
      </x:c>
      <x:c r="D88" t="str">
        <x:v>Normal</x:v>
      </x:c>
      <x:c r="E88" t="n">
        <x:v>50</x:v>
      </x:c>
      <x:c r="F88" t="n">
        <x:v>69</x:v>
      </x:c>
      <x:c r="G88" t="n">
        <x:v>1</x:v>
      </x:c>
      <x:c r="H88" s="18" t="n">
        <x:v>39</x:v>
      </x:c>
      <x:c r="I88" s="18" t="n">
        <x:v>45</x:v>
      </x:c>
      <x:c r="J88" s="18" t="n">
        <x:v>65</x:v>
      </x:c>
      <x:c r="K88" s="18" t="n">
        <x:v>60</x:v>
      </x:c>
      <x:c r="L88" s="18" t="n">
        <x:v>55</x:v>
      </x:c>
      <x:c r="M88" s="18" t="n">
        <x:v>50</x:v>
      </x:c>
      <x:c r="N88" s="18" t="n">
        <x:v>20</x:v>
      </x:c>
      <x:c r="O88" s="18" t="n">
        <x:v>51</x:v>
      </x:c>
      <x:c r="P88" s="18" t="n">
        <x:v>39</x:v>
      </x:c>
      <x:c r="Q88" t="str">
        <x:v>No</x:v>
      </x:c>
      <x:c r="R88" s="18" t="n">
        <x:v>11</x:v>
      </x:c>
      <x:c r="S88" s="18" t="n">
        <x:v>11</x:v>
      </x:c>
      <x:c r="T88" s="18" t="n">
        <x:v>0</x:v>
      </x:c>
      <x:c r="U88" t="str">
        <x:v>Bad</x:v>
      </x:c>
      <x:c r="V88" t="str">
        <x:v>No</x:v>
      </x:c>
      <x:c r="W88" t="str">
        <x:v>SEVERELY_DEFICIENT</x:v>
      </x:c>
      <x:c r="X88" t="str">
        <x:v>REWRITE_REQUIRED</x:v>
      </x:c>
      <x:c r="Y88" t="n">
        <x:v>80</x:v>
      </x:c>
      <x:c r="Z88" t="str">
        <x:v>Success</x:v>
      </x:c>
      <x:c r="AA88"/>
      <x:c r="AB88"/>
      <x:c r="AC88" s="13"/>
      <x:c r="AD88" t="n">
        <x:v>0</x:v>
      </x:c>
      <x:c r="AE88" s="19" t="n">
        <x:v>97398</x:v>
      </x:c>
      <x:c r="AF88" t="str">
        <x:v>deepseek-v4-pro</x:v>
      </x:c>
      <x:c r="AG88" s="20" t="n">
        <x:v>46224.14407951389</x:v>
      </x:c>
      <x:c r="AH88" t="n">
        <x:v>200</x:v>
      </x:c>
    </x:row>
    <x:row r="89">
      <x:c r="A89" s="17" t="str">
        <x:v>088</x:v>
      </x:c>
      <x:c r="B89" t="str">
        <x:v>ZH-NORMAL-028</x:v>
      </x:c>
      <x:c r="C89" s="17" t="str">
        <x:v>028</x:v>
      </x:c>
      <x:c r="D89" t="str">
        <x:v>Normal</x:v>
      </x:c>
      <x:c r="E89" t="n">
        <x:v>50</x:v>
      </x:c>
      <x:c r="F89" t="n">
        <x:v>69</x:v>
      </x:c>
      <x:c r="G89" t="n">
        <x:v>1</x:v>
      </x:c>
      <x:c r="H89" s="18" t="n">
        <x:v>51</x:v>
      </x:c>
      <x:c r="I89" s="18" t="n">
        <x:v>52</x:v>
      </x:c>
      <x:c r="J89" s="18" t="n">
        <x:v>45</x:v>
      </x:c>
      <x:c r="K89" s="18" t="n">
        <x:v>55</x:v>
      </x:c>
      <x:c r="L89" s="18" t="n">
        <x:v>50</x:v>
      </x:c>
      <x:c r="M89" s="18" t="n">
        <x:v>52</x:v>
      </x:c>
      <x:c r="N89" s="18" t="n">
        <x:v>55</x:v>
      </x:c>
      <x:c r="O89" s="18" t="n">
        <x:v>51</x:v>
      </x:c>
      <x:c r="P89" s="18" t="n">
        <x:v>59</x:v>
      </x:c>
      <x:c r="Q89" t="str">
        <x:v>Yes</x:v>
      </x:c>
      <x:c r="R89" s="18" t="n">
        <x:v>0</x:v>
      </x:c>
      <x:c r="S89" s="18" t="n">
        <x:v>0</x:v>
      </x:c>
      <x:c r="T89" s="18" t="n">
        <x:v>0</x:v>
      </x:c>
      <x:c r="U89" t="str">
        <x:v>Normal</x:v>
      </x:c>
      <x:c r="V89" t="str">
        <x:v>Yes</x:v>
      </x:c>
      <x:c r="W89" t="str">
        <x:v>WEAK</x:v>
      </x:c>
      <x:c r="X89" t="str">
        <x:v>REWRITE_REQUIRED</x:v>
      </x:c>
      <x:c r="Y89" t="n">
        <x:v>80</x:v>
      </x:c>
      <x:c r="Z89" t="str">
        <x:v>Success</x:v>
      </x:c>
      <x:c r="AA89"/>
      <x:c r="AB89"/>
      <x:c r="AC89" s="13"/>
      <x:c r="AD89" t="n">
        <x:v>0</x:v>
      </x:c>
      <x:c r="AE89" s="19" t="n">
        <x:v>98170</x:v>
      </x:c>
      <x:c r="AF89" t="str">
        <x:v>deepseek-v4-pro</x:v>
      </x:c>
      <x:c r="AG89" s="20" t="n">
        <x:v>46224.14521576389</x:v>
      </x:c>
      <x:c r="AH89" t="n">
        <x:v>200</x:v>
      </x:c>
    </x:row>
    <x:row r="90">
      <x:c r="A90" s="17" t="str">
        <x:v>089</x:v>
      </x:c>
      <x:c r="B90" t="str">
        <x:v>ZH-NORMAL-029</x:v>
      </x:c>
      <x:c r="C90" s="17" t="str">
        <x:v>029</x:v>
      </x:c>
      <x:c r="D90" t="str">
        <x:v>Normal</x:v>
      </x:c>
      <x:c r="E90" t="n">
        <x:v>50</x:v>
      </x:c>
      <x:c r="F90" t="n">
        <x:v>69</x:v>
      </x:c>
      <x:c r="G90" t="n">
        <x:v>1</x:v>
      </x:c>
      <x:c r="H90" s="18" t="n">
        <x:v>50</x:v>
      </x:c>
      <x:c r="I90" s="18" t="n">
        <x:v>45</x:v>
      </x:c>
      <x:c r="J90" s="18" t="n">
        <x:v>40</x:v>
      </x:c>
      <x:c r="K90" s="18" t="n">
        <x:v>65</x:v>
      </x:c>
      <x:c r="L90" s="18" t="n">
        <x:v>62</x:v>
      </x:c>
      <x:c r="M90" s="18" t="n">
        <x:v>45</x:v>
      </x:c>
      <x:c r="N90" s="18" t="n">
        <x:v>45</x:v>
      </x:c>
      <x:c r="O90" s="18" t="n">
        <x:v>50</x:v>
      </x:c>
      <x:c r="P90" s="18" t="n">
        <x:v>59</x:v>
      </x:c>
      <x:c r="Q90" t="str">
        <x:v>Yes</x:v>
      </x:c>
      <x:c r="R90" s="18" t="n">
        <x:v>0</x:v>
      </x:c>
      <x:c r="S90" s="18" t="n">
        <x:v>0</x:v>
      </x:c>
      <x:c r="T90" s="18" t="n">
        <x:v>0</x:v>
      </x:c>
      <x:c r="U90" t="str">
        <x:v>Normal</x:v>
      </x:c>
      <x:c r="V90" t="str">
        <x:v>Yes</x:v>
      </x:c>
      <x:c r="W90" t="str">
        <x:v>WEAK</x:v>
      </x:c>
      <x:c r="X90" t="str">
        <x:v>REWRITE_REQUIRED</x:v>
      </x:c>
      <x:c r="Y90" t="n">
        <x:v>80</x:v>
      </x:c>
      <x:c r="Z90" t="str">
        <x:v>Success</x:v>
      </x:c>
      <x:c r="AA90"/>
      <x:c r="AB90"/>
      <x:c r="AC90" s="13"/>
      <x:c r="AD90" t="n">
        <x:v>0</x:v>
      </x:c>
      <x:c r="AE90" s="19" t="n">
        <x:v>113147</x:v>
      </x:c>
      <x:c r="AF90" t="str">
        <x:v>deepseek-v4-pro</x:v>
      </x:c>
      <x:c r="AG90" s="20" t="n">
        <x:v>46224.14652543981</x:v>
      </x:c>
      <x:c r="AH90" t="n">
        <x:v>200</x:v>
      </x:c>
    </x:row>
    <x:row r="91">
      <x:c r="A91" s="17" t="str">
        <x:v>090</x:v>
      </x:c>
      <x:c r="B91" t="str">
        <x:v>ZH-NORMAL-030</x:v>
      </x:c>
      <x:c r="C91" s="17" t="str">
        <x:v>030</x:v>
      </x:c>
      <x:c r="D91" t="str">
        <x:v>Normal</x:v>
      </x:c>
      <x:c r="E91" t="n">
        <x:v>50</x:v>
      </x:c>
      <x:c r="F91" t="n">
        <x:v>69</x:v>
      </x:c>
      <x:c r="G91" t="n">
        <x:v>1</x:v>
      </x:c>
      <x:c r="H91" s="18" t="n">
        <x:v>44</x:v>
      </x:c>
      <x:c r="I91" s="18" t="n">
        <x:v>48</x:v>
      </x:c>
      <x:c r="J91" s="18" t="n">
        <x:v>35</x:v>
      </x:c>
      <x:c r="K91" s="18" t="n">
        <x:v>45</x:v>
      </x:c>
      <x:c r="L91" s="18" t="n">
        <x:v>45</x:v>
      </x:c>
      <x:c r="M91" s="18" t="n">
        <x:v>40</x:v>
      </x:c>
      <x:c r="N91" s="18" t="n">
        <x:v>50</x:v>
      </x:c>
      <x:c r="O91" s="18" t="n">
        <x:v>44</x:v>
      </x:c>
      <x:c r="P91" s="18" t="n">
        <x:v>59</x:v>
      </x:c>
      <x:c r="Q91" t="str">
        <x:v>No</x:v>
      </x:c>
      <x:c r="R91" s="18" t="n">
        <x:v>6</x:v>
      </x:c>
      <x:c r="S91" s="18" t="n">
        <x:v>6</x:v>
      </x:c>
      <x:c r="T91" s="18" t="n">
        <x:v>0</x:v>
      </x:c>
      <x:c r="U91" t="str">
        <x:v>Bad</x:v>
      </x:c>
      <x:c r="V91" t="str">
        <x:v>No</x:v>
      </x:c>
      <x:c r="W91" t="str">
        <x:v>WEAK</x:v>
      </x:c>
      <x:c r="X91" t="str">
        <x:v>REWRITE_REQUIRED</x:v>
      </x:c>
      <x:c r="Y91" t="n">
        <x:v>80</x:v>
      </x:c>
      <x:c r="Z91" t="str">
        <x:v>Success</x:v>
      </x:c>
      <x:c r="AA91"/>
      <x:c r="AB91"/>
      <x:c r="AC91" s="13"/>
      <x:c r="AD91" t="n">
        <x:v>0</x:v>
      </x:c>
      <x:c r="AE91" s="19" t="n">
        <x:v>99630</x:v>
      </x:c>
      <x:c r="AF91" t="str">
        <x:v>deepseek-v4-pro</x:v>
      </x:c>
      <x:c r="AG91" s="20" t="n">
        <x:v>46224.14767854167</x:v>
      </x:c>
      <x:c r="AH91" t="n">
        <x:v>200</x:v>
      </x:c>
    </x:row>
    <x:row r="92">
      <x:c r="A92" s="17" t="str">
        <x:v>091</x:v>
      </x:c>
      <x:c r="B92" t="str">
        <x:v>ZH-BAD-001</x:v>
      </x:c>
      <x:c r="C92" s="17" t="str">
        <x:v>001</x:v>
      </x:c>
      <x:c r="D92" t="str">
        <x:v>Bad</x:v>
      </x:c>
      <x:c r="E92" t="n">
        <x:v>30</x:v>
      </x:c>
      <x:c r="F92" t="n">
        <x:v>49</x:v>
      </x:c>
      <x:c r="G92" t="n">
        <x:v>1</x:v>
      </x:c>
      <x:c r="H92" s="18" t="n">
        <x:v>35</x:v>
      </x:c>
      <x:c r="I92" s="18" t="n">
        <x:v>45</x:v>
      </x:c>
      <x:c r="J92" s="18" t="n">
        <x:v>30</x:v>
      </x:c>
      <x:c r="K92" s="18" t="n">
        <x:v>40</x:v>
      </x:c>
      <x:c r="L92" s="18" t="n">
        <x:v>35</x:v>
      </x:c>
      <x:c r="M92" s="18" t="n">
        <x:v>25</x:v>
      </x:c>
      <x:c r="N92" s="18" t="n">
        <x:v>25</x:v>
      </x:c>
      <x:c r="O92" s="18" t="n">
        <x:v>35</x:v>
      </x:c>
      <x:c r="P92" s="18" t="n">
        <x:v>59</x:v>
      </x:c>
      <x:c r="Q92" t="str">
        <x:v>Yes</x:v>
      </x:c>
      <x:c r="R92" s="18" t="n">
        <x:v>0</x:v>
      </x:c>
      <x:c r="S92" s="18" t="n">
        <x:v>0</x:v>
      </x:c>
      <x:c r="T92" s="18" t="n">
        <x:v>0</x:v>
      </x:c>
      <x:c r="U92" t="str">
        <x:v>Bad</x:v>
      </x:c>
      <x:c r="V92" t="str">
        <x:v>Yes</x:v>
      </x:c>
      <x:c r="W92" t="str">
        <x:v>SEVERELY_DEFICIENT</x:v>
      </x:c>
      <x:c r="X92" t="str">
        <x:v>REWRITE_REQUIRED</x:v>
      </x:c>
      <x:c r="Y92" t="n">
        <x:v>80</x:v>
      </x:c>
      <x:c r="Z92" t="str">
        <x:v>Success</x:v>
      </x:c>
      <x:c r="AA92"/>
      <x:c r="AB92"/>
      <x:c r="AC92" s="13"/>
      <x:c r="AD92" t="n">
        <x:v>0</x:v>
      </x:c>
      <x:c r="AE92" s="19" t="n">
        <x:v>56131</x:v>
      </x:c>
      <x:c r="AF92" t="str">
        <x:v>deepseek-v4-pro</x:v>
      </x:c>
      <x:c r="AG92" s="20" t="n">
        <x:v>46223.36547271991</x:v>
      </x:c>
      <x:c r="AH92" t="n">
        <x:v>200</x:v>
      </x:c>
    </x:row>
    <x:row r="93">
      <x:c r="A93" s="17" t="str">
        <x:v>092</x:v>
      </x:c>
      <x:c r="B93" t="str">
        <x:v>ZH-BAD-002</x:v>
      </x:c>
      <x:c r="C93" s="17" t="str">
        <x:v>002</x:v>
      </x:c>
      <x:c r="D93" t="str">
        <x:v>Bad</x:v>
      </x:c>
      <x:c r="E93" t="n">
        <x:v>30</x:v>
      </x:c>
      <x:c r="F93" t="n">
        <x:v>49</x:v>
      </x:c>
      <x:c r="G93" t="n">
        <x:v>1</x:v>
      </x:c>
      <x:c r="H93" s="18" t="n">
        <x:v>46</x:v>
      </x:c>
      <x:c r="I93" s="18" t="n">
        <x:v>50</x:v>
      </x:c>
      <x:c r="J93" s="18" t="n">
        <x:v>45</x:v>
      </x:c>
      <x:c r="K93" s="18" t="n">
        <x:v>55</x:v>
      </x:c>
      <x:c r="L93" s="18" t="n">
        <x:v>45</x:v>
      </x:c>
      <x:c r="M93" s="18" t="n">
        <x:v>45</x:v>
      </x:c>
      <x:c r="N93" s="18" t="n">
        <x:v>30</x:v>
      </x:c>
      <x:c r="O93" s="18" t="n">
        <x:v>46</x:v>
      </x:c>
      <x:c r="P93" s="18" t="n">
        <x:v>59</x:v>
      </x:c>
      <x:c r="Q93" t="str">
        <x:v>Yes</x:v>
      </x:c>
      <x:c r="R93" s="18" t="n">
        <x:v>0</x:v>
      </x:c>
      <x:c r="S93" s="18" t="n">
        <x:v>0</x:v>
      </x:c>
      <x:c r="T93" s="18" t="n">
        <x:v>0</x:v>
      </x:c>
      <x:c r="U93" t="str">
        <x:v>Bad</x:v>
      </x:c>
      <x:c r="V93" t="str">
        <x:v>Yes</x:v>
      </x:c>
      <x:c r="W93" t="str">
        <x:v>WEAK</x:v>
      </x:c>
      <x:c r="X93" t="str">
        <x:v>REWRITE_REQUIRED</x:v>
      </x:c>
      <x:c r="Y93" t="n">
        <x:v>80</x:v>
      </x:c>
      <x:c r="Z93" t="str">
        <x:v>Success</x:v>
      </x:c>
      <x:c r="AA93"/>
      <x:c r="AB93"/>
      <x:c r="AC93" s="13"/>
      <x:c r="AD93" t="n">
        <x:v>0</x:v>
      </x:c>
      <x:c r="AE93" s="19" t="n">
        <x:v>100584</x:v>
      </x:c>
      <x:c r="AF93" t="str">
        <x:v>deepseek-v4-pro</x:v>
      </x:c>
      <x:c r="AG93" s="20" t="n">
        <x:v>46224.114922037035</x:v>
      </x:c>
      <x:c r="AH93" t="n">
        <x:v>200</x:v>
      </x:c>
    </x:row>
    <x:row r="94">
      <x:c r="A94" s="17" t="str">
        <x:v>093</x:v>
      </x:c>
      <x:c r="B94" t="str">
        <x:v>ZH-BAD-003</x:v>
      </x:c>
      <x:c r="C94" s="17" t="str">
        <x:v>003</x:v>
      </x:c>
      <x:c r="D94" t="str">
        <x:v>Bad</x:v>
      </x:c>
      <x:c r="E94" t="n">
        <x:v>30</x:v>
      </x:c>
      <x:c r="F94" t="n">
        <x:v>49</x:v>
      </x:c>
      <x:c r="G94" t="n">
        <x:v>1</x:v>
      </x:c>
      <x:c r="H94" s="18" t="n">
        <x:v>42</x:v>
      </x:c>
      <x:c r="I94" s="18" t="n">
        <x:v>45</x:v>
      </x:c>
      <x:c r="J94" s="18" t="n">
        <x:v>35</x:v>
      </x:c>
      <x:c r="K94" s="18" t="n">
        <x:v>55</x:v>
      </x:c>
      <x:c r="L94" s="18" t="n">
        <x:v>45</x:v>
      </x:c>
      <x:c r="M94" s="18" t="n">
        <x:v>40</x:v>
      </x:c>
      <x:c r="N94" s="18" t="n">
        <x:v>25</x:v>
      </x:c>
      <x:c r="O94" s="18" t="n">
        <x:v>42</x:v>
      </x:c>
      <x:c r="P94" s="18" t="n">
        <x:v>59</x:v>
      </x:c>
      <x:c r="Q94" t="str">
        <x:v>Yes</x:v>
      </x:c>
      <x:c r="R94" s="18" t="n">
        <x:v>0</x:v>
      </x:c>
      <x:c r="S94" s="18" t="n">
        <x:v>0</x:v>
      </x:c>
      <x:c r="T94" s="18" t="n">
        <x:v>0</x:v>
      </x:c>
      <x:c r="U94" t="str">
        <x:v>Bad</x:v>
      </x:c>
      <x:c r="V94" t="str">
        <x:v>Yes</x:v>
      </x:c>
      <x:c r="W94" t="str">
        <x:v>WEAK</x:v>
      </x:c>
      <x:c r="X94" t="str">
        <x:v>REWRITE_REQUIRED</x:v>
      </x:c>
      <x:c r="Y94" t="n">
        <x:v>80</x:v>
      </x:c>
      <x:c r="Z94" t="str">
        <x:v>Success</x:v>
      </x:c>
      <x:c r="AA94"/>
      <x:c r="AB94"/>
      <x:c r="AC94" s="13"/>
      <x:c r="AD94" t="n">
        <x:v>0</x:v>
      </x:c>
      <x:c r="AE94" s="19" t="n">
        <x:v>75785</x:v>
      </x:c>
      <x:c r="AF94" t="str">
        <x:v>deepseek-v4-pro</x:v>
      </x:c>
      <x:c r="AG94" s="20" t="n">
        <x:v>46224.11579917824</x:v>
      </x:c>
      <x:c r="AH94" t="n">
        <x:v>200</x:v>
      </x:c>
    </x:row>
    <x:row r="95">
      <x:c r="A95" s="17" t="str">
        <x:v>094</x:v>
      </x:c>
      <x:c r="B95" t="str">
        <x:v>ZH-BAD-004</x:v>
      </x:c>
      <x:c r="C95" s="17" t="str">
        <x:v>004</x:v>
      </x:c>
      <x:c r="D95" t="str">
        <x:v>Bad</x:v>
      </x:c>
      <x:c r="E95" t="n">
        <x:v>30</x:v>
      </x:c>
      <x:c r="F95" t="n">
        <x:v>49</x:v>
      </x:c>
      <x:c r="G95" t="n">
        <x:v>1</x:v>
      </x:c>
      <x:c r="H95" s="18" t="n">
        <x:v>48</x:v>
      </x:c>
      <x:c r="I95" s="18" t="n">
        <x:v>45</x:v>
      </x:c>
      <x:c r="J95" s="18" t="n">
        <x:v>55</x:v>
      </x:c>
      <x:c r="K95" s="18" t="n">
        <x:v>60</x:v>
      </x:c>
      <x:c r="L95" s="18" t="n">
        <x:v>50</x:v>
      </x:c>
      <x:c r="M95" s="18" t="n">
        <x:v>45</x:v>
      </x:c>
      <x:c r="N95" s="18" t="n">
        <x:v>25</x:v>
      </x:c>
      <x:c r="O95" s="18" t="n">
        <x:v>48</x:v>
      </x:c>
      <x:c r="P95" s="18" t="n">
        <x:v>59</x:v>
      </x:c>
      <x:c r="Q95" t="str">
        <x:v>Yes</x:v>
      </x:c>
      <x:c r="R95" s="18" t="n">
        <x:v>0</x:v>
      </x:c>
      <x:c r="S95" s="18" t="n">
        <x:v>0</x:v>
      </x:c>
      <x:c r="T95" s="18" t="n">
        <x:v>0</x:v>
      </x:c>
      <x:c r="U95" t="str">
        <x:v>Bad</x:v>
      </x:c>
      <x:c r="V95" t="str">
        <x:v>Yes</x:v>
      </x:c>
      <x:c r="W95" t="str">
        <x:v>WEAK</x:v>
      </x:c>
      <x:c r="X95" t="str">
        <x:v>REWRITE_REQUIRED</x:v>
      </x:c>
      <x:c r="Y95" t="n">
        <x:v>80</x:v>
      </x:c>
      <x:c r="Z95" t="str">
        <x:v>Success</x:v>
      </x:c>
      <x:c r="AA95"/>
      <x:c r="AB95"/>
      <x:c r="AC95" s="13"/>
      <x:c r="AD95" t="n">
        <x:v>0</x:v>
      </x:c>
      <x:c r="AE95" s="19" t="n">
        <x:v>99400</x:v>
      </x:c>
      <x:c r="AF95" t="str">
        <x:v>deepseek-v4-pro</x:v>
      </x:c>
      <x:c r="AG95" s="20" t="n">
        <x:v>46224.11694975694</x:v>
      </x:c>
      <x:c r="AH95" t="n">
        <x:v>200</x:v>
      </x:c>
    </x:row>
    <x:row r="96">
      <x:c r="A96" s="17" t="str">
        <x:v>095</x:v>
      </x:c>
      <x:c r="B96" t="str">
        <x:v>ZH-BAD-005</x:v>
      </x:c>
      <x:c r="C96" s="17" t="str">
        <x:v>005</x:v>
      </x:c>
      <x:c r="D96" t="str">
        <x:v>Bad</x:v>
      </x:c>
      <x:c r="E96" t="n">
        <x:v>30</x:v>
      </x:c>
      <x:c r="F96" t="n">
        <x:v>49</x:v>
      </x:c>
      <x:c r="G96" t="n">
        <x:v>1</x:v>
      </x:c>
      <x:c r="H96" s="18" t="n">
        <x:v>34</x:v>
      </x:c>
      <x:c r="I96" s="18" t="n">
        <x:v>40</x:v>
      </x:c>
      <x:c r="J96" s="18" t="n">
        <x:v>30</x:v>
      </x:c>
      <x:c r="K96" s="18" t="n">
        <x:v>45</x:v>
      </x:c>
      <x:c r="L96" s="18" t="n">
        <x:v>30</x:v>
      </x:c>
      <x:c r="M96" s="18" t="n">
        <x:v>30</x:v>
      </x:c>
      <x:c r="N96" s="18" t="n">
        <x:v>25</x:v>
      </x:c>
      <x:c r="O96" s="18" t="n">
        <x:v>34</x:v>
      </x:c>
      <x:c r="P96" s="18" t="n">
        <x:v>59</x:v>
      </x:c>
      <x:c r="Q96" t="str">
        <x:v>Yes</x:v>
      </x:c>
      <x:c r="R96" s="18" t="n">
        <x:v>0</x:v>
      </x:c>
      <x:c r="S96" s="18" t="n">
        <x:v>0</x:v>
      </x:c>
      <x:c r="T96" s="18" t="n">
        <x:v>0</x:v>
      </x:c>
      <x:c r="U96" t="str">
        <x:v>Bad</x:v>
      </x:c>
      <x:c r="V96" t="str">
        <x:v>Yes</x:v>
      </x:c>
      <x:c r="W96" t="str">
        <x:v>SEVERELY_DEFICIENT</x:v>
      </x:c>
      <x:c r="X96" t="str">
        <x:v>REWRITE_REQUIRED</x:v>
      </x:c>
      <x:c r="Y96" t="n">
        <x:v>80</x:v>
      </x:c>
      <x:c r="Z96" t="str">
        <x:v>Success</x:v>
      </x:c>
      <x:c r="AA96"/>
      <x:c r="AB96"/>
      <x:c r="AC96" s="13"/>
      <x:c r="AD96" t="n">
        <x:v>0</x:v>
      </x:c>
      <x:c r="AE96" s="19" t="n">
        <x:v>159133</x:v>
      </x:c>
      <x:c r="AF96" t="str">
        <x:v>deepseek-v4-pro</x:v>
      </x:c>
      <x:c r="AG96" s="20" t="n">
        <x:v>46224.11879159722</x:v>
      </x:c>
      <x:c r="AH96" t="n">
        <x:v>200</x:v>
      </x:c>
    </x:row>
    <x:row r="97">
      <x:c r="A97" s="17" t="str">
        <x:v>096</x:v>
      </x:c>
      <x:c r="B97" t="str">
        <x:v>ZH-BAD-006</x:v>
      </x:c>
      <x:c r="C97" s="17" t="str">
        <x:v>006</x:v>
      </x:c>
      <x:c r="D97" t="str">
        <x:v>Bad</x:v>
      </x:c>
      <x:c r="E97" t="n">
        <x:v>30</x:v>
      </x:c>
      <x:c r="F97" t="n">
        <x:v>49</x:v>
      </x:c>
      <x:c r="G97" t="n">
        <x:v>1</x:v>
      </x:c>
      <x:c r="H97" s="18" t="n">
        <x:v>41</x:v>
      </x:c>
      <x:c r="I97" s="18" t="n">
        <x:v>45</x:v>
      </x:c>
      <x:c r="J97" s="18" t="n">
        <x:v>35</x:v>
      </x:c>
      <x:c r="K97" s="18" t="n">
        <x:v>50</x:v>
      </x:c>
      <x:c r="L97" s="18" t="n">
        <x:v>45</x:v>
      </x:c>
      <x:c r="M97" s="18" t="n">
        <x:v>45</x:v>
      </x:c>
      <x:c r="N97" s="18" t="n">
        <x:v>20</x:v>
      </x:c>
      <x:c r="O97" s="18" t="n">
        <x:v>41</x:v>
      </x:c>
      <x:c r="P97" s="18" t="n">
        <x:v>59</x:v>
      </x:c>
      <x:c r="Q97" t="str">
        <x:v>Yes</x:v>
      </x:c>
      <x:c r="R97" s="18" t="n">
        <x:v>0</x:v>
      </x:c>
      <x:c r="S97" s="18" t="n">
        <x:v>0</x:v>
      </x:c>
      <x:c r="T97" s="18" t="n">
        <x:v>0</x:v>
      </x:c>
      <x:c r="U97" t="str">
        <x:v>Bad</x:v>
      </x:c>
      <x:c r="V97" t="str">
        <x:v>Yes</x:v>
      </x:c>
      <x:c r="W97" t="str">
        <x:v>WEAK</x:v>
      </x:c>
      <x:c r="X97" t="str">
        <x:v>REWRITE_REQUIRED</x:v>
      </x:c>
      <x:c r="Y97" t="n">
        <x:v>80</x:v>
      </x:c>
      <x:c r="Z97" t="str">
        <x:v>Success</x:v>
      </x:c>
      <x:c r="AA97"/>
      <x:c r="AB97"/>
      <x:c r="AC97" s="13"/>
      <x:c r="AD97" t="n">
        <x:v>0</x:v>
      </x:c>
      <x:c r="AE97" s="19" t="n">
        <x:v>85847</x:v>
      </x:c>
      <x:c r="AF97" t="str">
        <x:v>deepseek-v4-pro</x:v>
      </x:c>
      <x:c r="AG97" s="20" t="n">
        <x:v>46224.119785208335</x:v>
      </x:c>
      <x:c r="AH97" t="n">
        <x:v>200</x:v>
      </x:c>
    </x:row>
    <x:row r="98">
      <x:c r="A98" s="17" t="str">
        <x:v>097</x:v>
      </x:c>
      <x:c r="B98" t="str">
        <x:v>ZH-BAD-007</x:v>
      </x:c>
      <x:c r="C98" s="17" t="str">
        <x:v>007</x:v>
      </x:c>
      <x:c r="D98" t="str">
        <x:v>Bad</x:v>
      </x:c>
      <x:c r="E98" t="n">
        <x:v>30</x:v>
      </x:c>
      <x:c r="F98" t="n">
        <x:v>49</x:v>
      </x:c>
      <x:c r="G98" t="n">
        <x:v>1</x:v>
      </x:c>
      <x:c r="H98" s="18" t="n">
        <x:v>27</x:v>
      </x:c>
      <x:c r="I98" s="18" t="n">
        <x:v>35</x:v>
      </x:c>
      <x:c r="J98" s="18" t="n">
        <x:v>30</x:v>
      </x:c>
      <x:c r="K98" s="18" t="n">
        <x:v>30</x:v>
      </x:c>
      <x:c r="L98" s="18" t="n">
        <x:v>25</x:v>
      </x:c>
      <x:c r="M98" s="18" t="n">
        <x:v>20</x:v>
      </x:c>
      <x:c r="N98" s="18" t="n">
        <x:v>10</x:v>
      </x:c>
      <x:c r="O98" s="18" t="n">
        <x:v>27</x:v>
      </x:c>
      <x:c r="P98" s="18" t="n">
        <x:v>59</x:v>
      </x:c>
      <x:c r="Q98" t="str">
        <x:v>No</x:v>
      </x:c>
      <x:c r="R98" s="18" t="n">
        <x:v>3</x:v>
      </x:c>
      <x:c r="S98" s="18" t="n">
        <x:v>3</x:v>
      </x:c>
      <x:c r="T98" s="18" t="n">
        <x:v>0</x:v>
      </x:c>
      <x:c r="U98" t="str">
        <x:v>Extremely Bad</x:v>
      </x:c>
      <x:c r="V98" t="str">
        <x:v>No</x:v>
      </x:c>
      <x:c r="W98" t="str">
        <x:v>SEVERELY_DEFICIENT</x:v>
      </x:c>
      <x:c r="X98" t="str">
        <x:v>REWRITE_REQUIRED</x:v>
      </x:c>
      <x:c r="Y98" t="n">
        <x:v>80</x:v>
      </x:c>
      <x:c r="Z98" t="str">
        <x:v>Success</x:v>
      </x:c>
      <x:c r="AA98"/>
      <x:c r="AB98"/>
      <x:c r="AC98" s="13"/>
      <x:c r="AD98" t="n">
        <x:v>0</x:v>
      </x:c>
      <x:c r="AE98" s="19" t="n">
        <x:v>75871</x:v>
      </x:c>
      <x:c r="AF98" t="str">
        <x:v>deepseek-v4-pro</x:v>
      </x:c>
      <x:c r="AG98" s="20" t="n">
        <x:v>46224.120663333335</x:v>
      </x:c>
      <x:c r="AH98" t="n">
        <x:v>200</x:v>
      </x:c>
    </x:row>
    <x:row r="99">
      <x:c r="A99" s="17" t="str">
        <x:v>098</x:v>
      </x:c>
      <x:c r="B99" t="str">
        <x:v>ZH-BAD-008</x:v>
      </x:c>
      <x:c r="C99" s="17" t="str">
        <x:v>008</x:v>
      </x:c>
      <x:c r="D99" t="str">
        <x:v>Bad</x:v>
      </x:c>
      <x:c r="E99" t="n">
        <x:v>30</x:v>
      </x:c>
      <x:c r="F99" t="n">
        <x:v>49</x:v>
      </x:c>
      <x:c r="G99" t="n">
        <x:v>1</x:v>
      </x:c>
      <x:c r="H99" s="18" t="n">
        <x:v>43</x:v>
      </x:c>
      <x:c r="I99" s="18" t="n">
        <x:v>50</x:v>
      </x:c>
      <x:c r="J99" s="18" t="n">
        <x:v>35</x:v>
      </x:c>
      <x:c r="K99" s="18" t="n">
        <x:v>55</x:v>
      </x:c>
      <x:c r="L99" s="18" t="n">
        <x:v>40</x:v>
      </x:c>
      <x:c r="M99" s="18" t="n">
        <x:v>45</x:v>
      </x:c>
      <x:c r="N99" s="18" t="n">
        <x:v>25</x:v>
      </x:c>
      <x:c r="O99" s="18" t="n">
        <x:v>43</x:v>
      </x:c>
      <x:c r="P99" s="18" t="n">
        <x:v>59</x:v>
      </x:c>
      <x:c r="Q99" t="str">
        <x:v>Yes</x:v>
      </x:c>
      <x:c r="R99" s="18" t="n">
        <x:v>0</x:v>
      </x:c>
      <x:c r="S99" s="18" t="n">
        <x:v>0</x:v>
      </x:c>
      <x:c r="T99" s="18" t="n">
        <x:v>0</x:v>
      </x:c>
      <x:c r="U99" t="str">
        <x:v>Bad</x:v>
      </x:c>
      <x:c r="V99" t="str">
        <x:v>Yes</x:v>
      </x:c>
      <x:c r="W99" t="str">
        <x:v>WEAK</x:v>
      </x:c>
      <x:c r="X99" t="str">
        <x:v>REWRITE_REQUIRED</x:v>
      </x:c>
      <x:c r="Y99" t="n">
        <x:v>80</x:v>
      </x:c>
      <x:c r="Z99" t="str">
        <x:v>Success</x:v>
      </x:c>
      <x:c r="AA99"/>
      <x:c r="AB99"/>
      <x:c r="AC99" s="13"/>
      <x:c r="AD99" t="n">
        <x:v>0</x:v>
      </x:c>
      <x:c r="AE99" s="19" t="n">
        <x:v>65815</x:v>
      </x:c>
      <x:c r="AF99" t="str">
        <x:v>deepseek-v4-pro</x:v>
      </x:c>
      <x:c r="AG99" s="20" t="n">
        <x:v>46224.12142510417</x:v>
      </x:c>
      <x:c r="AH99" t="n">
        <x:v>200</x:v>
      </x:c>
    </x:row>
    <x:row r="100">
      <x:c r="A100" s="17" t="str">
        <x:v>099</x:v>
      </x:c>
      <x:c r="B100" t="str">
        <x:v>ZH-BAD-009</x:v>
      </x:c>
      <x:c r="C100" s="17" t="str">
        <x:v>009</x:v>
      </x:c>
      <x:c r="D100" t="str">
        <x:v>Bad</x:v>
      </x:c>
      <x:c r="E100" t="n">
        <x:v>30</x:v>
      </x:c>
      <x:c r="F100" t="n">
        <x:v>49</x:v>
      </x:c>
      <x:c r="G100" t="n">
        <x:v>1</x:v>
      </x:c>
      <x:c r="H100" s="18" t="n">
        <x:v>39</x:v>
      </x:c>
      <x:c r="I100" s="18" t="n">
        <x:v>48</x:v>
      </x:c>
      <x:c r="J100" s="18" t="n">
        <x:v>42</x:v>
      </x:c>
      <x:c r="K100" s="18" t="n">
        <x:v>62</x:v>
      </x:c>
      <x:c r="L100" s="18" t="n">
        <x:v>58</x:v>
      </x:c>
      <x:c r="M100" s="18" t="n">
        <x:v>48</x:v>
      </x:c>
      <x:c r="N100" s="18" t="n">
        <x:v>30</x:v>
      </x:c>
      <x:c r="O100" s="18" t="n">
        <x:v>49</x:v>
      </x:c>
      <x:c r="P100" s="18" t="n">
        <x:v>39</x:v>
      </x:c>
      <x:c r="Q100" t="str">
        <x:v>Yes</x:v>
      </x:c>
      <x:c r="R100" s="18" t="n">
        <x:v>0</x:v>
      </x:c>
      <x:c r="S100" s="18" t="n">
        <x:v>0</x:v>
      </x:c>
      <x:c r="T100" s="18" t="n">
        <x:v>0</x:v>
      </x:c>
      <x:c r="U100" t="str">
        <x:v>Bad</x:v>
      </x:c>
      <x:c r="V100" t="str">
        <x:v>Yes</x:v>
      </x:c>
      <x:c r="W100" t="str">
        <x:v>SEVERELY_DEFICIENT</x:v>
      </x:c>
      <x:c r="X100" t="str">
        <x:v>REWRITE_REQUIRED</x:v>
      </x:c>
      <x:c r="Y100" t="n">
        <x:v>80</x:v>
      </x:c>
      <x:c r="Z100" t="str">
        <x:v>Success</x:v>
      </x:c>
      <x:c r="AA100"/>
      <x:c r="AB100"/>
      <x:c r="AC100" s="13"/>
      <x:c r="AD100" t="n">
        <x:v>0</x:v>
      </x:c>
      <x:c r="AE100" s="19" t="n">
        <x:v>164775</x:v>
      </x:c>
      <x:c r="AF100" t="str">
        <x:v>deepseek-v4-pro</x:v>
      </x:c>
      <x:c r="AG100" s="20" t="n">
        <x:v>46224.12333226852</x:v>
      </x:c>
      <x:c r="AH100" t="n">
        <x:v>200</x:v>
      </x:c>
    </x:row>
    <x:row r="101">
      <x:c r="A101" s="17" t="str">
        <x:v>100</x:v>
      </x:c>
      <x:c r="B101" t="str">
        <x:v>ZH-BAD-010</x:v>
      </x:c>
      <x:c r="C101" s="17" t="str">
        <x:v>010</x:v>
      </x:c>
      <x:c r="D101" t="str">
        <x:v>Bad</x:v>
      </x:c>
      <x:c r="E101" t="n">
        <x:v>30</x:v>
      </x:c>
      <x:c r="F101" t="n">
        <x:v>49</x:v>
      </x:c>
      <x:c r="G101" t="n">
        <x:v>1</x:v>
      </x:c>
      <x:c r="H101" s="18" t="n">
        <x:v>39</x:v>
      </x:c>
      <x:c r="I101" s="18" t="n">
        <x:v>45</x:v>
      </x:c>
      <x:c r="J101" s="18" t="n">
        <x:v>35</x:v>
      </x:c>
      <x:c r="K101" s="18" t="n">
        <x:v>45</x:v>
      </x:c>
      <x:c r="L101" s="18" t="n">
        <x:v>35</x:v>
      </x:c>
      <x:c r="M101" s="18" t="n">
        <x:v>35</x:v>
      </x:c>
      <x:c r="N101" s="18" t="n">
        <x:v>30</x:v>
      </x:c>
      <x:c r="O101" s="18" t="n">
        <x:v>39</x:v>
      </x:c>
      <x:c r="P101" s="18" t="n">
        <x:v>59</x:v>
      </x:c>
      <x:c r="Q101" t="str">
        <x:v>Yes</x:v>
      </x:c>
      <x:c r="R101" s="18" t="n">
        <x:v>0</x:v>
      </x:c>
      <x:c r="S101" s="18" t="n">
        <x:v>0</x:v>
      </x:c>
      <x:c r="T101" s="18" t="n">
        <x:v>0</x:v>
      </x:c>
      <x:c r="U101" t="str">
        <x:v>Bad</x:v>
      </x:c>
      <x:c r="V101" t="str">
        <x:v>Yes</x:v>
      </x:c>
      <x:c r="W101" t="str">
        <x:v>SEVERELY_DEFICIENT</x:v>
      </x:c>
      <x:c r="X101" t="str">
        <x:v>REWRITE_REQUIRED</x:v>
      </x:c>
      <x:c r="Y101" t="n">
        <x:v>80</x:v>
      </x:c>
      <x:c r="Z101" t="str">
        <x:v>Success</x:v>
      </x:c>
      <x:c r="AA101"/>
      <x:c r="AB101"/>
      <x:c r="AC101" s="13"/>
      <x:c r="AD101" t="n">
        <x:v>0</x:v>
      </x:c>
      <x:c r="AE101" s="19" t="n">
        <x:v>60046</x:v>
      </x:c>
      <x:c r="AF101" t="str">
        <x:v>deepseek-v4-pro</x:v>
      </x:c>
      <x:c r="AG101" s="20" t="n">
        <x:v>46224.12402729167</x:v>
      </x:c>
      <x:c r="AH101" t="n">
        <x:v>200</x:v>
      </x:c>
    </x:row>
    <x:row r="102">
      <x:c r="A102" s="17" t="str">
        <x:v>101</x:v>
      </x:c>
      <x:c r="B102" t="str">
        <x:v>ZH-BAD-011</x:v>
      </x:c>
      <x:c r="C102" s="17" t="str">
        <x:v>011</x:v>
      </x:c>
      <x:c r="D102" t="str">
        <x:v>Bad</x:v>
      </x:c>
      <x:c r="E102" t="n">
        <x:v>30</x:v>
      </x:c>
      <x:c r="F102" t="n">
        <x:v>49</x:v>
      </x:c>
      <x:c r="G102" t="n">
        <x:v>1</x:v>
      </x:c>
      <x:c r="H102" s="18" t="n">
        <x:v>38</x:v>
      </x:c>
      <x:c r="I102" s="18" t="n">
        <x:v>45</x:v>
      </x:c>
      <x:c r="J102" s="18" t="n">
        <x:v>30</x:v>
      </x:c>
      <x:c r="K102" s="18" t="n">
        <x:v>45</x:v>
      </x:c>
      <x:c r="L102" s="18" t="n">
        <x:v>35</x:v>
      </x:c>
      <x:c r="M102" s="18" t="n">
        <x:v>40</x:v>
      </x:c>
      <x:c r="N102" s="18" t="n">
        <x:v>25</x:v>
      </x:c>
      <x:c r="O102" s="18" t="n">
        <x:v>38</x:v>
      </x:c>
      <x:c r="P102" s="18" t="n">
        <x:v>59</x:v>
      </x:c>
      <x:c r="Q102" t="str">
        <x:v>Yes</x:v>
      </x:c>
      <x:c r="R102" s="18" t="n">
        <x:v>0</x:v>
      </x:c>
      <x:c r="S102" s="18" t="n">
        <x:v>0</x:v>
      </x:c>
      <x:c r="T102" s="18" t="n">
        <x:v>0</x:v>
      </x:c>
      <x:c r="U102" t="str">
        <x:v>Bad</x:v>
      </x:c>
      <x:c r="V102" t="str">
        <x:v>Yes</x:v>
      </x:c>
      <x:c r="W102" t="str">
        <x:v>SEVERELY_DEFICIENT</x:v>
      </x:c>
      <x:c r="X102" t="str">
        <x:v>REWRITE_REQUIRED</x:v>
      </x:c>
      <x:c r="Y102" t="n">
        <x:v>80</x:v>
      </x:c>
      <x:c r="Z102" t="str">
        <x:v>Success</x:v>
      </x:c>
      <x:c r="AA102"/>
      <x:c r="AB102"/>
      <x:c r="AC102" s="13"/>
      <x:c r="AD102" t="n">
        <x:v>0</x:v>
      </x:c>
      <x:c r="AE102" s="19" t="n">
        <x:v>88600</x:v>
      </x:c>
      <x:c r="AF102" t="str">
        <x:v>deepseek-v4-pro</x:v>
      </x:c>
      <x:c r="AG102" s="20" t="n">
        <x:v>46224.12505277778</x:v>
      </x:c>
      <x:c r="AH102" t="n">
        <x:v>200</x:v>
      </x:c>
    </x:row>
    <x:row r="103">
      <x:c r="A103" s="17" t="str">
        <x:v>102</x:v>
      </x:c>
      <x:c r="B103" t="str">
        <x:v>ZH-BAD-012</x:v>
      </x:c>
      <x:c r="C103" s="17" t="str">
        <x:v>012</x:v>
      </x:c>
      <x:c r="D103" t="str">
        <x:v>Bad</x:v>
      </x:c>
      <x:c r="E103" t="n">
        <x:v>30</x:v>
      </x:c>
      <x:c r="F103" t="n">
        <x:v>49</x:v>
      </x:c>
      <x:c r="G103" t="n">
        <x:v>1</x:v>
      </x:c>
      <x:c r="H103" s="18" t="n">
        <x:v>41</x:v>
      </x:c>
      <x:c r="I103" s="18" t="n">
        <x:v>50</x:v>
      </x:c>
      <x:c r="J103" s="18" t="n">
        <x:v>30</x:v>
      </x:c>
      <x:c r="K103" s="18" t="n">
        <x:v>50</x:v>
      </x:c>
      <x:c r="L103" s="18" t="n">
        <x:v>40</x:v>
      </x:c>
      <x:c r="M103" s="18" t="n">
        <x:v>40</x:v>
      </x:c>
      <x:c r="N103" s="18" t="n">
        <x:v>30</x:v>
      </x:c>
      <x:c r="O103" s="18" t="n">
        <x:v>41</x:v>
      </x:c>
      <x:c r="P103" s="18" t="n">
        <x:v>59</x:v>
      </x:c>
      <x:c r="Q103" t="str">
        <x:v>Yes</x:v>
      </x:c>
      <x:c r="R103" s="18" t="n">
        <x:v>0</x:v>
      </x:c>
      <x:c r="S103" s="18" t="n">
        <x:v>0</x:v>
      </x:c>
      <x:c r="T103" s="18" t="n">
        <x:v>0</x:v>
      </x:c>
      <x:c r="U103" t="str">
        <x:v>Bad</x:v>
      </x:c>
      <x:c r="V103" t="str">
        <x:v>Yes</x:v>
      </x:c>
      <x:c r="W103" t="str">
        <x:v>WEAK</x:v>
      </x:c>
      <x:c r="X103" t="str">
        <x:v>REWRITE_REQUIRED</x:v>
      </x:c>
      <x:c r="Y103" t="n">
        <x:v>80</x:v>
      </x:c>
      <x:c r="Z103" t="str">
        <x:v>Success</x:v>
      </x:c>
      <x:c r="AA103"/>
      <x:c r="AB103"/>
      <x:c r="AC103" s="13"/>
      <x:c r="AD103" t="n">
        <x:v>0</x:v>
      </x:c>
      <x:c r="AE103" s="19" t="n">
        <x:v>82928</x:v>
      </x:c>
      <x:c r="AF103" t="str">
        <x:v>deepseek-v4-pro</x:v>
      </x:c>
      <x:c r="AG103" s="20" t="n">
        <x:v>46224.12601261574</x:v>
      </x:c>
      <x:c r="AH103" t="n">
        <x:v>200</x:v>
      </x:c>
    </x:row>
    <x:row r="104">
      <x:c r="A104" s="17" t="str">
        <x:v>103</x:v>
      </x:c>
      <x:c r="B104" t="str">
        <x:v>ZH-BAD-013</x:v>
      </x:c>
      <x:c r="C104" s="17" t="str">
        <x:v>013</x:v>
      </x:c>
      <x:c r="D104" t="str">
        <x:v>Bad</x:v>
      </x:c>
      <x:c r="E104" t="n">
        <x:v>30</x:v>
      </x:c>
      <x:c r="F104" t="n">
        <x:v>49</x:v>
      </x:c>
      <x:c r="G104" t="n">
        <x:v>1</x:v>
      </x:c>
      <x:c r="H104" s="18" t="n">
        <x:v>38</x:v>
      </x:c>
      <x:c r="I104" s="18" t="n">
        <x:v>40</x:v>
      </x:c>
      <x:c r="J104" s="18" t="n">
        <x:v>30</x:v>
      </x:c>
      <x:c r="K104" s="18" t="n">
        <x:v>50</x:v>
      </x:c>
      <x:c r="L104" s="18" t="n">
        <x:v>45</x:v>
      </x:c>
      <x:c r="M104" s="18" t="n">
        <x:v>40</x:v>
      </x:c>
      <x:c r="N104" s="18" t="n">
        <x:v>15</x:v>
      </x:c>
      <x:c r="O104" s="18" t="n">
        <x:v>38</x:v>
      </x:c>
      <x:c r="P104" s="18" t="n">
        <x:v>59</x:v>
      </x:c>
      <x:c r="Q104" t="str">
        <x:v>Yes</x:v>
      </x:c>
      <x:c r="R104" s="18" t="n">
        <x:v>0</x:v>
      </x:c>
      <x:c r="S104" s="18" t="n">
        <x:v>0</x:v>
      </x:c>
      <x:c r="T104" s="18" t="n">
        <x:v>0</x:v>
      </x:c>
      <x:c r="U104" t="str">
        <x:v>Bad</x:v>
      </x:c>
      <x:c r="V104" t="str">
        <x:v>Yes</x:v>
      </x:c>
      <x:c r="W104" t="str">
        <x:v>SEVERELY_DEFICIENT</x:v>
      </x:c>
      <x:c r="X104" t="str">
        <x:v>REWRITE_REQUIRED</x:v>
      </x:c>
      <x:c r="Y104" t="n">
        <x:v>80</x:v>
      </x:c>
      <x:c r="Z104" t="str">
        <x:v>Success</x:v>
      </x:c>
      <x:c r="AA104"/>
      <x:c r="AB104"/>
      <x:c r="AC104" s="13"/>
      <x:c r="AD104" t="n">
        <x:v>0</x:v>
      </x:c>
      <x:c r="AE104" s="19" t="n">
        <x:v>108660</x:v>
      </x:c>
      <x:c r="AF104" t="str">
        <x:v>deepseek-v4-pro</x:v>
      </x:c>
      <x:c r="AG104" s="20" t="n">
        <x:v>46224.12727030092</x:v>
      </x:c>
      <x:c r="AH104" t="n">
        <x:v>200</x:v>
      </x:c>
    </x:row>
    <x:row r="105">
      <x:c r="A105" s="17" t="str">
        <x:v>104</x:v>
      </x:c>
      <x:c r="B105" t="str">
        <x:v>ZH-BAD-014</x:v>
      </x:c>
      <x:c r="C105" s="17" t="str">
        <x:v>014</x:v>
      </x:c>
      <x:c r="D105" t="str">
        <x:v>Bad</x:v>
      </x:c>
      <x:c r="E105" t="n">
        <x:v>30</x:v>
      </x:c>
      <x:c r="F105" t="n">
        <x:v>49</x:v>
      </x:c>
      <x:c r="G105" t="n">
        <x:v>1</x:v>
      </x:c>
      <x:c r="H105" s="18" t="n">
        <x:v>40</x:v>
      </x:c>
      <x:c r="I105" s="18" t="n">
        <x:v>45</x:v>
      </x:c>
      <x:c r="J105" s="18" t="n">
        <x:v>35</x:v>
      </x:c>
      <x:c r="K105" s="18" t="n">
        <x:v>45</x:v>
      </x:c>
      <x:c r="L105" s="18" t="n">
        <x:v>40</x:v>
      </x:c>
      <x:c r="M105" s="18" t="n">
        <x:v>40</x:v>
      </x:c>
      <x:c r="N105" s="18" t="n">
        <x:v>30</x:v>
      </x:c>
      <x:c r="O105" s="18" t="n">
        <x:v>40</x:v>
      </x:c>
      <x:c r="P105" s="18" t="n">
        <x:v>59</x:v>
      </x:c>
      <x:c r="Q105" t="str">
        <x:v>Yes</x:v>
      </x:c>
      <x:c r="R105" s="18" t="n">
        <x:v>0</x:v>
      </x:c>
      <x:c r="S105" s="18" t="n">
        <x:v>0</x:v>
      </x:c>
      <x:c r="T105" s="18" t="n">
        <x:v>0</x:v>
      </x:c>
      <x:c r="U105" t="str">
        <x:v>Bad</x:v>
      </x:c>
      <x:c r="V105" t="str">
        <x:v>Yes</x:v>
      </x:c>
      <x:c r="W105" t="str">
        <x:v>WEAK</x:v>
      </x:c>
      <x:c r="X105" t="str">
        <x:v>REWRITE_REQUIRED</x:v>
      </x:c>
      <x:c r="Y105" t="n">
        <x:v>80</x:v>
      </x:c>
      <x:c r="Z105" t="str">
        <x:v>Success</x:v>
      </x:c>
      <x:c r="AA105"/>
      <x:c r="AB105"/>
      <x:c r="AC105" s="13"/>
      <x:c r="AD105" t="n">
        <x:v>0</x:v>
      </x:c>
      <x:c r="AE105" s="19" t="n">
        <x:v>72557</x:v>
      </x:c>
      <x:c r="AF105" t="str">
        <x:v>deepseek-v4-pro</x:v>
      </x:c>
      <x:c r="AG105" s="20" t="n">
        <x:v>46224.12811009259</x:v>
      </x:c>
      <x:c r="AH105" t="n">
        <x:v>200</x:v>
      </x:c>
    </x:row>
    <x:row r="106">
      <x:c r="A106" s="17" t="str">
        <x:v>105</x:v>
      </x:c>
      <x:c r="B106" t="str">
        <x:v>ZH-BAD-015</x:v>
      </x:c>
      <x:c r="C106" s="17" t="str">
        <x:v>015</x:v>
      </x:c>
      <x:c r="D106" t="str">
        <x:v>Bad</x:v>
      </x:c>
      <x:c r="E106" t="n">
        <x:v>30</x:v>
      </x:c>
      <x:c r="F106" t="n">
        <x:v>49</x:v>
      </x:c>
      <x:c r="G106" t="n">
        <x:v>1</x:v>
      </x:c>
      <x:c r="H106" s="18" t="n">
        <x:v>44</x:v>
      </x:c>
      <x:c r="I106" s="18" t="n">
        <x:v>52</x:v>
      </x:c>
      <x:c r="J106" s="18" t="n">
        <x:v>40</x:v>
      </x:c>
      <x:c r="K106" s="18" t="n">
        <x:v>50</x:v>
      </x:c>
      <x:c r="L106" s="18" t="n">
        <x:v>40</x:v>
      </x:c>
      <x:c r="M106" s="18" t="n">
        <x:v>40</x:v>
      </x:c>
      <x:c r="N106" s="18" t="n">
        <x:v>30</x:v>
      </x:c>
      <x:c r="O106" s="18" t="n">
        <x:v>44</x:v>
      </x:c>
      <x:c r="P106" s="18" t="n">
        <x:v>59</x:v>
      </x:c>
      <x:c r="Q106" t="str">
        <x:v>Yes</x:v>
      </x:c>
      <x:c r="R106" s="18" t="n">
        <x:v>0</x:v>
      </x:c>
      <x:c r="S106" s="18" t="n">
        <x:v>0</x:v>
      </x:c>
      <x:c r="T106" s="18" t="n">
        <x:v>0</x:v>
      </x:c>
      <x:c r="U106" t="str">
        <x:v>Bad</x:v>
      </x:c>
      <x:c r="V106" t="str">
        <x:v>Yes</x:v>
      </x:c>
      <x:c r="W106" t="str">
        <x:v>WEAK</x:v>
      </x:c>
      <x:c r="X106" t="str">
        <x:v>REWRITE_REQUIRED</x:v>
      </x:c>
      <x:c r="Y106" t="n">
        <x:v>80</x:v>
      </x:c>
      <x:c r="Z106" t="str">
        <x:v>Success</x:v>
      </x:c>
      <x:c r="AA106"/>
      <x:c r="AB106"/>
      <x:c r="AC106" s="13"/>
      <x:c r="AD106" t="n">
        <x:v>0</x:v>
      </x:c>
      <x:c r="AE106" s="19" t="n">
        <x:v>110382</x:v>
      </x:c>
      <x:c r="AF106" t="str">
        <x:v>deepseek-v4-pro</x:v>
      </x:c>
      <x:c r="AG106" s="20" t="n">
        <x:v>46224.129387685185</x:v>
      </x:c>
      <x:c r="AH106" t="n">
        <x:v>200</x:v>
      </x:c>
    </x:row>
    <x:row r="107">
      <x:c r="A107" s="17" t="str">
        <x:v>106</x:v>
      </x:c>
      <x:c r="B107" t="str">
        <x:v>ZH-BAD-016</x:v>
      </x:c>
      <x:c r="C107" s="17" t="str">
        <x:v>016</x:v>
      </x:c>
      <x:c r="D107" t="str">
        <x:v>Bad</x:v>
      </x:c>
      <x:c r="E107" t="n">
        <x:v>30</x:v>
      </x:c>
      <x:c r="F107" t="n">
        <x:v>49</x:v>
      </x:c>
      <x:c r="G107" t="n">
        <x:v>1</x:v>
      </x:c>
      <x:c r="H107" s="18" t="n">
        <x:v>44</x:v>
      </x:c>
      <x:c r="I107" s="18" t="n">
        <x:v>45</x:v>
      </x:c>
      <x:c r="J107" s="18" t="n">
        <x:v>45</x:v>
      </x:c>
      <x:c r="K107" s="18" t="n">
        <x:v>45</x:v>
      </x:c>
      <x:c r="L107" s="18" t="n">
        <x:v>45</x:v>
      </x:c>
      <x:c r="M107" s="18" t="n">
        <x:v>45</x:v>
      </x:c>
      <x:c r="N107" s="18" t="n">
        <x:v>35</x:v>
      </x:c>
      <x:c r="O107" s="18" t="n">
        <x:v>44</x:v>
      </x:c>
      <x:c r="P107" s="18" t="n">
        <x:v>59</x:v>
      </x:c>
      <x:c r="Q107" t="str">
        <x:v>Yes</x:v>
      </x:c>
      <x:c r="R107" s="18" t="n">
        <x:v>0</x:v>
      </x:c>
      <x:c r="S107" s="18" t="n">
        <x:v>0</x:v>
      </x:c>
      <x:c r="T107" s="18" t="n">
        <x:v>0</x:v>
      </x:c>
      <x:c r="U107" t="str">
        <x:v>Bad</x:v>
      </x:c>
      <x:c r="V107" t="str">
        <x:v>Yes</x:v>
      </x:c>
      <x:c r="W107" t="str">
        <x:v>WEAK</x:v>
      </x:c>
      <x:c r="X107" t="str">
        <x:v>REWRITE_REQUIRED</x:v>
      </x:c>
      <x:c r="Y107" t="n">
        <x:v>80</x:v>
      </x:c>
      <x:c r="Z107" t="str">
        <x:v>Success</x:v>
      </x:c>
      <x:c r="AA107"/>
      <x:c r="AB107"/>
      <x:c r="AC107" s="13"/>
      <x:c r="AD107" t="n">
        <x:v>0</x:v>
      </x:c>
      <x:c r="AE107" s="19" t="n">
        <x:v>78241</x:v>
      </x:c>
      <x:c r="AF107" t="str">
        <x:v>deepseek-v4-pro</x:v>
      </x:c>
      <x:c r="AG107" s="20" t="n">
        <x:v>46224.13029325232</x:v>
      </x:c>
      <x:c r="AH107" t="n">
        <x:v>200</x:v>
      </x:c>
    </x:row>
    <x:row r="108">
      <x:c r="A108" s="17" t="str">
        <x:v>107</x:v>
      </x:c>
      <x:c r="B108" t="str">
        <x:v>ZH-BAD-017</x:v>
      </x:c>
      <x:c r="C108" s="17" t="str">
        <x:v>017</x:v>
      </x:c>
      <x:c r="D108" t="str">
        <x:v>Bad</x:v>
      </x:c>
      <x:c r="E108" t="n">
        <x:v>30</x:v>
      </x:c>
      <x:c r="F108" t="n">
        <x:v>49</x:v>
      </x:c>
      <x:c r="G108" t="n">
        <x:v>1</x:v>
      </x:c>
      <x:c r="H108" s="18" t="n">
        <x:v>42</x:v>
      </x:c>
      <x:c r="I108" s="18" t="n">
        <x:v>45</x:v>
      </x:c>
      <x:c r="J108" s="18" t="n">
        <x:v>35</x:v>
      </x:c>
      <x:c r="K108" s="18" t="n">
        <x:v>50</x:v>
      </x:c>
      <x:c r="L108" s="18" t="n">
        <x:v>45</x:v>
      </x:c>
      <x:c r="M108" s="18" t="n">
        <x:v>40</x:v>
      </x:c>
      <x:c r="N108" s="18" t="n">
        <x:v>30</x:v>
      </x:c>
      <x:c r="O108" s="18" t="n">
        <x:v>42</x:v>
      </x:c>
      <x:c r="P108" s="18" t="n">
        <x:v>59</x:v>
      </x:c>
      <x:c r="Q108" t="str">
        <x:v>Yes</x:v>
      </x:c>
      <x:c r="R108" s="18" t="n">
        <x:v>0</x:v>
      </x:c>
      <x:c r="S108" s="18" t="n">
        <x:v>0</x:v>
      </x:c>
      <x:c r="T108" s="18" t="n">
        <x:v>0</x:v>
      </x:c>
      <x:c r="U108" t="str">
        <x:v>Bad</x:v>
      </x:c>
      <x:c r="V108" t="str">
        <x:v>Yes</x:v>
      </x:c>
      <x:c r="W108" t="str">
        <x:v>WEAK</x:v>
      </x:c>
      <x:c r="X108" t="str">
        <x:v>REWRITE_REQUIRED</x:v>
      </x:c>
      <x:c r="Y108" t="n">
        <x:v>80</x:v>
      </x:c>
      <x:c r="Z108" t="str">
        <x:v>Success</x:v>
      </x:c>
      <x:c r="AA108"/>
      <x:c r="AB108"/>
      <x:c r="AC108" s="13"/>
      <x:c r="AD108" t="n">
        <x:v>0</x:v>
      </x:c>
      <x:c r="AE108" s="19" t="n">
        <x:v>82731</x:v>
      </x:c>
      <x:c r="AF108" t="str">
        <x:v>deepseek-v4-pro</x:v>
      </x:c>
      <x:c r="AG108" s="20" t="n">
        <x:v>46224.131250833336</x:v>
      </x:c>
      <x:c r="AH108" t="n">
        <x:v>200</x:v>
      </x:c>
    </x:row>
    <x:row r="109">
      <x:c r="A109" s="17" t="str">
        <x:v>108</x:v>
      </x:c>
      <x:c r="B109" t="str">
        <x:v>ZH-BAD-018</x:v>
      </x:c>
      <x:c r="C109" s="17" t="str">
        <x:v>018</x:v>
      </x:c>
      <x:c r="D109" t="str">
        <x:v>Bad</x:v>
      </x:c>
      <x:c r="E109" t="n">
        <x:v>30</x:v>
      </x:c>
      <x:c r="F109" t="n">
        <x:v>49</x:v>
      </x:c>
      <x:c r="G109" t="n">
        <x:v>1</x:v>
      </x:c>
      <x:c r="H109" s="18" t="n">
        <x:v>44</x:v>
      </x:c>
      <x:c r="I109" s="18" t="n">
        <x:v>45</x:v>
      </x:c>
      <x:c r="J109" s="18" t="n">
        <x:v>40</x:v>
      </x:c>
      <x:c r="K109" s="18" t="n">
        <x:v>62</x:v>
      </x:c>
      <x:c r="L109" s="18" t="n">
        <x:v>40</x:v>
      </x:c>
      <x:c r="M109" s="18" t="n">
        <x:v>45</x:v>
      </x:c>
      <x:c r="N109" s="18" t="n">
        <x:v>30</x:v>
      </x:c>
      <x:c r="O109" s="18" t="n">
        <x:v>44</x:v>
      </x:c>
      <x:c r="P109" s="18" t="n">
        <x:v>59</x:v>
      </x:c>
      <x:c r="Q109" t="str">
        <x:v>Yes</x:v>
      </x:c>
      <x:c r="R109" s="18" t="n">
        <x:v>0</x:v>
      </x:c>
      <x:c r="S109" s="18" t="n">
        <x:v>0</x:v>
      </x:c>
      <x:c r="T109" s="18" t="n">
        <x:v>0</x:v>
      </x:c>
      <x:c r="U109" t="str">
        <x:v>Bad</x:v>
      </x:c>
      <x:c r="V109" t="str">
        <x:v>Yes</x:v>
      </x:c>
      <x:c r="W109" t="str">
        <x:v>WEAK</x:v>
      </x:c>
      <x:c r="X109" t="str">
        <x:v>REWRITE_REQUIRED</x:v>
      </x:c>
      <x:c r="Y109" t="n">
        <x:v>80</x:v>
      </x:c>
      <x:c r="Z109" t="str">
        <x:v>Success</x:v>
      </x:c>
      <x:c r="AA109"/>
      <x:c r="AB109"/>
      <x:c r="AC109" s="13"/>
      <x:c r="AD109" t="n">
        <x:v>0</x:v>
      </x:c>
      <x:c r="AE109" s="19" t="n">
        <x:v>128285</x:v>
      </x:c>
      <x:c r="AF109" t="str">
        <x:v>deepseek-v4-pro</x:v>
      </x:c>
      <x:c r="AG109" s="20" t="n">
        <x:v>46224.13273567129</x:v>
      </x:c>
      <x:c r="AH109" t="n">
        <x:v>200</x:v>
      </x:c>
    </x:row>
    <x:row r="110">
      <x:c r="A110" s="17" t="str">
        <x:v>109</x:v>
      </x:c>
      <x:c r="B110" t="str">
        <x:v>ZH-BAD-019</x:v>
      </x:c>
      <x:c r="C110" s="17" t="str">
        <x:v>019</x:v>
      </x:c>
      <x:c r="D110" t="str">
        <x:v>Bad</x:v>
      </x:c>
      <x:c r="E110" t="n">
        <x:v>30</x:v>
      </x:c>
      <x:c r="F110" t="n">
        <x:v>49</x:v>
      </x:c>
      <x:c r="G110" t="n">
        <x:v>1</x:v>
      </x:c>
      <x:c r="H110" s="18" t="n">
        <x:v>42</x:v>
      </x:c>
      <x:c r="I110" s="18" t="n">
        <x:v>48</x:v>
      </x:c>
      <x:c r="J110" s="18" t="n">
        <x:v>38</x:v>
      </x:c>
      <x:c r="K110" s="18" t="n">
        <x:v>52</x:v>
      </x:c>
      <x:c r="L110" s="18" t="n">
        <x:v>44</x:v>
      </x:c>
      <x:c r="M110" s="18" t="n">
        <x:v>35</x:v>
      </x:c>
      <x:c r="N110" s="18" t="n">
        <x:v>30</x:v>
      </x:c>
      <x:c r="O110" s="18" t="n">
        <x:v>42</x:v>
      </x:c>
      <x:c r="P110" s="18" t="n">
        <x:v>59</x:v>
      </x:c>
      <x:c r="Q110" t="str">
        <x:v>Yes</x:v>
      </x:c>
      <x:c r="R110" s="18" t="n">
        <x:v>0</x:v>
      </x:c>
      <x:c r="S110" s="18" t="n">
        <x:v>0</x:v>
      </x:c>
      <x:c r="T110" s="18" t="n">
        <x:v>0</x:v>
      </x:c>
      <x:c r="U110" t="str">
        <x:v>Bad</x:v>
      </x:c>
      <x:c r="V110" t="str">
        <x:v>Yes</x:v>
      </x:c>
      <x:c r="W110" t="str">
        <x:v>WEAK</x:v>
      </x:c>
      <x:c r="X110" t="str">
        <x:v>REWRITE_REQUIRED</x:v>
      </x:c>
      <x:c r="Y110" t="n">
        <x:v>80</x:v>
      </x:c>
      <x:c r="Z110" t="str">
        <x:v>Success</x:v>
      </x:c>
      <x:c r="AA110"/>
      <x:c r="AB110"/>
      <x:c r="AC110" s="13"/>
      <x:c r="AD110" t="n">
        <x:v>0</x:v>
      </x:c>
      <x:c r="AE110" s="19" t="n">
        <x:v>64943</x:v>
      </x:c>
      <x:c r="AF110" t="str">
        <x:v>deepseek-v4-pro</x:v>
      </x:c>
      <x:c r="AG110" s="20" t="n">
        <x:v>46224.13348736111</x:v>
      </x:c>
      <x:c r="AH110" t="n">
        <x:v>200</x:v>
      </x:c>
    </x:row>
    <x:row r="111">
      <x:c r="A111" s="17" t="str">
        <x:v>110</x:v>
      </x:c>
      <x:c r="B111" t="str">
        <x:v>ZH-BAD-020</x:v>
      </x:c>
      <x:c r="C111" s="17" t="str">
        <x:v>020</x:v>
      </x:c>
      <x:c r="D111" t="str">
        <x:v>Bad</x:v>
      </x:c>
      <x:c r="E111" t="n">
        <x:v>30</x:v>
      </x:c>
      <x:c r="F111" t="n">
        <x:v>49</x:v>
      </x:c>
      <x:c r="G111" t="n">
        <x:v>1</x:v>
      </x:c>
      <x:c r="H111" s="18" t="n">
        <x:v>45</x:v>
      </x:c>
      <x:c r="I111" s="18" t="n">
        <x:v>55</x:v>
      </x:c>
      <x:c r="J111" s="18" t="n">
        <x:v>40</x:v>
      </x:c>
      <x:c r="K111" s="18" t="n">
        <x:v>45</x:v>
      </x:c>
      <x:c r="L111" s="18" t="n">
        <x:v>50</x:v>
      </x:c>
      <x:c r="M111" s="18" t="n">
        <x:v>45</x:v>
      </x:c>
      <x:c r="N111" s="18" t="n">
        <x:v>25</x:v>
      </x:c>
      <x:c r="O111" s="18" t="n">
        <x:v>45</x:v>
      </x:c>
      <x:c r="P111" s="18" t="n">
        <x:v>59</x:v>
      </x:c>
      <x:c r="Q111" t="str">
        <x:v>Yes</x:v>
      </x:c>
      <x:c r="R111" s="18" t="n">
        <x:v>0</x:v>
      </x:c>
      <x:c r="S111" s="18" t="n">
        <x:v>0</x:v>
      </x:c>
      <x:c r="T111" s="18" t="n">
        <x:v>0</x:v>
      </x:c>
      <x:c r="U111" t="str">
        <x:v>Bad</x:v>
      </x:c>
      <x:c r="V111" t="str">
        <x:v>Yes</x:v>
      </x:c>
      <x:c r="W111" t="str">
        <x:v>WEAK</x:v>
      </x:c>
      <x:c r="X111" t="str">
        <x:v>REWRITE_REQUIRED</x:v>
      </x:c>
      <x:c r="Y111" t="n">
        <x:v>80</x:v>
      </x:c>
      <x:c r="Z111" t="str">
        <x:v>Success</x:v>
      </x:c>
      <x:c r="AA111"/>
      <x:c r="AB111"/>
      <x:c r="AC111" s="13"/>
      <x:c r="AD111" t="n">
        <x:v>0</x:v>
      </x:c>
      <x:c r="AE111" s="19" t="n">
        <x:v>73976</x:v>
      </x:c>
      <x:c r="AF111" t="str">
        <x:v>deepseek-v4-pro</x:v>
      </x:c>
      <x:c r="AG111" s="20" t="n">
        <x:v>46224.13434358796</x:v>
      </x:c>
      <x:c r="AH111" t="n">
        <x:v>200</x:v>
      </x:c>
    </x:row>
    <x:row r="112">
      <x:c r="A112" s="17" t="str">
        <x:v>111</x:v>
      </x:c>
      <x:c r="B112" t="str">
        <x:v>ZH-BAD-021</x:v>
      </x:c>
      <x:c r="C112" s="17" t="str">
        <x:v>021</x:v>
      </x:c>
      <x:c r="D112" t="str">
        <x:v>Bad</x:v>
      </x:c>
      <x:c r="E112" t="n">
        <x:v>30</x:v>
      </x:c>
      <x:c r="F112" t="n">
        <x:v>49</x:v>
      </x:c>
      <x:c r="G112" t="n">
        <x:v>1</x:v>
      </x:c>
      <x:c r="H112" s="18" t="n">
        <x:v>42</x:v>
      </x:c>
      <x:c r="I112" s="18" t="n">
        <x:v>45</x:v>
      </x:c>
      <x:c r="J112" s="18" t="n">
        <x:v>35</x:v>
      </x:c>
      <x:c r="K112" s="18" t="n">
        <x:v>48</x:v>
      </x:c>
      <x:c r="L112" s="18" t="n">
        <x:v>40</x:v>
      </x:c>
      <x:c r="M112" s="18" t="n">
        <x:v>42</x:v>
      </x:c>
      <x:c r="N112" s="18" t="n">
        <x:v>45</x:v>
      </x:c>
      <x:c r="O112" s="18" t="n">
        <x:v>42</x:v>
      </x:c>
      <x:c r="P112" s="18" t="n">
        <x:v>59</x:v>
      </x:c>
      <x:c r="Q112" t="str">
        <x:v>Yes</x:v>
      </x:c>
      <x:c r="R112" s="18" t="n">
        <x:v>0</x:v>
      </x:c>
      <x:c r="S112" s="18" t="n">
        <x:v>0</x:v>
      </x:c>
      <x:c r="T112" s="18" t="n">
        <x:v>0</x:v>
      </x:c>
      <x:c r="U112" t="str">
        <x:v>Bad</x:v>
      </x:c>
      <x:c r="V112" t="str">
        <x:v>Yes</x:v>
      </x:c>
      <x:c r="W112" t="str">
        <x:v>WEAK</x:v>
      </x:c>
      <x:c r="X112" t="str">
        <x:v>REWRITE_REQUIRED</x:v>
      </x:c>
      <x:c r="Y112" t="n">
        <x:v>80</x:v>
      </x:c>
      <x:c r="Z112" t="str">
        <x:v>Success</x:v>
      </x:c>
      <x:c r="AA112"/>
      <x:c r="AB112"/>
      <x:c r="AC112" s="13"/>
      <x:c r="AD112" t="n">
        <x:v>0</x:v>
      </x:c>
      <x:c r="AE112" s="19" t="n">
        <x:v>118600</x:v>
      </x:c>
      <x:c r="AF112" t="str">
        <x:v>deepseek-v4-pro</x:v>
      </x:c>
      <x:c r="AG112" s="20" t="n">
        <x:v>46224.13571633102</x:v>
      </x:c>
      <x:c r="AH112" t="n">
        <x:v>200</x:v>
      </x:c>
    </x:row>
    <x:row r="113">
      <x:c r="A113" s="17" t="str">
        <x:v>112</x:v>
      </x:c>
      <x:c r="B113" t="str">
        <x:v>ZH-BAD-022</x:v>
      </x:c>
      <x:c r="C113" s="17" t="str">
        <x:v>022</x:v>
      </x:c>
      <x:c r="D113" t="str">
        <x:v>Bad</x:v>
      </x:c>
      <x:c r="E113" t="n">
        <x:v>30</x:v>
      </x:c>
      <x:c r="F113" t="n">
        <x:v>49</x:v>
      </x:c>
      <x:c r="G113" t="n">
        <x:v>1</x:v>
      </x:c>
      <x:c r="H113" s="18" t="n">
        <x:v>49</x:v>
      </x:c>
      <x:c r="I113" s="18" t="n">
        <x:v>50</x:v>
      </x:c>
      <x:c r="J113" s="18" t="n">
        <x:v>45</x:v>
      </x:c>
      <x:c r="K113" s="18" t="n">
        <x:v>65</x:v>
      </x:c>
      <x:c r="L113" s="18" t="n">
        <x:v>55</x:v>
      </x:c>
      <x:c r="M113" s="18" t="n">
        <x:v>40</x:v>
      </x:c>
      <x:c r="N113" s="18" t="n">
        <x:v>35</x:v>
      </x:c>
      <x:c r="O113" s="18" t="n">
        <x:v>49</x:v>
      </x:c>
      <x:c r="P113" s="18" t="n">
        <x:v>59</x:v>
      </x:c>
      <x:c r="Q113" t="str">
        <x:v>Yes</x:v>
      </x:c>
      <x:c r="R113" s="18" t="n">
        <x:v>0</x:v>
      </x:c>
      <x:c r="S113" s="18" t="n">
        <x:v>0</x:v>
      </x:c>
      <x:c r="T113" s="18" t="n">
        <x:v>0</x:v>
      </x:c>
      <x:c r="U113" t="str">
        <x:v>Bad</x:v>
      </x:c>
      <x:c r="V113" t="str">
        <x:v>Yes</x:v>
      </x:c>
      <x:c r="W113" t="str">
        <x:v>WEAK</x:v>
      </x:c>
      <x:c r="X113" t="str">
        <x:v>REWRITE_REQUIRED</x:v>
      </x:c>
      <x:c r="Y113" t="n">
        <x:v>80</x:v>
      </x:c>
      <x:c r="Z113" t="str">
        <x:v>Success</x:v>
      </x:c>
      <x:c r="AA113"/>
      <x:c r="AB113"/>
      <x:c r="AC113" s="13"/>
      <x:c r="AD113" t="n">
        <x:v>0</x:v>
      </x:c>
      <x:c r="AE113" s="19" t="n">
        <x:v>118453</x:v>
      </x:c>
      <x:c r="AF113" t="str">
        <x:v>deepseek-v4-pro</x:v>
      </x:c>
      <x:c r="AG113" s="20" t="n">
        <x:v>46224.137087337964</x:v>
      </x:c>
      <x:c r="AH113" t="n">
        <x:v>200</x:v>
      </x:c>
    </x:row>
    <x:row r="114">
      <x:c r="A114" s="17" t="str">
        <x:v>113</x:v>
      </x:c>
      <x:c r="B114" t="str">
        <x:v>ZH-BAD-023</x:v>
      </x:c>
      <x:c r="C114" s="17" t="str">
        <x:v>023</x:v>
      </x:c>
      <x:c r="D114" t="str">
        <x:v>Bad</x:v>
      </x:c>
      <x:c r="E114" t="n">
        <x:v>30</x:v>
      </x:c>
      <x:c r="F114" t="n">
        <x:v>49</x:v>
      </x:c>
      <x:c r="G114" t="n">
        <x:v>1</x:v>
      </x:c>
      <x:c r="H114" s="18" t="n">
        <x:v>43</x:v>
      </x:c>
      <x:c r="I114" s="18" t="n">
        <x:v>45</x:v>
      </x:c>
      <x:c r="J114" s="18" t="n">
        <x:v>40</x:v>
      </x:c>
      <x:c r="K114" s="18" t="n">
        <x:v>55</x:v>
      </x:c>
      <x:c r="L114" s="18" t="n">
        <x:v>45</x:v>
      </x:c>
      <x:c r="M114" s="18" t="n">
        <x:v>40</x:v>
      </x:c>
      <x:c r="N114" s="18" t="n">
        <x:v>30</x:v>
      </x:c>
      <x:c r="O114" s="18" t="n">
        <x:v>43</x:v>
      </x:c>
      <x:c r="P114" s="18" t="n">
        <x:v>59</x:v>
      </x:c>
      <x:c r="Q114" t="str">
        <x:v>Yes</x:v>
      </x:c>
      <x:c r="R114" s="18" t="n">
        <x:v>0</x:v>
      </x:c>
      <x:c r="S114" s="18" t="n">
        <x:v>0</x:v>
      </x:c>
      <x:c r="T114" s="18" t="n">
        <x:v>0</x:v>
      </x:c>
      <x:c r="U114" t="str">
        <x:v>Bad</x:v>
      </x:c>
      <x:c r="V114" t="str">
        <x:v>Yes</x:v>
      </x:c>
      <x:c r="W114" t="str">
        <x:v>WEAK</x:v>
      </x:c>
      <x:c r="X114" t="str">
        <x:v>REWRITE_REQUIRED</x:v>
      </x:c>
      <x:c r="Y114" t="n">
        <x:v>80</x:v>
      </x:c>
      <x:c r="Z114" t="str">
        <x:v>Success</x:v>
      </x:c>
      <x:c r="AA114"/>
      <x:c r="AB114"/>
      <x:c r="AC114" s="13"/>
      <x:c r="AD114" t="n">
        <x:v>0</x:v>
      </x:c>
      <x:c r="AE114" s="19" t="n">
        <x:v>79000</x:v>
      </x:c>
      <x:c r="AF114" t="str">
        <x:v>deepseek-v4-pro</x:v>
      </x:c>
      <x:c r="AG114" s="20" t="n">
        <x:v>46224.13800172454</x:v>
      </x:c>
      <x:c r="AH114" t="n">
        <x:v>200</x:v>
      </x:c>
    </x:row>
    <x:row r="115">
      <x:c r="A115" s="17" t="str">
        <x:v>114</x:v>
      </x:c>
      <x:c r="B115" t="str">
        <x:v>ZH-BAD-024</x:v>
      </x:c>
      <x:c r="C115" s="17" t="str">
        <x:v>024</x:v>
      </x:c>
      <x:c r="D115" t="str">
        <x:v>Bad</x:v>
      </x:c>
      <x:c r="E115" t="n">
        <x:v>30</x:v>
      </x:c>
      <x:c r="F115" t="n">
        <x:v>49</x:v>
      </x:c>
      <x:c r="G115" t="n">
        <x:v>1</x:v>
      </x:c>
      <x:c r="H115" s="18" t="n">
        <x:v>39</x:v>
      </x:c>
      <x:c r="I115" s="18" t="n">
        <x:v>45</x:v>
      </x:c>
      <x:c r="J115" s="18" t="n">
        <x:v>40</x:v>
      </x:c>
      <x:c r="K115" s="18" t="n">
        <x:v>60</x:v>
      </x:c>
      <x:c r="L115" s="18" t="n">
        <x:v>45</x:v>
      </x:c>
      <x:c r="M115" s="18" t="n">
        <x:v>35</x:v>
      </x:c>
      <x:c r="N115" s="18" t="n">
        <x:v>20</x:v>
      </x:c>
      <x:c r="O115" s="18" t="n">
        <x:v>42</x:v>
      </x:c>
      <x:c r="P115" s="18" t="n">
        <x:v>39</x:v>
      </x:c>
      <x:c r="Q115" t="str">
        <x:v>Yes</x:v>
      </x:c>
      <x:c r="R115" s="18" t="n">
        <x:v>0</x:v>
      </x:c>
      <x:c r="S115" s="18" t="n">
        <x:v>0</x:v>
      </x:c>
      <x:c r="T115" s="18" t="n">
        <x:v>0</x:v>
      </x:c>
      <x:c r="U115" t="str">
        <x:v>Bad</x:v>
      </x:c>
      <x:c r="V115" t="str">
        <x:v>Yes</x:v>
      </x:c>
      <x:c r="W115" t="str">
        <x:v>SEVERELY_DEFICIENT</x:v>
      </x:c>
      <x:c r="X115" t="str">
        <x:v>REWRITE_REQUIRED</x:v>
      </x:c>
      <x:c r="Y115" t="n">
        <x:v>80</x:v>
      </x:c>
      <x:c r="Z115" t="str">
        <x:v>Success</x:v>
      </x:c>
      <x:c r="AA115"/>
      <x:c r="AB115"/>
      <x:c r="AC115" s="13"/>
      <x:c r="AD115" t="n">
        <x:v>0</x:v>
      </x:c>
      <x:c r="AE115" s="19" t="n">
        <x:v>80576</x:v>
      </x:c>
      <x:c r="AF115" t="str">
        <x:v>deepseek-v4-pro</x:v>
      </x:c>
      <x:c r="AG115" s="20" t="n">
        <x:v>46224.1389343287</x:v>
      </x:c>
      <x:c r="AH115" t="n">
        <x:v>200</x:v>
      </x:c>
    </x:row>
    <x:row r="116">
      <x:c r="A116" s="17" t="str">
        <x:v>115</x:v>
      </x:c>
      <x:c r="B116" t="str">
        <x:v>ZH-BAD-025</x:v>
      </x:c>
      <x:c r="C116" s="17" t="str">
        <x:v>025</x:v>
      </x:c>
      <x:c r="D116" t="str">
        <x:v>Bad</x:v>
      </x:c>
      <x:c r="E116" t="n">
        <x:v>30</x:v>
      </x:c>
      <x:c r="F116" t="n">
        <x:v>49</x:v>
      </x:c>
      <x:c r="G116" t="n">
        <x:v>1</x:v>
      </x:c>
      <x:c r="H116" s="18" t="n">
        <x:v>33</x:v>
      </x:c>
      <x:c r="I116" s="18" t="n">
        <x:v>40</x:v>
      </x:c>
      <x:c r="J116" s="18" t="n">
        <x:v>20</x:v>
      </x:c>
      <x:c r="K116" s="18" t="n">
        <x:v>45</x:v>
      </x:c>
      <x:c r="L116" s="18" t="n">
        <x:v>35</x:v>
      </x:c>
      <x:c r="M116" s="18" t="n">
        <x:v>30</x:v>
      </x:c>
      <x:c r="N116" s="18" t="n">
        <x:v>20</x:v>
      </x:c>
      <x:c r="O116" s="18" t="n">
        <x:v>33</x:v>
      </x:c>
      <x:c r="P116" s="18" t="n">
        <x:v>59</x:v>
      </x:c>
      <x:c r="Q116" t="str">
        <x:v>Yes</x:v>
      </x:c>
      <x:c r="R116" s="18" t="n">
        <x:v>0</x:v>
      </x:c>
      <x:c r="S116" s="18" t="n">
        <x:v>0</x:v>
      </x:c>
      <x:c r="T116" s="18" t="n">
        <x:v>0</x:v>
      </x:c>
      <x:c r="U116" t="str">
        <x:v>Bad</x:v>
      </x:c>
      <x:c r="V116" t="str">
        <x:v>Yes</x:v>
      </x:c>
      <x:c r="W116" t="str">
        <x:v>SEVERELY_DEFICIENT</x:v>
      </x:c>
      <x:c r="X116" t="str">
        <x:v>REWRITE_REQUIRED</x:v>
      </x:c>
      <x:c r="Y116" t="n">
        <x:v>80</x:v>
      </x:c>
      <x:c r="Z116" t="str">
        <x:v>Success</x:v>
      </x:c>
      <x:c r="AA116"/>
      <x:c r="AB116"/>
      <x:c r="AC116" s="13"/>
      <x:c r="AD116" t="n">
        <x:v>0</x:v>
      </x:c>
      <x:c r="AE116" s="19" t="n">
        <x:v>77336</x:v>
      </x:c>
      <x:c r="AF116" t="str">
        <x:v>deepseek-v4-pro</x:v>
      </x:c>
      <x:c r="AG116" s="20" t="n">
        <x:v>46224.139829479165</x:v>
      </x:c>
      <x:c r="AH116" t="n">
        <x:v>200</x:v>
      </x:c>
    </x:row>
    <x:row r="117">
      <x:c r="A117" s="17" t="str">
        <x:v>116</x:v>
      </x:c>
      <x:c r="B117" t="str">
        <x:v>ZH-BAD-026</x:v>
      </x:c>
      <x:c r="C117" s="17" t="str">
        <x:v>026</x:v>
      </x:c>
      <x:c r="D117" t="str">
        <x:v>Bad</x:v>
      </x:c>
      <x:c r="E117" t="n">
        <x:v>30</x:v>
      </x:c>
      <x:c r="F117" t="n">
        <x:v>49</x:v>
      </x:c>
      <x:c r="G117" t="n">
        <x:v>1</x:v>
      </x:c>
      <x:c r="H117" s="18" t="n">
        <x:v>43</x:v>
      </x:c>
      <x:c r="I117" s="18" t="n">
        <x:v>42</x:v>
      </x:c>
      <x:c r="J117" s="18" t="n">
        <x:v>35</x:v>
      </x:c>
      <x:c r="K117" s="18" t="n">
        <x:v>60</x:v>
      </x:c>
      <x:c r="L117" s="18" t="n">
        <x:v>50</x:v>
      </x:c>
      <x:c r="M117" s="18" t="n">
        <x:v>45</x:v>
      </x:c>
      <x:c r="N117" s="18" t="n">
        <x:v>20</x:v>
      </x:c>
      <x:c r="O117" s="18" t="n">
        <x:v>43</x:v>
      </x:c>
      <x:c r="P117" s="18" t="n">
        <x:v>59</x:v>
      </x:c>
      <x:c r="Q117" t="str">
        <x:v>Yes</x:v>
      </x:c>
      <x:c r="R117" s="18" t="n">
        <x:v>0</x:v>
      </x:c>
      <x:c r="S117" s="18" t="n">
        <x:v>0</x:v>
      </x:c>
      <x:c r="T117" s="18" t="n">
        <x:v>0</x:v>
      </x:c>
      <x:c r="U117" t="str">
        <x:v>Bad</x:v>
      </x:c>
      <x:c r="V117" t="str">
        <x:v>Yes</x:v>
      </x:c>
      <x:c r="W117" t="str">
        <x:v>WEAK</x:v>
      </x:c>
      <x:c r="X117" t="str">
        <x:v>REWRITE_REQUIRED</x:v>
      </x:c>
      <x:c r="Y117" t="n">
        <x:v>80</x:v>
      </x:c>
      <x:c r="Z117" t="str">
        <x:v>Success</x:v>
      </x:c>
      <x:c r="AA117"/>
      <x:c r="AB117"/>
      <x:c r="AC117" s="13"/>
      <x:c r="AD117" t="n">
        <x:v>0</x:v>
      </x:c>
      <x:c r="AE117" s="19" t="n">
        <x:v>109303</x:v>
      </x:c>
      <x:c r="AF117" t="str">
        <x:v>deepseek-v4-pro</x:v>
      </x:c>
      <x:c r="AG117" s="20" t="n">
        <x:v>46224.14109456018</x:v>
      </x:c>
      <x:c r="AH117" t="n">
        <x:v>200</x:v>
      </x:c>
    </x:row>
    <x:row r="118">
      <x:c r="A118" s="17" t="str">
        <x:v>117</x:v>
      </x:c>
      <x:c r="B118" t="str">
        <x:v>ZH-BAD-027</x:v>
      </x:c>
      <x:c r="C118" s="17" t="str">
        <x:v>027</x:v>
      </x:c>
      <x:c r="D118" t="str">
        <x:v>Bad</x:v>
      </x:c>
      <x:c r="E118" t="n">
        <x:v>30</x:v>
      </x:c>
      <x:c r="F118" t="n">
        <x:v>49</x:v>
      </x:c>
      <x:c r="G118" t="n">
        <x:v>1</x:v>
      </x:c>
      <x:c r="H118" s="18" t="n">
        <x:v>39</x:v>
      </x:c>
      <x:c r="I118" s="18" t="n">
        <x:v>45</x:v>
      </x:c>
      <x:c r="J118" s="18" t="n">
        <x:v>35</x:v>
      </x:c>
      <x:c r="K118" s="18" t="n">
        <x:v>45</x:v>
      </x:c>
      <x:c r="L118" s="18" t="n">
        <x:v>38</x:v>
      </x:c>
      <x:c r="M118" s="18" t="n">
        <x:v>45</x:v>
      </x:c>
      <x:c r="N118" s="18" t="n">
        <x:v>25</x:v>
      </x:c>
      <x:c r="O118" s="18" t="n">
        <x:v>40</x:v>
      </x:c>
      <x:c r="P118" s="18" t="n">
        <x:v>39</x:v>
      </x:c>
      <x:c r="Q118" t="str">
        <x:v>Yes</x:v>
      </x:c>
      <x:c r="R118" s="18" t="n">
        <x:v>0</x:v>
      </x:c>
      <x:c r="S118" s="18" t="n">
        <x:v>0</x:v>
      </x:c>
      <x:c r="T118" s="18" t="n">
        <x:v>0</x:v>
      </x:c>
      <x:c r="U118" t="str">
        <x:v>Bad</x:v>
      </x:c>
      <x:c r="V118" t="str">
        <x:v>Yes</x:v>
      </x:c>
      <x:c r="W118" t="str">
        <x:v>SEVERELY_DEFICIENT</x:v>
      </x:c>
      <x:c r="X118" t="str">
        <x:v>REWRITE_REQUIRED</x:v>
      </x:c>
      <x:c r="Y118" t="n">
        <x:v>80</x:v>
      </x:c>
      <x:c r="Z118" t="str">
        <x:v>Success</x:v>
      </x:c>
      <x:c r="AA118"/>
      <x:c r="AB118"/>
      <x:c r="AC118" s="13"/>
      <x:c r="AD118" t="n">
        <x:v>0</x:v>
      </x:c>
      <x:c r="AE118" s="19" t="n">
        <x:v>96210</x:v>
      </x:c>
      <x:c r="AF118" t="str">
        <x:v>deepseek-v4-pro</x:v>
      </x:c>
      <x:c r="AG118" s="20" t="n">
        <x:v>46224.142208206016</x:v>
      </x:c>
      <x:c r="AH118" t="n">
        <x:v>200</x:v>
      </x:c>
    </x:row>
    <x:row r="119">
      <x:c r="A119" s="17" t="str">
        <x:v>118</x:v>
      </x:c>
      <x:c r="B119" t="str">
        <x:v>ZH-BAD-028</x:v>
      </x:c>
      <x:c r="C119" s="17" t="str">
        <x:v>028</x:v>
      </x:c>
      <x:c r="D119" t="str">
        <x:v>Bad</x:v>
      </x:c>
      <x:c r="E119" t="n">
        <x:v>30</x:v>
      </x:c>
      <x:c r="F119" t="n">
        <x:v>49</x:v>
      </x:c>
      <x:c r="G119" t="n">
        <x:v>1</x:v>
      </x:c>
      <x:c r="H119" s="18" t="n">
        <x:v>46</x:v>
      </x:c>
      <x:c r="I119" s="18" t="n">
        <x:v>45</x:v>
      </x:c>
      <x:c r="J119" s="18" t="n">
        <x:v>40</x:v>
      </x:c>
      <x:c r="K119" s="18" t="n">
        <x:v>62</x:v>
      </x:c>
      <x:c r="L119" s="18" t="n">
        <x:v>55</x:v>
      </x:c>
      <x:c r="M119" s="18" t="n">
        <x:v>45</x:v>
      </x:c>
      <x:c r="N119" s="18" t="n">
        <x:v>25</x:v>
      </x:c>
      <x:c r="O119" s="18" t="n">
        <x:v>46</x:v>
      </x:c>
      <x:c r="P119" s="18" t="n">
        <x:v>59</x:v>
      </x:c>
      <x:c r="Q119" t="str">
        <x:v>Yes</x:v>
      </x:c>
      <x:c r="R119" s="18" t="n">
        <x:v>0</x:v>
      </x:c>
      <x:c r="S119" s="18" t="n">
        <x:v>0</x:v>
      </x:c>
      <x:c r="T119" s="18" t="n">
        <x:v>0</x:v>
      </x:c>
      <x:c r="U119" t="str">
        <x:v>Bad</x:v>
      </x:c>
      <x:c r="V119" t="str">
        <x:v>Yes</x:v>
      </x:c>
      <x:c r="W119" t="str">
        <x:v>WEAK</x:v>
      </x:c>
      <x:c r="X119" t="str">
        <x:v>REWRITE_REQUIRED</x:v>
      </x:c>
      <x:c r="Y119" t="n">
        <x:v>80</x:v>
      </x:c>
      <x:c r="Z119" t="str">
        <x:v>Success</x:v>
      </x:c>
      <x:c r="AA119"/>
      <x:c r="AB119"/>
      <x:c r="AC119" s="13"/>
      <x:c r="AD119" t="n">
        <x:v>0</x:v>
      </x:c>
      <x:c r="AE119" s="19" t="n">
        <x:v>69724</x:v>
      </x:c>
      <x:c r="AF119" t="str">
        <x:v>deepseek-v4-pro</x:v>
      </x:c>
      <x:c r="AG119" s="20" t="n">
        <x:v>46224.14301523148</x:v>
      </x:c>
      <x:c r="AH119" t="n">
        <x:v>200</x:v>
      </x:c>
    </x:row>
    <x:row r="120">
      <x:c r="A120" s="17" t="str">
        <x:v>119</x:v>
      </x:c>
      <x:c r="B120" t="str">
        <x:v>ZH-BAD-029</x:v>
      </x:c>
      <x:c r="C120" s="17" t="str">
        <x:v>029</x:v>
      </x:c>
      <x:c r="D120" t="str">
        <x:v>Bad</x:v>
      </x:c>
      <x:c r="E120" t="n">
        <x:v>30</x:v>
      </x:c>
      <x:c r="F120" t="n">
        <x:v>49</x:v>
      </x:c>
      <x:c r="G120" t="n">
        <x:v>1</x:v>
      </x:c>
      <x:c r="H120" s="18" t="n">
        <x:v>51</x:v>
      </x:c>
      <x:c r="I120" s="18" t="n">
        <x:v>45</x:v>
      </x:c>
      <x:c r="J120" s="18" t="n">
        <x:v>50</x:v>
      </x:c>
      <x:c r="K120" s="18" t="n">
        <x:v>60</x:v>
      </x:c>
      <x:c r="L120" s="18" t="n">
        <x:v>45</x:v>
      </x:c>
      <x:c r="M120" s="18" t="n">
        <x:v>50</x:v>
      </x:c>
      <x:c r="N120" s="18" t="n">
        <x:v>62</x:v>
      </x:c>
      <x:c r="O120" s="18" t="n">
        <x:v>51</x:v>
      </x:c>
      <x:c r="P120" s="18" t="n">
        <x:v>59</x:v>
      </x:c>
      <x:c r="Q120" t="str">
        <x:v>No</x:v>
      </x:c>
      <x:c r="R120" s="18" t="n">
        <x:v>2</x:v>
      </x:c>
      <x:c r="S120" s="18" t="n">
        <x:v>0</x:v>
      </x:c>
      <x:c r="T120" s="18" t="n">
        <x:v>2</x:v>
      </x:c>
      <x:c r="U120" t="str">
        <x:v>Normal</x:v>
      </x:c>
      <x:c r="V120" t="str">
        <x:v>No</x:v>
      </x:c>
      <x:c r="W120" t="str">
        <x:v>WEAK</x:v>
      </x:c>
      <x:c r="X120" t="str">
        <x:v>REWRITE_REQUIRED</x:v>
      </x:c>
      <x:c r="Y120" t="n">
        <x:v>80</x:v>
      </x:c>
      <x:c r="Z120" t="str">
        <x:v>Success</x:v>
      </x:c>
      <x:c r="AA120"/>
      <x:c r="AB120"/>
      <x:c r="AC120" s="13"/>
      <x:c r="AD120" t="n">
        <x:v>0</x:v>
      </x:c>
      <x:c r="AE120" s="19" t="n">
        <x:v>122747</x:v>
      </x:c>
      <x:c r="AF120" t="str">
        <x:v>deepseek-v4-pro</x:v>
      </x:c>
      <x:c r="AG120" s="20" t="n">
        <x:v>46224.14443600694</x:v>
      </x:c>
      <x:c r="AH120" t="n">
        <x:v>200</x:v>
      </x:c>
    </x:row>
    <x:row r="121">
      <x:c r="A121" s="17" t="str">
        <x:v>120</x:v>
      </x:c>
      <x:c r="B121" t="str">
        <x:v>ZH-BAD-030</x:v>
      </x:c>
      <x:c r="C121" s="17" t="str">
        <x:v>030</x:v>
      </x:c>
      <x:c r="D121" t="str">
        <x:v>Bad</x:v>
      </x:c>
      <x:c r="E121" t="n">
        <x:v>30</x:v>
      </x:c>
      <x:c r="F121" t="n">
        <x:v>49</x:v>
      </x:c>
      <x:c r="G121" t="n">
        <x:v>1</x:v>
      </x:c>
      <x:c r="H121" s="18" t="n">
        <x:v>47</x:v>
      </x:c>
      <x:c r="I121" s="18" t="n">
        <x:v>45</x:v>
      </x:c>
      <x:c r="J121" s="18" t="n">
        <x:v>40</x:v>
      </x:c>
      <x:c r="K121" s="18" t="n">
        <x:v>60</x:v>
      </x:c>
      <x:c r="L121" s="18" t="n">
        <x:v>55</x:v>
      </x:c>
      <x:c r="M121" s="18" t="n">
        <x:v>40</x:v>
      </x:c>
      <x:c r="N121" s="18" t="n">
        <x:v>45</x:v>
      </x:c>
      <x:c r="O121" s="18" t="n">
        <x:v>47</x:v>
      </x:c>
      <x:c r="P121" s="18" t="n">
        <x:v>59</x:v>
      </x:c>
      <x:c r="Q121" t="str">
        <x:v>Yes</x:v>
      </x:c>
      <x:c r="R121" s="18" t="n">
        <x:v>0</x:v>
      </x:c>
      <x:c r="S121" s="18" t="n">
        <x:v>0</x:v>
      </x:c>
      <x:c r="T121" s="18" t="n">
        <x:v>0</x:v>
      </x:c>
      <x:c r="U121" t="str">
        <x:v>Bad</x:v>
      </x:c>
      <x:c r="V121" t="str">
        <x:v>Yes</x:v>
      </x:c>
      <x:c r="W121" t="str">
        <x:v>WEAK</x:v>
      </x:c>
      <x:c r="X121" t="str">
        <x:v>REWRITE_REQUIRED</x:v>
      </x:c>
      <x:c r="Y121" t="n">
        <x:v>80</x:v>
      </x:c>
      <x:c r="Z121" t="str">
        <x:v>Success</x:v>
      </x:c>
      <x:c r="AA121"/>
      <x:c r="AB121"/>
      <x:c r="AC121" s="13"/>
      <x:c r="AD121" t="n">
        <x:v>0</x:v>
      </x:c>
      <x:c r="AE121" s="19" t="n">
        <x:v>104772</x:v>
      </x:c>
      <x:c r="AF121" t="str">
        <x:v>deepseek-v4-pro</x:v>
      </x:c>
      <x:c r="AG121" s="20" t="n">
        <x:v>46224.14564869213</x:v>
      </x:c>
      <x:c r="AH121" t="n">
        <x:v>200</x:v>
      </x:c>
    </x:row>
    <x:row r="122">
      <x:c r="A122" s="17" t="str">
        <x:v>121</x:v>
      </x:c>
      <x:c r="B122" t="str">
        <x:v>ZH-EXTREMELY-BAD-001</x:v>
      </x:c>
      <x:c r="C122" s="17" t="str">
        <x:v>001</x:v>
      </x:c>
      <x:c r="D122" t="str">
        <x:v>Extremely Bad</x:v>
      </x:c>
      <x:c r="E122" t="n">
        <x:v>0</x:v>
      </x:c>
      <x:c r="F122" t="n">
        <x:v>29</x:v>
      </x:c>
      <x:c r="G122" t="n">
        <x:v>1</x:v>
      </x:c>
      <x:c r="H122" s="18" t="n">
        <x:v>10</x:v>
      </x:c>
      <x:c r="I122" s="18" t="n">
        <x:v>15</x:v>
      </x:c>
      <x:c r="J122" s="18" t="n">
        <x:v>5</x:v>
      </x:c>
      <x:c r="K122" s="18" t="n">
        <x:v>15</x:v>
      </x:c>
      <x:c r="L122" s="18" t="n">
        <x:v>10</x:v>
      </x:c>
      <x:c r="M122" s="18" t="n">
        <x:v>10</x:v>
      </x:c>
      <x:c r="N122" s="18" t="n">
        <x:v>0</x:v>
      </x:c>
      <x:c r="O122" s="18" t="n">
        <x:v>10</x:v>
      </x:c>
      <x:c r="P122" s="18" t="n">
        <x:v>39</x:v>
      </x:c>
      <x:c r="Q122" t="str">
        <x:v>Yes</x:v>
      </x:c>
      <x:c r="R122" s="18" t="n">
        <x:v>0</x:v>
      </x:c>
      <x:c r="S122" s="18" t="n">
        <x:v>0</x:v>
      </x:c>
      <x:c r="T122" s="18" t="n">
        <x:v>0</x:v>
      </x:c>
      <x:c r="U122" t="str">
        <x:v>Extremely Bad</x:v>
      </x:c>
      <x:c r="V122" t="str">
        <x:v>Yes</x:v>
      </x:c>
      <x:c r="W122" t="str">
        <x:v>SEVERELY_DEFICIENT</x:v>
      </x:c>
      <x:c r="X122" t="str">
        <x:v>REWRITE_REQUIRED</x:v>
      </x:c>
      <x:c r="Y122" t="n">
        <x:v>80</x:v>
      </x:c>
      <x:c r="Z122" t="str">
        <x:v>Success</x:v>
      </x:c>
      <x:c r="AA122"/>
      <x:c r="AB122"/>
      <x:c r="AC122" s="13"/>
      <x:c r="AD122" t="n">
        <x:v>0</x:v>
      </x:c>
      <x:c r="AE122" s="19" t="n">
        <x:v>70268</x:v>
      </x:c>
      <x:c r="AF122" t="str">
        <x:v>deepseek-v4-pro</x:v>
      </x:c>
      <x:c r="AG122" s="20" t="n">
        <x:v>46223.37081075231</x:v>
      </x:c>
      <x:c r="AH122" t="n">
        <x:v>200</x:v>
      </x:c>
    </x:row>
    <x:row r="123">
      <x:c r="A123" s="17" t="str">
        <x:v>122</x:v>
      </x:c>
      <x:c r="B123" t="str">
        <x:v>ZH-EXTREMELY-BAD-002</x:v>
      </x:c>
      <x:c r="C123" s="17" t="str">
        <x:v>002</x:v>
      </x:c>
      <x:c r="D123" t="str">
        <x:v>Extremely Bad</x:v>
      </x:c>
      <x:c r="E123" t="n">
        <x:v>0</x:v>
      </x:c>
      <x:c r="F123" t="n">
        <x:v>29</x:v>
      </x:c>
      <x:c r="G123" t="n">
        <x:v>1</x:v>
      </x:c>
      <x:c r="H123" s="18" t="n">
        <x:v>17</x:v>
      </x:c>
      <x:c r="I123" s="18" t="n">
        <x:v>20</x:v>
      </x:c>
      <x:c r="J123" s="18" t="n">
        <x:v>15</x:v>
      </x:c>
      <x:c r="K123" s="18" t="n">
        <x:v>20</x:v>
      </x:c>
      <x:c r="L123" s="18" t="n">
        <x:v>20</x:v>
      </x:c>
      <x:c r="M123" s="18" t="n">
        <x:v>15</x:v>
      </x:c>
      <x:c r="N123" s="18" t="n">
        <x:v>10</x:v>
      </x:c>
      <x:c r="O123" s="18" t="n">
        <x:v>17</x:v>
      </x:c>
      <x:c r="P123" s="18" t="n">
        <x:v>39</x:v>
      </x:c>
      <x:c r="Q123" t="str">
        <x:v>Yes</x:v>
      </x:c>
      <x:c r="R123" s="18" t="n">
        <x:v>0</x:v>
      </x:c>
      <x:c r="S123" s="18" t="n">
        <x:v>0</x:v>
      </x:c>
      <x:c r="T123" s="18" t="n">
        <x:v>0</x:v>
      </x:c>
      <x:c r="U123" t="str">
        <x:v>Extremely Bad</x:v>
      </x:c>
      <x:c r="V123" t="str">
        <x:v>Yes</x:v>
      </x:c>
      <x:c r="W123" t="str">
        <x:v>SEVERELY_DEFICIENT</x:v>
      </x:c>
      <x:c r="X123" t="str">
        <x:v>REWRITE_REQUIRED</x:v>
      </x:c>
      <x:c r="Y123" t="n">
        <x:v>80</x:v>
      </x:c>
      <x:c r="Z123" t="str">
        <x:v>Success</x:v>
      </x:c>
      <x:c r="AA123"/>
      <x:c r="AB123"/>
      <x:c r="AC123" s="13"/>
      <x:c r="AD123" t="n">
        <x:v>0</x:v>
      </x:c>
      <x:c r="AE123" s="19" t="n">
        <x:v>49513</x:v>
      </x:c>
      <x:c r="AF123" t="str">
        <x:v>deepseek-v4-pro</x:v>
      </x:c>
      <x:c r="AG123" s="20" t="n">
        <x:v>46224.11433096065</x:v>
      </x:c>
      <x:c r="AH123" t="n">
        <x:v>200</x:v>
      </x:c>
    </x:row>
    <x:row r="124">
      <x:c r="A124" s="17" t="str">
        <x:v>123</x:v>
      </x:c>
      <x:c r="B124" t="str">
        <x:v>ZH-EXTREMELY-BAD-003</x:v>
      </x:c>
      <x:c r="C124" s="17" t="str">
        <x:v>003</x:v>
      </x:c>
      <x:c r="D124" t="str">
        <x:v>Extremely Bad</x:v>
      </x:c>
      <x:c r="E124" t="n">
        <x:v>0</x:v>
      </x:c>
      <x:c r="F124" t="n">
        <x:v>29</x:v>
      </x:c>
      <x:c r="G124" t="n">
        <x:v>1</x:v>
      </x:c>
      <x:c r="H124" s="18" t="n">
        <x:v>14</x:v>
      </x:c>
      <x:c r="I124" s="18" t="n">
        <x:v>15</x:v>
      </x:c>
      <x:c r="J124" s="18" t="n">
        <x:v>15</x:v>
      </x:c>
      <x:c r="K124" s="18" t="n">
        <x:v>15</x:v>
      </x:c>
      <x:c r="L124" s="18" t="n">
        <x:v>15</x:v>
      </x:c>
      <x:c r="M124" s="18" t="n">
        <x:v>15</x:v>
      </x:c>
      <x:c r="N124" s="18" t="n">
        <x:v>0</x:v>
      </x:c>
      <x:c r="O124" s="18" t="n">
        <x:v>14</x:v>
      </x:c>
      <x:c r="P124" s="18" t="n">
        <x:v>39</x:v>
      </x:c>
      <x:c r="Q124" t="str">
        <x:v>Yes</x:v>
      </x:c>
      <x:c r="R124" s="18" t="n">
        <x:v>0</x:v>
      </x:c>
      <x:c r="S124" s="18" t="n">
        <x:v>0</x:v>
      </x:c>
      <x:c r="T124" s="18" t="n">
        <x:v>0</x:v>
      </x:c>
      <x:c r="U124" t="str">
        <x:v>Extremely Bad</x:v>
      </x:c>
      <x:c r="V124" t="str">
        <x:v>Yes</x:v>
      </x:c>
      <x:c r="W124" t="str">
        <x:v>SEVERELY_DEFICIENT</x:v>
      </x:c>
      <x:c r="X124" t="str">
        <x:v>REWRITE_REQUIRED</x:v>
      </x:c>
      <x:c r="Y124" t="n">
        <x:v>80</x:v>
      </x:c>
      <x:c r="Z124" t="str">
        <x:v>Success</x:v>
      </x:c>
      <x:c r="AA124"/>
      <x:c r="AB124"/>
      <x:c r="AC124" s="13"/>
      <x:c r="AD124" t="n">
        <x:v>0</x:v>
      </x:c>
      <x:c r="AE124" s="19" t="n">
        <x:v>106204</x:v>
      </x:c>
      <x:c r="AF124" t="str">
        <x:v>deepseek-v4-pro</x:v>
      </x:c>
      <x:c r="AG124" s="20" t="n">
        <x:v>46224.115560162034</x:v>
      </x:c>
      <x:c r="AH124" t="n">
        <x:v>200</x:v>
      </x:c>
    </x:row>
    <x:row r="125">
      <x:c r="A125" s="17" t="str">
        <x:v>124</x:v>
      </x:c>
      <x:c r="B125" t="str">
        <x:v>ZH-EXTREMELY-BAD-004</x:v>
      </x:c>
      <x:c r="C125" s="17" t="str">
        <x:v>004</x:v>
      </x:c>
      <x:c r="D125" t="str">
        <x:v>Extremely Bad</x:v>
      </x:c>
      <x:c r="E125" t="n">
        <x:v>0</x:v>
      </x:c>
      <x:c r="F125" t="n">
        <x:v>29</x:v>
      </x:c>
      <x:c r="G125" t="n">
        <x:v>1</x:v>
      </x:c>
      <x:c r="H125" s="18" t="n">
        <x:v>10</x:v>
      </x:c>
      <x:c r="I125" s="18" t="n">
        <x:v>15</x:v>
      </x:c>
      <x:c r="J125" s="18" t="n">
        <x:v>5</x:v>
      </x:c>
      <x:c r="K125" s="18" t="n">
        <x:v>10</x:v>
      </x:c>
      <x:c r="L125" s="18" t="n">
        <x:v>10</x:v>
      </x:c>
      <x:c r="M125" s="18" t="n">
        <x:v>10</x:v>
      </x:c>
      <x:c r="N125" s="18" t="n">
        <x:v>5</x:v>
      </x:c>
      <x:c r="O125" s="18" t="n">
        <x:v>10</x:v>
      </x:c>
      <x:c r="P125" s="18" t="n">
        <x:v>39</x:v>
      </x:c>
      <x:c r="Q125" t="str">
        <x:v>Yes</x:v>
      </x:c>
      <x:c r="R125" s="18" t="n">
        <x:v>0</x:v>
      </x:c>
      <x:c r="S125" s="18" t="n">
        <x:v>0</x:v>
      </x:c>
      <x:c r="T125" s="18" t="n">
        <x:v>0</x:v>
      </x:c>
      <x:c r="U125" t="str">
        <x:v>Extremely Bad</x:v>
      </x:c>
      <x:c r="V125" t="str">
        <x:v>Yes</x:v>
      </x:c>
      <x:c r="W125" t="str">
        <x:v>SEVERELY_DEFICIENT</x:v>
      </x:c>
      <x:c r="X125" t="str">
        <x:v>REWRITE_REQUIRED</x:v>
      </x:c>
      <x:c r="Y125" t="n">
        <x:v>80</x:v>
      </x:c>
      <x:c r="Z125" t="str">
        <x:v>Success</x:v>
      </x:c>
      <x:c r="AA125"/>
      <x:c r="AB125"/>
      <x:c r="AC125" s="13"/>
      <x:c r="AD125" t="n">
        <x:v>0</x:v>
      </x:c>
      <x:c r="AE125" s="19" t="n">
        <x:v>62642</x:v>
      </x:c>
      <x:c r="AF125" t="str">
        <x:v>deepseek-v4-pro</x:v>
      </x:c>
      <x:c r="AG125" s="20" t="n">
        <x:v>46224.11628523148</x:v>
      </x:c>
      <x:c r="AH125" t="n">
        <x:v>200</x:v>
      </x:c>
    </x:row>
    <x:row r="126">
      <x:c r="A126" s="17" t="str">
        <x:v>125</x:v>
      </x:c>
      <x:c r="B126" t="str">
        <x:v>ZH-EXTREMELY-BAD-005</x:v>
      </x:c>
      <x:c r="C126" s="17" t="str">
        <x:v>005</x:v>
      </x:c>
      <x:c r="D126" t="str">
        <x:v>Extremely Bad</x:v>
      </x:c>
      <x:c r="E126" t="n">
        <x:v>0</x:v>
      </x:c>
      <x:c r="F126" t="n">
        <x:v>29</x:v>
      </x:c>
      <x:c r="G126" t="n">
        <x:v>1</x:v>
      </x:c>
      <x:c r="H126" s="18" t="n">
        <x:v>20</x:v>
      </x:c>
      <x:c r="I126" s="18" t="n">
        <x:v>20</x:v>
      </x:c>
      <x:c r="J126" s="18" t="n">
        <x:v>20</x:v>
      </x:c>
      <x:c r="K126" s="18" t="n">
        <x:v>20</x:v>
      </x:c>
      <x:c r="L126" s="18" t="n">
        <x:v>25</x:v>
      </x:c>
      <x:c r="M126" s="18" t="n">
        <x:v>20</x:v>
      </x:c>
      <x:c r="N126" s="18" t="n">
        <x:v>10</x:v>
      </x:c>
      <x:c r="O126" s="18" t="n">
        <x:v>20</x:v>
      </x:c>
      <x:c r="P126" s="18" t="n">
        <x:v>39</x:v>
      </x:c>
      <x:c r="Q126" t="str">
        <x:v>Yes</x:v>
      </x:c>
      <x:c r="R126" s="18" t="n">
        <x:v>0</x:v>
      </x:c>
      <x:c r="S126" s="18" t="n">
        <x:v>0</x:v>
      </x:c>
      <x:c r="T126" s="18" t="n">
        <x:v>0</x:v>
      </x:c>
      <x:c r="U126" t="str">
        <x:v>Extremely Bad</x:v>
      </x:c>
      <x:c r="V126" t="str">
        <x:v>Yes</x:v>
      </x:c>
      <x:c r="W126" t="str">
        <x:v>SEVERELY_DEFICIENT</x:v>
      </x:c>
      <x:c r="X126" t="str">
        <x:v>REWRITE_REQUIRED</x:v>
      </x:c>
      <x:c r="Y126" t="n">
        <x:v>80</x:v>
      </x:c>
      <x:c r="Z126" t="str">
        <x:v>Success</x:v>
      </x:c>
      <x:c r="AA126"/>
      <x:c r="AB126"/>
      <x:c r="AC126" s="13"/>
      <x:c r="AD126" t="n">
        <x:v>0</x:v>
      </x:c>
      <x:c r="AE126" s="19" t="n">
        <x:v>78204</x:v>
      </x:c>
      <x:c r="AF126" t="str">
        <x:v>deepseek-v4-pro</x:v>
      </x:c>
      <x:c r="AG126" s="20" t="n">
        <x:v>46224.11719038194</x:v>
      </x:c>
      <x:c r="AH126" t="n">
        <x:v>200</x:v>
      </x:c>
    </x:row>
    <x:row r="127">
      <x:c r="A127" s="17" t="str">
        <x:v>126</x:v>
      </x:c>
      <x:c r="B127" t="str">
        <x:v>ZH-EXTREMELY-BAD-006</x:v>
      </x:c>
      <x:c r="C127" s="17" t="str">
        <x:v>006</x:v>
      </x:c>
      <x:c r="D127" t="str">
        <x:v>Extremely Bad</x:v>
      </x:c>
      <x:c r="E127" t="n">
        <x:v>0</x:v>
      </x:c>
      <x:c r="F127" t="n">
        <x:v>29</x:v>
      </x:c>
      <x:c r="G127" t="n">
        <x:v>1</x:v>
      </x:c>
      <x:c r="H127" s="18" t="n">
        <x:v>14</x:v>
      </x:c>
      <x:c r="I127" s="18" t="n">
        <x:v>15</x:v>
      </x:c>
      <x:c r="J127" s="18" t="n">
        <x:v>10</x:v>
      </x:c>
      <x:c r="K127" s="18" t="n">
        <x:v>15</x:v>
      </x:c>
      <x:c r="L127" s="18" t="n">
        <x:v>20</x:v>
      </x:c>
      <x:c r="M127" s="18" t="n">
        <x:v>15</x:v>
      </x:c>
      <x:c r="N127" s="18" t="n">
        <x:v>5</x:v>
      </x:c>
      <x:c r="O127" s="18" t="n">
        <x:v>14</x:v>
      </x:c>
      <x:c r="P127" s="18" t="n">
        <x:v>39</x:v>
      </x:c>
      <x:c r="Q127" t="str">
        <x:v>Yes</x:v>
      </x:c>
      <x:c r="R127" s="18" t="n">
        <x:v>0</x:v>
      </x:c>
      <x:c r="S127" s="18" t="n">
        <x:v>0</x:v>
      </x:c>
      <x:c r="T127" s="18" t="n">
        <x:v>0</x:v>
      </x:c>
      <x:c r="U127" t="str">
        <x:v>Extremely Bad</x:v>
      </x:c>
      <x:c r="V127" t="str">
        <x:v>Yes</x:v>
      </x:c>
      <x:c r="W127" t="str">
        <x:v>SEVERELY_DEFICIENT</x:v>
      </x:c>
      <x:c r="X127" t="str">
        <x:v>REWRITE_REQUIRED</x:v>
      </x:c>
      <x:c r="Y127" t="n">
        <x:v>80</x:v>
      </x:c>
      <x:c r="Z127" t="str">
        <x:v>Success</x:v>
      </x:c>
      <x:c r="AA127"/>
      <x:c r="AB127"/>
      <x:c r="AC127" s="13"/>
      <x:c r="AD127" t="n">
        <x:v>0</x:v>
      </x:c>
      <x:c r="AE127" s="19" t="n">
        <x:v>80964</x:v>
      </x:c>
      <x:c r="AF127" t="str">
        <x:v>deepseek-v4-pro</x:v>
      </x:c>
      <x:c r="AG127" s="20" t="n">
        <x:v>46224.11812746528</x:v>
      </x:c>
      <x:c r="AH127" t="n">
        <x:v>200</x:v>
      </x:c>
    </x:row>
    <x:row r="128">
      <x:c r="A128" s="17" t="str">
        <x:v>127</x:v>
      </x:c>
      <x:c r="B128" t="str">
        <x:v>ZH-EXTREMELY-BAD-007</x:v>
      </x:c>
      <x:c r="C128" s="17" t="str">
        <x:v>007</x:v>
      </x:c>
      <x:c r="D128" t="str">
        <x:v>Extremely Bad</x:v>
      </x:c>
      <x:c r="E128" t="n">
        <x:v>0</x:v>
      </x:c>
      <x:c r="F128" t="n">
        <x:v>29</x:v>
      </x:c>
      <x:c r="G128" t="n">
        <x:v>1</x:v>
      </x:c>
      <x:c r="H128" s="18" t="n">
        <x:v>17</x:v>
      </x:c>
      <x:c r="I128" s="18" t="n">
        <x:v>20</x:v>
      </x:c>
      <x:c r="J128" s="18" t="n">
        <x:v>10</x:v>
      </x:c>
      <x:c r="K128" s="18" t="n">
        <x:v>15</x:v>
      </x:c>
      <x:c r="L128" s="18" t="n">
        <x:v>25</x:v>
      </x:c>
      <x:c r="M128" s="18" t="n">
        <x:v>20</x:v>
      </x:c>
      <x:c r="N128" s="18" t="n">
        <x:v>10</x:v>
      </x:c>
      <x:c r="O128" s="18" t="n">
        <x:v>17</x:v>
      </x:c>
      <x:c r="P128" s="18" t="n">
        <x:v>39</x:v>
      </x:c>
      <x:c r="Q128" t="str">
        <x:v>Yes</x:v>
      </x:c>
      <x:c r="R128" s="18" t="n">
        <x:v>0</x:v>
      </x:c>
      <x:c r="S128" s="18" t="n">
        <x:v>0</x:v>
      </x:c>
      <x:c r="T128" s="18" t="n">
        <x:v>0</x:v>
      </x:c>
      <x:c r="U128" t="str">
        <x:v>Extremely Bad</x:v>
      </x:c>
      <x:c r="V128" t="str">
        <x:v>Yes</x:v>
      </x:c>
      <x:c r="W128" t="str">
        <x:v>SEVERELY_DEFICIENT</x:v>
      </x:c>
      <x:c r="X128" t="str">
        <x:v>REWRITE_REQUIRED</x:v>
      </x:c>
      <x:c r="Y128" t="n">
        <x:v>80</x:v>
      </x:c>
      <x:c r="Z128" t="str">
        <x:v>Success</x:v>
      </x:c>
      <x:c r="AA128"/>
      <x:c r="AB128"/>
      <x:c r="AC128" s="13"/>
      <x:c r="AD128" t="n">
        <x:v>0</x:v>
      </x:c>
      <x:c r="AE128" s="19" t="n">
        <x:v>92134</x:v>
      </x:c>
      <x:c r="AF128" t="str">
        <x:v>deepseek-v4-pro</x:v>
      </x:c>
      <x:c r="AG128" s="20" t="n">
        <x:v>46224.11919387731</x:v>
      </x:c>
      <x:c r="AH128" t="n">
        <x:v>200</x:v>
      </x:c>
    </x:row>
    <x:row r="129">
      <x:c r="A129" s="17" t="str">
        <x:v>128</x:v>
      </x:c>
      <x:c r="B129" t="str">
        <x:v>ZH-EXTREMELY-BAD-008</x:v>
      </x:c>
      <x:c r="C129" s="17" t="str">
        <x:v>008</x:v>
      </x:c>
      <x:c r="D129" t="str">
        <x:v>Extremely Bad</x:v>
      </x:c>
      <x:c r="E129" t="n">
        <x:v>0</x:v>
      </x:c>
      <x:c r="F129" t="n">
        <x:v>29</x:v>
      </x:c>
      <x:c r="G129" t="n">
        <x:v>1</x:v>
      </x:c>
      <x:c r="H129" s="18" t="n">
        <x:v>26</x:v>
      </x:c>
      <x:c r="I129" s="18" t="n">
        <x:v>30</x:v>
      </x:c>
      <x:c r="J129" s="18" t="n">
        <x:v>20</x:v>
      </x:c>
      <x:c r="K129" s="18" t="n">
        <x:v>35</x:v>
      </x:c>
      <x:c r="L129" s="18" t="n">
        <x:v>30</x:v>
      </x:c>
      <x:c r="M129" s="18" t="n">
        <x:v>25</x:v>
      </x:c>
      <x:c r="N129" s="18" t="n">
        <x:v>10</x:v>
      </x:c>
      <x:c r="O129" s="18" t="n">
        <x:v>26</x:v>
      </x:c>
      <x:c r="P129" s="18" t="n">
        <x:v>59</x:v>
      </x:c>
      <x:c r="Q129" t="str">
        <x:v>Yes</x:v>
      </x:c>
      <x:c r="R129" s="18" t="n">
        <x:v>0</x:v>
      </x:c>
      <x:c r="S129" s="18" t="n">
        <x:v>0</x:v>
      </x:c>
      <x:c r="T129" s="18" t="n">
        <x:v>0</x:v>
      </x:c>
      <x:c r="U129" t="str">
        <x:v>Extremely Bad</x:v>
      </x:c>
      <x:c r="V129" t="str">
        <x:v>Yes</x:v>
      </x:c>
      <x:c r="W129" t="str">
        <x:v>SEVERELY_DEFICIENT</x:v>
      </x:c>
      <x:c r="X129" t="str">
        <x:v>REWRITE_REQUIRED</x:v>
      </x:c>
      <x:c r="Y129" t="n">
        <x:v>80</x:v>
      </x:c>
      <x:c r="Z129" t="str">
        <x:v>Success</x:v>
      </x:c>
      <x:c r="AA129"/>
      <x:c r="AB129"/>
      <x:c r="AC129" s="13"/>
      <x:c r="AD129" t="n">
        <x:v>0</x:v>
      </x:c>
      <x:c r="AE129" s="19" t="n">
        <x:v>90359</x:v>
      </x:c>
      <x:c r="AF129" t="str">
        <x:v>deepseek-v4-pro</x:v>
      </x:c>
      <x:c r="AG129" s="20" t="n">
        <x:v>46224.12023969908</x:v>
      </x:c>
      <x:c r="AH129" t="n">
        <x:v>200</x:v>
      </x:c>
    </x:row>
    <x:row r="130">
      <x:c r="A130" s="17" t="str">
        <x:v>129</x:v>
      </x:c>
      <x:c r="B130" t="str">
        <x:v>ZH-EXTREMELY-BAD-009</x:v>
      </x:c>
      <x:c r="C130" s="17" t="str">
        <x:v>009</x:v>
      </x:c>
      <x:c r="D130" t="str">
        <x:v>Extremely Bad</x:v>
      </x:c>
      <x:c r="E130" t="n">
        <x:v>0</x:v>
      </x:c>
      <x:c r="F130" t="n">
        <x:v>29</x:v>
      </x:c>
      <x:c r="G130" t="n">
        <x:v>1</x:v>
      </x:c>
      <x:c r="H130" s="18" t="n">
        <x:v>15</x:v>
      </x:c>
      <x:c r="I130" s="18" t="n">
        <x:v>10</x:v>
      </x:c>
      <x:c r="J130" s="18" t="n">
        <x:v>5</x:v>
      </x:c>
      <x:c r="K130" s="18" t="n">
        <x:v>15</x:v>
      </x:c>
      <x:c r="L130" s="18" t="n">
        <x:v>40</x:v>
      </x:c>
      <x:c r="M130" s="18" t="n">
        <x:v>15</x:v>
      </x:c>
      <x:c r="N130" s="18" t="n">
        <x:v>5</x:v>
      </x:c>
      <x:c r="O130" s="18" t="n">
        <x:v>15</x:v>
      </x:c>
      <x:c r="P130" s="18" t="n">
        <x:v>39</x:v>
      </x:c>
      <x:c r="Q130" t="str">
        <x:v>Yes</x:v>
      </x:c>
      <x:c r="R130" s="18" t="n">
        <x:v>0</x:v>
      </x:c>
      <x:c r="S130" s="18" t="n">
        <x:v>0</x:v>
      </x:c>
      <x:c r="T130" s="18" t="n">
        <x:v>0</x:v>
      </x:c>
      <x:c r="U130" t="str">
        <x:v>Extremely Bad</x:v>
      </x:c>
      <x:c r="V130" t="str">
        <x:v>Yes</x:v>
      </x:c>
      <x:c r="W130" t="str">
        <x:v>SEVERELY_DEFICIENT</x:v>
      </x:c>
      <x:c r="X130" t="str">
        <x:v>REWRITE_REQUIRED</x:v>
      </x:c>
      <x:c r="Y130" t="n">
        <x:v>80</x:v>
      </x:c>
      <x:c r="Z130" t="str">
        <x:v>Success</x:v>
      </x:c>
      <x:c r="AA130"/>
      <x:c r="AB130"/>
      <x:c r="AC130" s="13"/>
      <x:c r="AD130" t="n">
        <x:v>0</x:v>
      </x:c>
      <x:c r="AE130" s="19" t="n">
        <x:v>84762</x:v>
      </x:c>
      <x:c r="AF130" t="str">
        <x:v>deepseek-v4-pro</x:v>
      </x:c>
      <x:c r="AG130" s="20" t="n">
        <x:v>46224.121220787034</x:v>
      </x:c>
      <x:c r="AH130" t="n">
        <x:v>200</x:v>
      </x:c>
    </x:row>
    <x:row r="131">
      <x:c r="A131" s="17" t="str">
        <x:v>130</x:v>
      </x:c>
      <x:c r="B131" t="str">
        <x:v>ZH-EXTREMELY-BAD-010</x:v>
      </x:c>
      <x:c r="C131" s="17" t="str">
        <x:v>010</x:v>
      </x:c>
      <x:c r="D131" t="str">
        <x:v>Extremely Bad</x:v>
      </x:c>
      <x:c r="E131" t="n">
        <x:v>0</x:v>
      </x:c>
      <x:c r="F131" t="n">
        <x:v>29</x:v>
      </x:c>
      <x:c r="G131" t="n">
        <x:v>1</x:v>
      </x:c>
      <x:c r="H131" s="18" t="n">
        <x:v>29</x:v>
      </x:c>
      <x:c r="I131" s="18" t="n">
        <x:v>30</x:v>
      </x:c>
      <x:c r="J131" s="18" t="n">
        <x:v>20</x:v>
      </x:c>
      <x:c r="K131" s="18" t="n">
        <x:v>45</x:v>
      </x:c>
      <x:c r="L131" s="18" t="n">
        <x:v>40</x:v>
      </x:c>
      <x:c r="M131" s="18" t="n">
        <x:v>25</x:v>
      </x:c>
      <x:c r="N131" s="18" t="n">
        <x:v>10</x:v>
      </x:c>
      <x:c r="O131" s="18" t="n">
        <x:v>29</x:v>
      </x:c>
      <x:c r="P131" s="18" t="n">
        <x:v>39</x:v>
      </x:c>
      <x:c r="Q131" t="str">
        <x:v>Yes</x:v>
      </x:c>
      <x:c r="R131" s="18" t="n">
        <x:v>0</x:v>
      </x:c>
      <x:c r="S131" s="18" t="n">
        <x:v>0</x:v>
      </x:c>
      <x:c r="T131" s="18" t="n">
        <x:v>0</x:v>
      </x:c>
      <x:c r="U131" t="str">
        <x:v>Extremely Bad</x:v>
      </x:c>
      <x:c r="V131" t="str">
        <x:v>Yes</x:v>
      </x:c>
      <x:c r="W131" t="str">
        <x:v>SEVERELY_DEFICIENT</x:v>
      </x:c>
      <x:c r="X131" t="str">
        <x:v>REWRITE_REQUIRED</x:v>
      </x:c>
      <x:c r="Y131" t="n">
        <x:v>80</x:v>
      </x:c>
      <x:c r="Z131" t="str">
        <x:v>Success</x:v>
      </x:c>
      <x:c r="AA131"/>
      <x:c r="AB131"/>
      <x:c r="AC131" s="13"/>
      <x:c r="AD131" t="n">
        <x:v>0</x:v>
      </x:c>
      <x:c r="AE131" s="19" t="n">
        <x:v>147629</x:v>
      </x:c>
      <x:c r="AF131" t="str">
        <x:v>deepseek-v4-pro</x:v>
      </x:c>
      <x:c r="AG131" s="20" t="n">
        <x:v>46224.12292947917</x:v>
      </x:c>
      <x:c r="AH131" t="n">
        <x:v>200</x:v>
      </x:c>
    </x:row>
    <x:row r="132">
      <x:c r="A132" s="17" t="str">
        <x:v>131</x:v>
      </x:c>
      <x:c r="B132" t="str">
        <x:v>ZH-EXTREMELY-BAD-011</x:v>
      </x:c>
      <x:c r="C132" s="17" t="str">
        <x:v>011</x:v>
      </x:c>
      <x:c r="D132" t="str">
        <x:v>Extremely Bad</x:v>
      </x:c>
      <x:c r="E132" t="n">
        <x:v>0</x:v>
      </x:c>
      <x:c r="F132" t="n">
        <x:v>29</x:v>
      </x:c>
      <x:c r="G132" t="n">
        <x:v>1</x:v>
      </x:c>
      <x:c r="H132" s="18" t="n">
        <x:v>13</x:v>
      </x:c>
      <x:c r="I132" s="18" t="n">
        <x:v>20</x:v>
      </x:c>
      <x:c r="J132" s="18" t="n">
        <x:v>15</x:v>
      </x:c>
      <x:c r="K132" s="18" t="n">
        <x:v>10</x:v>
      </x:c>
      <x:c r="L132" s="18" t="n">
        <x:v>10</x:v>
      </x:c>
      <x:c r="M132" s="18" t="n">
        <x:v>10</x:v>
      </x:c>
      <x:c r="N132" s="18" t="n">
        <x:v>5</x:v>
      </x:c>
      <x:c r="O132" s="18" t="n">
        <x:v>13</x:v>
      </x:c>
      <x:c r="P132" s="18" t="n">
        <x:v>39</x:v>
      </x:c>
      <x:c r="Q132" t="str">
        <x:v>Yes</x:v>
      </x:c>
      <x:c r="R132" s="18" t="n">
        <x:v>0</x:v>
      </x:c>
      <x:c r="S132" s="18" t="n">
        <x:v>0</x:v>
      </x:c>
      <x:c r="T132" s="18" t="n">
        <x:v>0</x:v>
      </x:c>
      <x:c r="U132" t="str">
        <x:v>Extremely Bad</x:v>
      </x:c>
      <x:c r="V132" t="str">
        <x:v>Yes</x:v>
      </x:c>
      <x:c r="W132" t="str">
        <x:v>SEVERELY_DEFICIENT</x:v>
      </x:c>
      <x:c r="X132" t="str">
        <x:v>REWRITE_REQUIRED</x:v>
      </x:c>
      <x:c r="Y132" t="n">
        <x:v>80</x:v>
      </x:c>
      <x:c r="Z132" t="str">
        <x:v>Success</x:v>
      </x:c>
      <x:c r="AA132"/>
      <x:c r="AB132"/>
      <x:c r="AC132" s="13"/>
      <x:c r="AD132" t="n">
        <x:v>0</x:v>
      </x:c>
      <x:c r="AE132" s="19" t="n">
        <x:v>112371</x:v>
      </x:c>
      <x:c r="AF132" t="str">
        <x:v>deepseek-v4-pro</x:v>
      </x:c>
      <x:c r="AG132" s="20" t="n">
        <x:v>46224.12423008102</x:v>
      </x:c>
      <x:c r="AH132" t="n">
        <x:v>200</x:v>
      </x:c>
    </x:row>
    <x:row r="133">
      <x:c r="A133" s="17" t="str">
        <x:v>132</x:v>
      </x:c>
      <x:c r="B133" t="str">
        <x:v>ZH-EXTREMELY-BAD-012</x:v>
      </x:c>
      <x:c r="C133" s="17" t="str">
        <x:v>012</x:v>
      </x:c>
      <x:c r="D133" t="str">
        <x:v>Extremely Bad</x:v>
      </x:c>
      <x:c r="E133" t="n">
        <x:v>0</x:v>
      </x:c>
      <x:c r="F133" t="n">
        <x:v>29</x:v>
      </x:c>
      <x:c r="G133" t="n">
        <x:v>1</x:v>
      </x:c>
      <x:c r="H133" s="18" t="n">
        <x:v>25</x:v>
      </x:c>
      <x:c r="I133" s="18" t="n">
        <x:v>30</x:v>
      </x:c>
      <x:c r="J133" s="18" t="n">
        <x:v>20</x:v>
      </x:c>
      <x:c r="K133" s="18" t="n">
        <x:v>25</x:v>
      </x:c>
      <x:c r="L133" s="18" t="n">
        <x:v>30</x:v>
      </x:c>
      <x:c r="M133" s="18" t="n">
        <x:v>25</x:v>
      </x:c>
      <x:c r="N133" s="18" t="n">
        <x:v>15</x:v>
      </x:c>
      <x:c r="O133" s="18" t="n">
        <x:v>25</x:v>
      </x:c>
      <x:c r="P133" s="18" t="n">
        <x:v>39</x:v>
      </x:c>
      <x:c r="Q133" t="str">
        <x:v>Yes</x:v>
      </x:c>
      <x:c r="R133" s="18" t="n">
        <x:v>0</x:v>
      </x:c>
      <x:c r="S133" s="18" t="n">
        <x:v>0</x:v>
      </x:c>
      <x:c r="T133" s="18" t="n">
        <x:v>0</x:v>
      </x:c>
      <x:c r="U133" t="str">
        <x:v>Extremely Bad</x:v>
      </x:c>
      <x:c r="V133" t="str">
        <x:v>Yes</x:v>
      </x:c>
      <x:c r="W133" t="str">
        <x:v>SEVERELY_DEFICIENT</x:v>
      </x:c>
      <x:c r="X133" t="str">
        <x:v>REWRITE_REQUIRED</x:v>
      </x:c>
      <x:c r="Y133" t="n">
        <x:v>80</x:v>
      </x:c>
      <x:c r="Z133" t="str">
        <x:v>Success</x:v>
      </x:c>
      <x:c r="AA133"/>
      <x:c r="AB133"/>
      <x:c r="AC133" s="13"/>
      <x:c r="AD133" t="n">
        <x:v>0</x:v>
      </x:c>
      <x:c r="AE133" s="19" t="n">
        <x:v>76325</x:v>
      </x:c>
      <x:c r="AF133" t="str">
        <x:v>deepseek-v4-pro</x:v>
      </x:c>
      <x:c r="AG133" s="20" t="n">
        <x:v>46224.12511349537</x:v>
      </x:c>
      <x:c r="AH133" t="n">
        <x:v>200</x:v>
      </x:c>
    </x:row>
    <x:row r="134">
      <x:c r="A134" s="17" t="str">
        <x:v>133</x:v>
      </x:c>
      <x:c r="B134" t="str">
        <x:v>ZH-EXTREMELY-BAD-013</x:v>
      </x:c>
      <x:c r="C134" s="17" t="str">
        <x:v>013</x:v>
      </x:c>
      <x:c r="D134" t="str">
        <x:v>Extremely Bad</x:v>
      </x:c>
      <x:c r="E134" t="n">
        <x:v>0</x:v>
      </x:c>
      <x:c r="F134" t="n">
        <x:v>29</x:v>
      </x:c>
      <x:c r="G134" t="n">
        <x:v>1</x:v>
      </x:c>
      <x:c r="H134" s="18" t="n">
        <x:v>22</x:v>
      </x:c>
      <x:c r="I134" s="18" t="n">
        <x:v>30</x:v>
      </x:c>
      <x:c r="J134" s="18" t="n">
        <x:v>20</x:v>
      </x:c>
      <x:c r="K134" s="18" t="n">
        <x:v>20</x:v>
      </x:c>
      <x:c r="L134" s="18" t="n">
        <x:v>25</x:v>
      </x:c>
      <x:c r="M134" s="18" t="n">
        <x:v>20</x:v>
      </x:c>
      <x:c r="N134" s="18" t="n">
        <x:v>10</x:v>
      </x:c>
      <x:c r="O134" s="18" t="n">
        <x:v>22</x:v>
      </x:c>
      <x:c r="P134" s="18" t="n">
        <x:v>39</x:v>
      </x:c>
      <x:c r="Q134" t="str">
        <x:v>Yes</x:v>
      </x:c>
      <x:c r="R134" s="18" t="n">
        <x:v>0</x:v>
      </x:c>
      <x:c r="S134" s="18" t="n">
        <x:v>0</x:v>
      </x:c>
      <x:c r="T134" s="18" t="n">
        <x:v>0</x:v>
      </x:c>
      <x:c r="U134" t="str">
        <x:v>Extremely Bad</x:v>
      </x:c>
      <x:c r="V134" t="str">
        <x:v>Yes</x:v>
      </x:c>
      <x:c r="W134" t="str">
        <x:v>SEVERELY_DEFICIENT</x:v>
      </x:c>
      <x:c r="X134" t="str">
        <x:v>REWRITE_REQUIRED</x:v>
      </x:c>
      <x:c r="Y134" t="n">
        <x:v>80</x:v>
      </x:c>
      <x:c r="Z134" t="str">
        <x:v>Success</x:v>
      </x:c>
      <x:c r="AA134"/>
      <x:c r="AB134"/>
      <x:c r="AC134" s="13"/>
      <x:c r="AD134" t="n">
        <x:v>0</x:v>
      </x:c>
      <x:c r="AE134" s="19" t="n">
        <x:v>72574</x:v>
      </x:c>
      <x:c r="AF134" t="str">
        <x:v>deepseek-v4-pro</x:v>
      </x:c>
      <x:c r="AG134" s="20" t="n">
        <x:v>46224.12595350695</x:v>
      </x:c>
      <x:c r="AH134" t="n">
        <x:v>200</x:v>
      </x:c>
    </x:row>
    <x:row r="135">
      <x:c r="A135" s="17" t="str">
        <x:v>134</x:v>
      </x:c>
      <x:c r="B135" t="str">
        <x:v>ZH-EXTREMELY-BAD-014</x:v>
      </x:c>
      <x:c r="C135" s="17" t="str">
        <x:v>014</x:v>
      </x:c>
      <x:c r="D135" t="str">
        <x:v>Extremely Bad</x:v>
      </x:c>
      <x:c r="E135" t="n">
        <x:v>0</x:v>
      </x:c>
      <x:c r="F135" t="n">
        <x:v>29</x:v>
      </x:c>
      <x:c r="G135" t="n">
        <x:v>1</x:v>
      </x:c>
      <x:c r="H135" s="18" t="n">
        <x:v>28</x:v>
      </x:c>
      <x:c r="I135" s="18" t="n">
        <x:v>35</x:v>
      </x:c>
      <x:c r="J135" s="18" t="n">
        <x:v>30</x:v>
      </x:c>
      <x:c r="K135" s="18" t="n">
        <x:v>30</x:v>
      </x:c>
      <x:c r="L135" s="18" t="n">
        <x:v>25</x:v>
      </x:c>
      <x:c r="M135" s="18" t="n">
        <x:v>25</x:v>
      </x:c>
      <x:c r="N135" s="18" t="n">
        <x:v>10</x:v>
      </x:c>
      <x:c r="O135" s="18" t="n">
        <x:v>28</x:v>
      </x:c>
      <x:c r="P135" s="18" t="n">
        <x:v>59</x:v>
      </x:c>
      <x:c r="Q135" t="str">
        <x:v>Yes</x:v>
      </x:c>
      <x:c r="R135" s="18" t="n">
        <x:v>0</x:v>
      </x:c>
      <x:c r="S135" s="18" t="n">
        <x:v>0</x:v>
      </x:c>
      <x:c r="T135" s="18" t="n">
        <x:v>0</x:v>
      </x:c>
      <x:c r="U135" t="str">
        <x:v>Extremely Bad</x:v>
      </x:c>
      <x:c r="V135" t="str">
        <x:v>Yes</x:v>
      </x:c>
      <x:c r="W135" t="str">
        <x:v>SEVERELY_DEFICIENT</x:v>
      </x:c>
      <x:c r="X135" t="str">
        <x:v>REWRITE_REQUIRED</x:v>
      </x:c>
      <x:c r="Y135" t="n">
        <x:v>80</x:v>
      </x:c>
      <x:c r="Z135" t="str">
        <x:v>Success</x:v>
      </x:c>
      <x:c r="AA135"/>
      <x:c r="AB135"/>
      <x:c r="AC135" s="13"/>
      <x:c r="AD135" t="n">
        <x:v>0</x:v>
      </x:c>
      <x:c r="AE135" s="19" t="n">
        <x:v>123512</x:v>
      </x:c>
      <x:c r="AF135" t="str">
        <x:v>deepseek-v4-pro</x:v>
      </x:c>
      <x:c r="AG135" s="20" t="n">
        <x:v>46224.1273830787</x:v>
      </x:c>
      <x:c r="AH135" t="n">
        <x:v>200</x:v>
      </x:c>
    </x:row>
    <x:row r="136">
      <x:c r="A136" s="17" t="str">
        <x:v>135</x:v>
      </x:c>
      <x:c r="B136" t="str">
        <x:v>ZH-EXTREMELY-BAD-015</x:v>
      </x:c>
      <x:c r="C136" s="17" t="str">
        <x:v>015</x:v>
      </x:c>
      <x:c r="D136" t="str">
        <x:v>Extremely Bad</x:v>
      </x:c>
      <x:c r="E136" t="n">
        <x:v>0</x:v>
      </x:c>
      <x:c r="F136" t="n">
        <x:v>29</x:v>
      </x:c>
      <x:c r="G136" t="n">
        <x:v>1</x:v>
      </x:c>
      <x:c r="H136" s="18" t="n">
        <x:v>20</x:v>
      </x:c>
      <x:c r="I136" s="18" t="n">
        <x:v>25</x:v>
      </x:c>
      <x:c r="J136" s="18" t="n">
        <x:v>20</x:v>
      </x:c>
      <x:c r="K136" s="18" t="n">
        <x:v>20</x:v>
      </x:c>
      <x:c r="L136" s="18" t="n">
        <x:v>20</x:v>
      </x:c>
      <x:c r="M136" s="18" t="n">
        <x:v>20</x:v>
      </x:c>
      <x:c r="N136" s="18" t="n">
        <x:v>10</x:v>
      </x:c>
      <x:c r="O136" s="18" t="n">
        <x:v>20</x:v>
      </x:c>
      <x:c r="P136" s="18" t="n">
        <x:v>59</x:v>
      </x:c>
      <x:c r="Q136" t="str">
        <x:v>Yes</x:v>
      </x:c>
      <x:c r="R136" s="18" t="n">
        <x:v>0</x:v>
      </x:c>
      <x:c r="S136" s="18" t="n">
        <x:v>0</x:v>
      </x:c>
      <x:c r="T136" s="18" t="n">
        <x:v>0</x:v>
      </x:c>
      <x:c r="U136" t="str">
        <x:v>Extremely Bad</x:v>
      </x:c>
      <x:c r="V136" t="str">
        <x:v>Yes</x:v>
      </x:c>
      <x:c r="W136" t="str">
        <x:v>SEVERELY_DEFICIENT</x:v>
      </x:c>
      <x:c r="X136" t="str">
        <x:v>REWRITE_REQUIRED</x:v>
      </x:c>
      <x:c r="Y136" t="n">
        <x:v>80</x:v>
      </x:c>
      <x:c r="Z136" t="str">
        <x:v>Success</x:v>
      </x:c>
      <x:c r="AA136"/>
      <x:c r="AB136"/>
      <x:c r="AC136" s="13"/>
      <x:c r="AD136" t="n">
        <x:v>0</x:v>
      </x:c>
      <x:c r="AE136" s="19" t="n">
        <x:v>102654</x:v>
      </x:c>
      <x:c r="AF136" t="str">
        <x:v>deepseek-v4-pro</x:v>
      </x:c>
      <x:c r="AG136" s="20" t="n">
        <x:v>46224.128571203706</x:v>
      </x:c>
      <x:c r="AH136" t="n">
        <x:v>200</x:v>
      </x:c>
    </x:row>
    <x:row r="137">
      <x:c r="A137" s="17" t="str">
        <x:v>136</x:v>
      </x:c>
      <x:c r="B137" t="str">
        <x:v>ZH-EXTREMELY-BAD-016</x:v>
      </x:c>
      <x:c r="C137" s="17" t="str">
        <x:v>016</x:v>
      </x:c>
      <x:c r="D137" t="str">
        <x:v>Extremely Bad</x:v>
      </x:c>
      <x:c r="E137" t="n">
        <x:v>0</x:v>
      </x:c>
      <x:c r="F137" t="n">
        <x:v>29</x:v>
      </x:c>
      <x:c r="G137" t="n">
        <x:v>1</x:v>
      </x:c>
      <x:c r="H137" s="18" t="n">
        <x:v>22</x:v>
      </x:c>
      <x:c r="I137" s="18" t="n">
        <x:v>30</x:v>
      </x:c>
      <x:c r="J137" s="18" t="n">
        <x:v>20</x:v>
      </x:c>
      <x:c r="K137" s="18" t="n">
        <x:v>20</x:v>
      </x:c>
      <x:c r="L137" s="18" t="n">
        <x:v>20</x:v>
      </x:c>
      <x:c r="M137" s="18" t="n">
        <x:v>20</x:v>
      </x:c>
      <x:c r="N137" s="18" t="n">
        <x:v>10</x:v>
      </x:c>
      <x:c r="O137" s="18" t="n">
        <x:v>22</x:v>
      </x:c>
      <x:c r="P137" s="18" t="n">
        <x:v>59</x:v>
      </x:c>
      <x:c r="Q137" t="str">
        <x:v>Yes</x:v>
      </x:c>
      <x:c r="R137" s="18" t="n">
        <x:v>0</x:v>
      </x:c>
      <x:c r="S137" s="18" t="n">
        <x:v>0</x:v>
      </x:c>
      <x:c r="T137" s="18" t="n">
        <x:v>0</x:v>
      </x:c>
      <x:c r="U137" t="str">
        <x:v>Extremely Bad</x:v>
      </x:c>
      <x:c r="V137" t="str">
        <x:v>Yes</x:v>
      </x:c>
      <x:c r="W137" t="str">
        <x:v>SEVERELY_DEFICIENT</x:v>
      </x:c>
      <x:c r="X137" t="str">
        <x:v>REWRITE_REQUIRED</x:v>
      </x:c>
      <x:c r="Y137" t="n">
        <x:v>80</x:v>
      </x:c>
      <x:c r="Z137" t="str">
        <x:v>Success</x:v>
      </x:c>
      <x:c r="AA137"/>
      <x:c r="AB137"/>
      <x:c r="AC137" s="13"/>
      <x:c r="AD137" t="n">
        <x:v>0</x:v>
      </x:c>
      <x:c r="AE137" s="19" t="n">
        <x:v>97452</x:v>
      </x:c>
      <x:c r="AF137" t="str">
        <x:v>deepseek-v4-pro</x:v>
      </x:c>
      <x:c r="AG137" s="20" t="n">
        <x:v>46224.129699178244</x:v>
      </x:c>
      <x:c r="AH137" t="n">
        <x:v>200</x:v>
      </x:c>
    </x:row>
    <x:row r="138">
      <x:c r="A138" s="17" t="str">
        <x:v>137</x:v>
      </x:c>
      <x:c r="B138" t="str">
        <x:v>ZH-EXTREMELY-BAD-017</x:v>
      </x:c>
      <x:c r="C138" s="17" t="str">
        <x:v>017</x:v>
      </x:c>
      <x:c r="D138" t="str">
        <x:v>Extremely Bad</x:v>
      </x:c>
      <x:c r="E138" t="n">
        <x:v>0</x:v>
      </x:c>
      <x:c r="F138" t="n">
        <x:v>29</x:v>
      </x:c>
      <x:c r="G138" t="n">
        <x:v>1</x:v>
      </x:c>
      <x:c r="H138" s="18" t="n">
        <x:v>17</x:v>
      </x:c>
      <x:c r="I138" s="18" t="n">
        <x:v>20</x:v>
      </x:c>
      <x:c r="J138" s="18" t="n">
        <x:v>15</x:v>
      </x:c>
      <x:c r="K138" s="18" t="n">
        <x:v>20</x:v>
      </x:c>
      <x:c r="L138" s="18" t="n">
        <x:v>20</x:v>
      </x:c>
      <x:c r="M138" s="18" t="n">
        <x:v>15</x:v>
      </x:c>
      <x:c r="N138" s="18" t="n">
        <x:v>10</x:v>
      </x:c>
      <x:c r="O138" s="18" t="n">
        <x:v>17</x:v>
      </x:c>
      <x:c r="P138" s="18" t="n">
        <x:v>39</x:v>
      </x:c>
      <x:c r="Q138" t="str">
        <x:v>Yes</x:v>
      </x:c>
      <x:c r="R138" s="18" t="n">
        <x:v>0</x:v>
      </x:c>
      <x:c r="S138" s="18" t="n">
        <x:v>0</x:v>
      </x:c>
      <x:c r="T138" s="18" t="n">
        <x:v>0</x:v>
      </x:c>
      <x:c r="U138" t="str">
        <x:v>Extremely Bad</x:v>
      </x:c>
      <x:c r="V138" t="str">
        <x:v>Yes</x:v>
      </x:c>
      <x:c r="W138" t="str">
        <x:v>SEVERELY_DEFICIENT</x:v>
      </x:c>
      <x:c r="X138" t="str">
        <x:v>REWRITE_REQUIRED</x:v>
      </x:c>
      <x:c r="Y138" t="n">
        <x:v>80</x:v>
      </x:c>
      <x:c r="Z138" t="str">
        <x:v>Success</x:v>
      </x:c>
      <x:c r="AA138"/>
      <x:c r="AB138"/>
      <x:c r="AC138" s="13"/>
      <x:c r="AD138" t="n">
        <x:v>0</x:v>
      </x:c>
      <x:c r="AE138" s="19" t="n">
        <x:v>95303</x:v>
      </x:c>
      <x:c r="AF138" t="str">
        <x:v>deepseek-v4-pro</x:v>
      </x:c>
      <x:c r="AG138" s="20" t="n">
        <x:v>46224.13080225694</x:v>
      </x:c>
      <x:c r="AH138" t="n">
        <x:v>200</x:v>
      </x:c>
    </x:row>
    <x:row r="139">
      <x:c r="A139" s="17" t="str">
        <x:v>138</x:v>
      </x:c>
      <x:c r="B139" t="str">
        <x:v>ZH-EXTREMELY-BAD-018</x:v>
      </x:c>
      <x:c r="C139" s="17" t="str">
        <x:v>018</x:v>
      </x:c>
      <x:c r="D139" t="str">
        <x:v>Extremely Bad</x:v>
      </x:c>
      <x:c r="E139" t="n">
        <x:v>0</x:v>
      </x:c>
      <x:c r="F139" t="n">
        <x:v>29</x:v>
      </x:c>
      <x:c r="G139" t="n">
        <x:v>1</x:v>
      </x:c>
      <x:c r="H139" s="18" t="n">
        <x:v>20</x:v>
      </x:c>
      <x:c r="I139" s="18" t="n">
        <x:v>25</x:v>
      </x:c>
      <x:c r="J139" s="18" t="n">
        <x:v>15</x:v>
      </x:c>
      <x:c r="K139" s="18" t="n">
        <x:v>20</x:v>
      </x:c>
      <x:c r="L139" s="18" t="n">
        <x:v>25</x:v>
      </x:c>
      <x:c r="M139" s="18" t="n">
        <x:v>20</x:v>
      </x:c>
      <x:c r="N139" s="18" t="n">
        <x:v>5</x:v>
      </x:c>
      <x:c r="O139" s="18" t="n">
        <x:v>20</x:v>
      </x:c>
      <x:c r="P139" s="18" t="n">
        <x:v>59</x:v>
      </x:c>
      <x:c r="Q139" t="str">
        <x:v>Yes</x:v>
      </x:c>
      <x:c r="R139" s="18" t="n">
        <x:v>0</x:v>
      </x:c>
      <x:c r="S139" s="18" t="n">
        <x:v>0</x:v>
      </x:c>
      <x:c r="T139" s="18" t="n">
        <x:v>0</x:v>
      </x:c>
      <x:c r="U139" t="str">
        <x:v>Extremely Bad</x:v>
      </x:c>
      <x:c r="V139" t="str">
        <x:v>Yes</x:v>
      </x:c>
      <x:c r="W139" t="str">
        <x:v>SEVERELY_DEFICIENT</x:v>
      </x:c>
      <x:c r="X139" t="str">
        <x:v>REWRITE_REQUIRED</x:v>
      </x:c>
      <x:c r="Y139" t="n">
        <x:v>80</x:v>
      </x:c>
      <x:c r="Z139" t="str">
        <x:v>Success</x:v>
      </x:c>
      <x:c r="AA139"/>
      <x:c r="AB139"/>
      <x:c r="AC139" s="13"/>
      <x:c r="AD139" t="n">
        <x:v>0</x:v>
      </x:c>
      <x:c r="AE139" s="19" t="n">
        <x:v>71459</x:v>
      </x:c>
      <x:c r="AF139" t="str">
        <x:v>deepseek-v4-pro</x:v>
      </x:c>
      <x:c r="AG139" s="20" t="n">
        <x:v>46224.131629375</x:v>
      </x:c>
      <x:c r="AH139" t="n">
        <x:v>200</x:v>
      </x:c>
    </x:row>
    <x:row r="140">
      <x:c r="A140" s="17" t="str">
        <x:v>139</x:v>
      </x:c>
      <x:c r="B140" t="str">
        <x:v>ZH-EXTREMELY-BAD-019</x:v>
      </x:c>
      <x:c r="C140" s="17" t="str">
        <x:v>019</x:v>
      </x:c>
      <x:c r="D140" t="str">
        <x:v>Extremely Bad</x:v>
      </x:c>
      <x:c r="E140" t="n">
        <x:v>0</x:v>
      </x:c>
      <x:c r="F140" t="n">
        <x:v>29</x:v>
      </x:c>
      <x:c r="G140" t="n">
        <x:v>1</x:v>
      </x:c>
      <x:c r="H140" s="18" t="n">
        <x:v>19</x:v>
      </x:c>
      <x:c r="I140" s="18" t="n">
        <x:v>20</x:v>
      </x:c>
      <x:c r="J140" s="18" t="n">
        <x:v>20</x:v>
      </x:c>
      <x:c r="K140" s="18" t="n">
        <x:v>20</x:v>
      </x:c>
      <x:c r="L140" s="18" t="n">
        <x:v>20</x:v>
      </x:c>
      <x:c r="M140" s="18" t="n">
        <x:v>20</x:v>
      </x:c>
      <x:c r="N140" s="18" t="n">
        <x:v>10</x:v>
      </x:c>
      <x:c r="O140" s="18" t="n">
        <x:v>19</x:v>
      </x:c>
      <x:c r="P140" s="18" t="n">
        <x:v>39</x:v>
      </x:c>
      <x:c r="Q140" t="str">
        <x:v>Yes</x:v>
      </x:c>
      <x:c r="R140" s="18" t="n">
        <x:v>0</x:v>
      </x:c>
      <x:c r="S140" s="18" t="n">
        <x:v>0</x:v>
      </x:c>
      <x:c r="T140" s="18" t="n">
        <x:v>0</x:v>
      </x:c>
      <x:c r="U140" t="str">
        <x:v>Extremely Bad</x:v>
      </x:c>
      <x:c r="V140" t="str">
        <x:v>Yes</x:v>
      </x:c>
      <x:c r="W140" t="str">
        <x:v>SEVERELY_DEFICIENT</x:v>
      </x:c>
      <x:c r="X140" t="str">
        <x:v>REWRITE_REQUIRED</x:v>
      </x:c>
      <x:c r="Y140" t="n">
        <x:v>80</x:v>
      </x:c>
      <x:c r="Z140" t="str">
        <x:v>Success</x:v>
      </x:c>
      <x:c r="AA140"/>
      <x:c r="AB140"/>
      <x:c r="AC140" s="13"/>
      <x:c r="AD140" t="n">
        <x:v>0</x:v>
      </x:c>
      <x:c r="AE140" s="19" t="n">
        <x:v>64692</x:v>
      </x:c>
      <x:c r="AF140" t="str">
        <x:v>deepseek-v4-pro</x:v>
      </x:c>
      <x:c r="AG140" s="20" t="n">
        <x:v>46224.13237813657</x:v>
      </x:c>
      <x:c r="AH140" t="n">
        <x:v>200</x:v>
      </x:c>
    </x:row>
    <x:row r="141">
      <x:c r="A141" s="17" t="str">
        <x:v>140</x:v>
      </x:c>
      <x:c r="B141" t="str">
        <x:v>ZH-EXTREMELY-BAD-020</x:v>
      </x:c>
      <x:c r="C141" s="17" t="str">
        <x:v>020</x:v>
      </x:c>
      <x:c r="D141" t="str">
        <x:v>Extremely Bad</x:v>
      </x:c>
      <x:c r="E141" t="n">
        <x:v>0</x:v>
      </x:c>
      <x:c r="F141" t="n">
        <x:v>29</x:v>
      </x:c>
      <x:c r="G141" t="n">
        <x:v>1</x:v>
      </x:c>
      <x:c r="H141" s="18" t="n">
        <x:v>15</x:v>
      </x:c>
      <x:c r="I141" s="18" t="n">
        <x:v>25</x:v>
      </x:c>
      <x:c r="J141" s="18" t="n">
        <x:v>10</x:v>
      </x:c>
      <x:c r="K141" s="18" t="n">
        <x:v>10</x:v>
      </x:c>
      <x:c r="L141" s="18" t="n">
        <x:v>10</x:v>
      </x:c>
      <x:c r="M141" s="18" t="n">
        <x:v>15</x:v>
      </x:c>
      <x:c r="N141" s="18" t="n">
        <x:v>10</x:v>
      </x:c>
      <x:c r="O141" s="18" t="n">
        <x:v>15</x:v>
      </x:c>
      <x:c r="P141" s="18" t="n">
        <x:v>39</x:v>
      </x:c>
      <x:c r="Q141" t="str">
        <x:v>Yes</x:v>
      </x:c>
      <x:c r="R141" s="18" t="n">
        <x:v>0</x:v>
      </x:c>
      <x:c r="S141" s="18" t="n">
        <x:v>0</x:v>
      </x:c>
      <x:c r="T141" s="18" t="n">
        <x:v>0</x:v>
      </x:c>
      <x:c r="U141" t="str">
        <x:v>Extremely Bad</x:v>
      </x:c>
      <x:c r="V141" t="str">
        <x:v>Yes</x:v>
      </x:c>
      <x:c r="W141" t="str">
        <x:v>SEVERELY_DEFICIENT</x:v>
      </x:c>
      <x:c r="X141" t="str">
        <x:v>REWRITE_REQUIRED</x:v>
      </x:c>
      <x:c r="Y141" t="n">
        <x:v>80</x:v>
      </x:c>
      <x:c r="Z141" t="str">
        <x:v>Success</x:v>
      </x:c>
      <x:c r="AA141"/>
      <x:c r="AB141"/>
      <x:c r="AC141" s="13"/>
      <x:c r="AD141" t="n">
        <x:v>0</x:v>
      </x:c>
      <x:c r="AE141" s="19" t="n">
        <x:v>71299</x:v>
      </x:c>
      <x:c r="AF141" t="str">
        <x:v>deepseek-v4-pro</x:v>
      </x:c>
      <x:c r="AG141" s="20" t="n">
        <x:v>46224.13320337963</x:v>
      </x:c>
      <x:c r="AH141" t="n">
        <x:v>200</x:v>
      </x:c>
    </x:row>
    <x:row r="142">
      <x:c r="A142" s="17" t="str">
        <x:v>141</x:v>
      </x:c>
      <x:c r="B142" t="str">
        <x:v>ZH-EXTREMELY-BAD-021</x:v>
      </x:c>
      <x:c r="C142" s="17" t="str">
        <x:v>021</x:v>
      </x:c>
      <x:c r="D142" t="str">
        <x:v>Extremely Bad</x:v>
      </x:c>
      <x:c r="E142" t="n">
        <x:v>0</x:v>
      </x:c>
      <x:c r="F142" t="n">
        <x:v>29</x:v>
      </x:c>
      <x:c r="G142" t="n">
        <x:v>1</x:v>
      </x:c>
      <x:c r="H142" s="18" t="n">
        <x:v>19</x:v>
      </x:c>
      <x:c r="I142" s="18" t="n">
        <x:v>20</x:v>
      </x:c>
      <x:c r="J142" s="18" t="n">
        <x:v>15</x:v>
      </x:c>
      <x:c r="K142" s="18" t="n">
        <x:v>20</x:v>
      </x:c>
      <x:c r="L142" s="18" t="n">
        <x:v>15</x:v>
      </x:c>
      <x:c r="M142" s="18" t="n">
        <x:v>20</x:v>
      </x:c>
      <x:c r="N142" s="18" t="n">
        <x:v>25</x:v>
      </x:c>
      <x:c r="O142" s="18" t="n">
        <x:v>19</x:v>
      </x:c>
      <x:c r="P142" s="18" t="n">
        <x:v>39</x:v>
      </x:c>
      <x:c r="Q142" t="str">
        <x:v>Yes</x:v>
      </x:c>
      <x:c r="R142" s="18" t="n">
        <x:v>0</x:v>
      </x:c>
      <x:c r="S142" s="18" t="n">
        <x:v>0</x:v>
      </x:c>
      <x:c r="T142" s="18" t="n">
        <x:v>0</x:v>
      </x:c>
      <x:c r="U142" t="str">
        <x:v>Extremely Bad</x:v>
      </x:c>
      <x:c r="V142" t="str">
        <x:v>Yes</x:v>
      </x:c>
      <x:c r="W142" t="str">
        <x:v>SEVERELY_DEFICIENT</x:v>
      </x:c>
      <x:c r="X142" t="str">
        <x:v>REWRITE_REQUIRED</x:v>
      </x:c>
      <x:c r="Y142" t="n">
        <x:v>80</x:v>
      </x:c>
      <x:c r="Z142" t="str">
        <x:v>Success</x:v>
      </x:c>
      <x:c r="AA142"/>
      <x:c r="AB142"/>
      <x:c r="AC142" s="13"/>
      <x:c r="AD142" t="n">
        <x:v>0</x:v>
      </x:c>
      <x:c r="AE142" s="19" t="n">
        <x:v>73947</x:v>
      </x:c>
      <x:c r="AF142" t="str">
        <x:v>deepseek-v4-pro</x:v>
      </x:c>
      <x:c r="AG142" s="20" t="n">
        <x:v>46224.13405925926</x:v>
      </x:c>
      <x:c r="AH142" t="n">
        <x:v>200</x:v>
      </x:c>
    </x:row>
    <x:row r="143">
      <x:c r="A143" s="17" t="str">
        <x:v>142</x:v>
      </x:c>
      <x:c r="B143" t="str">
        <x:v>ZH-EXTREMELY-BAD-022</x:v>
      </x:c>
      <x:c r="C143" s="17" t="str">
        <x:v>022</x:v>
      </x:c>
      <x:c r="D143" t="str">
        <x:v>Extremely Bad</x:v>
      </x:c>
      <x:c r="E143" t="n">
        <x:v>0</x:v>
      </x:c>
      <x:c r="F143" t="n">
        <x:v>29</x:v>
      </x:c>
      <x:c r="G143" t="n">
        <x:v>1</x:v>
      </x:c>
      <x:c r="H143" s="18" t="n">
        <x:v>24</x:v>
      </x:c>
      <x:c r="I143" s="18" t="n">
        <x:v>30</x:v>
      </x:c>
      <x:c r="J143" s="18" t="n">
        <x:v>25</x:v>
      </x:c>
      <x:c r="K143" s="18" t="n">
        <x:v>20</x:v>
      </x:c>
      <x:c r="L143" s="18" t="n">
        <x:v>20</x:v>
      </x:c>
      <x:c r="M143" s="18" t="n">
        <x:v>20</x:v>
      </x:c>
      <x:c r="N143" s="18" t="n">
        <x:v>25</x:v>
      </x:c>
      <x:c r="O143" s="18" t="n">
        <x:v>24</x:v>
      </x:c>
      <x:c r="P143" s="18" t="n">
        <x:v>39</x:v>
      </x:c>
      <x:c r="Q143" t="str">
        <x:v>Yes</x:v>
      </x:c>
      <x:c r="R143" s="18" t="n">
        <x:v>0</x:v>
      </x:c>
      <x:c r="S143" s="18" t="n">
        <x:v>0</x:v>
      </x:c>
      <x:c r="T143" s="18" t="n">
        <x:v>0</x:v>
      </x:c>
      <x:c r="U143" t="str">
        <x:v>Extremely Bad</x:v>
      </x:c>
      <x:c r="V143" t="str">
        <x:v>Yes</x:v>
      </x:c>
      <x:c r="W143" t="str">
        <x:v>SEVERELY_DEFICIENT</x:v>
      </x:c>
      <x:c r="X143" t="str">
        <x:v>REWRITE_REQUIRED</x:v>
      </x:c>
      <x:c r="Y143" t="n">
        <x:v>80</x:v>
      </x:c>
      <x:c r="Z143" t="str">
        <x:v>Success</x:v>
      </x:c>
      <x:c r="AA143"/>
      <x:c r="AB143"/>
      <x:c r="AC143" s="13"/>
      <x:c r="AD143" t="n">
        <x:v>0</x:v>
      </x:c>
      <x:c r="AE143" s="19" t="n">
        <x:v>74821</x:v>
      </x:c>
      <x:c r="AF143" t="str">
        <x:v>deepseek-v4-pro</x:v>
      </x:c>
      <x:c r="AG143" s="20" t="n">
        <x:v>46224.134925266204</x:v>
      </x:c>
      <x:c r="AH143" t="n">
        <x:v>200</x:v>
      </x:c>
    </x:row>
    <x:row r="144">
      <x:c r="A144" s="17" t="str">
        <x:v>143</x:v>
      </x:c>
      <x:c r="B144" t="str">
        <x:v>ZH-EXTREMELY-BAD-023</x:v>
      </x:c>
      <x:c r="C144" s="17" t="str">
        <x:v>023</x:v>
      </x:c>
      <x:c r="D144" t="str">
        <x:v>Extremely Bad</x:v>
      </x:c>
      <x:c r="E144" t="n">
        <x:v>0</x:v>
      </x:c>
      <x:c r="F144" t="n">
        <x:v>29</x:v>
      </x:c>
      <x:c r="G144" t="n">
        <x:v>1</x:v>
      </x:c>
      <x:c r="H144" s="18" t="n">
        <x:v>39</x:v>
      </x:c>
      <x:c r="I144" s="18" t="n">
        <x:v>45</x:v>
      </x:c>
      <x:c r="J144" s="18" t="n">
        <x:v>30</x:v>
      </x:c>
      <x:c r="K144" s="18" t="n">
        <x:v>40</x:v>
      </x:c>
      <x:c r="L144" s="18" t="n">
        <x:v>45</x:v>
      </x:c>
      <x:c r="M144" s="18" t="n">
        <x:v>40</x:v>
      </x:c>
      <x:c r="N144" s="18" t="n">
        <x:v>30</x:v>
      </x:c>
      <x:c r="O144" s="18" t="n">
        <x:v>39</x:v>
      </x:c>
      <x:c r="P144" s="18" t="n">
        <x:v>39</x:v>
      </x:c>
      <x:c r="Q144" t="str">
        <x:v>No</x:v>
      </x:c>
      <x:c r="R144" s="18" t="n">
        <x:v>10</x:v>
      </x:c>
      <x:c r="S144" s="18" t="n">
        <x:v>0</x:v>
      </x:c>
      <x:c r="T144" s="18" t="n">
        <x:v>10</x:v>
      </x:c>
      <x:c r="U144" t="str">
        <x:v>Bad</x:v>
      </x:c>
      <x:c r="V144" t="str">
        <x:v>No</x:v>
      </x:c>
      <x:c r="W144" t="str">
        <x:v>SEVERELY_DEFICIENT</x:v>
      </x:c>
      <x:c r="X144" t="str">
        <x:v>REWRITE_REQUIRED</x:v>
      </x:c>
      <x:c r="Y144" t="n">
        <x:v>80</x:v>
      </x:c>
      <x:c r="Z144" t="str">
        <x:v>Success</x:v>
      </x:c>
      <x:c r="AA144"/>
      <x:c r="AB144"/>
      <x:c r="AC144" s="13"/>
      <x:c r="AD144" t="n">
        <x:v>0</x:v>
      </x:c>
      <x:c r="AE144" s="19" t="n">
        <x:v>96795</x:v>
      </x:c>
      <x:c r="AF144" t="str">
        <x:v>deepseek-v4-pro</x:v>
      </x:c>
      <x:c r="AG144" s="20" t="n">
        <x:v>46224.13604561343</x:v>
      </x:c>
      <x:c r="AH144" t="n">
        <x:v>200</x:v>
      </x:c>
    </x:row>
    <x:row r="145">
      <x:c r="A145" s="17" t="str">
        <x:v>144</x:v>
      </x:c>
      <x:c r="B145" t="str">
        <x:v>ZH-EXTREMELY-BAD-024</x:v>
      </x:c>
      <x:c r="C145" s="17" t="str">
        <x:v>024</x:v>
      </x:c>
      <x:c r="D145" t="str">
        <x:v>Extremely Bad</x:v>
      </x:c>
      <x:c r="E145" t="n">
        <x:v>0</x:v>
      </x:c>
      <x:c r="F145" t="n">
        <x:v>29</x:v>
      </x:c>
      <x:c r="G145" t="n">
        <x:v>1</x:v>
      </x:c>
      <x:c r="H145" s="18" t="n">
        <x:v>25</x:v>
      </x:c>
      <x:c r="I145" s="18" t="n">
        <x:v>15</x:v>
      </x:c>
      <x:c r="J145" s="18" t="n">
        <x:v>20</x:v>
      </x:c>
      <x:c r="K145" s="18" t="n">
        <x:v>20</x:v>
      </x:c>
      <x:c r="L145" s="18" t="n">
        <x:v>75</x:v>
      </x:c>
      <x:c r="M145" s="18" t="n">
        <x:v>15</x:v>
      </x:c>
      <x:c r="N145" s="18" t="n">
        <x:v>10</x:v>
      </x:c>
      <x:c r="O145" s="18" t="n">
        <x:v>25</x:v>
      </x:c>
      <x:c r="P145" s="18" t="n">
        <x:v>39</x:v>
      </x:c>
      <x:c r="Q145" t="str">
        <x:v>Yes</x:v>
      </x:c>
      <x:c r="R145" s="18" t="n">
        <x:v>0</x:v>
      </x:c>
      <x:c r="S145" s="18" t="n">
        <x:v>0</x:v>
      </x:c>
      <x:c r="T145" s="18" t="n">
        <x:v>0</x:v>
      </x:c>
      <x:c r="U145" t="str">
        <x:v>Extremely Bad</x:v>
      </x:c>
      <x:c r="V145" t="str">
        <x:v>Yes</x:v>
      </x:c>
      <x:c r="W145" t="str">
        <x:v>SEVERELY_DEFICIENT</x:v>
      </x:c>
      <x:c r="X145" t="str">
        <x:v>REWRITE_REQUIRED</x:v>
      </x:c>
      <x:c r="Y145" t="n">
        <x:v>80</x:v>
      </x:c>
      <x:c r="Z145" t="str">
        <x:v>Success</x:v>
      </x:c>
      <x:c r="AA145"/>
      <x:c r="AB145"/>
      <x:c r="AC145" s="13"/>
      <x:c r="AD145" t="n">
        <x:v>0</x:v>
      </x:c>
      <x:c r="AE145" s="19" t="n">
        <x:v>174111</x:v>
      </x:c>
      <x:c r="AF145" t="str">
        <x:v>deepseek-v4-pro</x:v>
      </x:c>
      <x:c r="AG145" s="20" t="n">
        <x:v>46224.138060798614</x:v>
      </x:c>
      <x:c r="AH145" t="n">
        <x:v>200</x:v>
      </x:c>
    </x:row>
    <x:row r="146">
      <x:c r="A146" s="17" t="str">
        <x:v>145</x:v>
      </x:c>
      <x:c r="B146" t="str">
        <x:v>ZH-EXTREMELY-BAD-025</x:v>
      </x:c>
      <x:c r="C146" s="17" t="str">
        <x:v>025</x:v>
      </x:c>
      <x:c r="D146" t="str">
        <x:v>Extremely Bad</x:v>
      </x:c>
      <x:c r="E146" t="n">
        <x:v>0</x:v>
      </x:c>
      <x:c r="F146" t="n">
        <x:v>29</x:v>
      </x:c>
      <x:c r="G146" t="n">
        <x:v>1</x:v>
      </x:c>
      <x:c r="H146" s="18" t="n">
        <x:v>30</x:v>
      </x:c>
      <x:c r="I146" s="18" t="n">
        <x:v>35</x:v>
      </x:c>
      <x:c r="J146" s="18" t="n">
        <x:v>25</x:v>
      </x:c>
      <x:c r="K146" s="18" t="n">
        <x:v>40</x:v>
      </x:c>
      <x:c r="L146" s="18" t="n">
        <x:v>30</x:v>
      </x:c>
      <x:c r="M146" s="18" t="n">
        <x:v>25</x:v>
      </x:c>
      <x:c r="N146" s="18" t="n">
        <x:v>15</x:v>
      </x:c>
      <x:c r="O146" s="18" t="n">
        <x:v>30</x:v>
      </x:c>
      <x:c r="P146" s="18" t="n">
        <x:v>59</x:v>
      </x:c>
      <x:c r="Q146" t="str">
        <x:v>No</x:v>
      </x:c>
      <x:c r="R146" s="18" t="n">
        <x:v>1</x:v>
      </x:c>
      <x:c r="S146" s="18" t="n">
        <x:v>0</x:v>
      </x:c>
      <x:c r="T146" s="18" t="n">
        <x:v>1</x:v>
      </x:c>
      <x:c r="U146" t="str">
        <x:v>Bad</x:v>
      </x:c>
      <x:c r="V146" t="str">
        <x:v>No</x:v>
      </x:c>
      <x:c r="W146" t="str">
        <x:v>SEVERELY_DEFICIENT</x:v>
      </x:c>
      <x:c r="X146" t="str">
        <x:v>REWRITE_REQUIRED</x:v>
      </x:c>
      <x:c r="Y146" t="n">
        <x:v>80</x:v>
      </x:c>
      <x:c r="Z146" t="str">
        <x:v>Success</x:v>
      </x:c>
      <x:c r="AA146"/>
      <x:c r="AB146"/>
      <x:c r="AC146" s="13"/>
      <x:c r="AD146" t="n">
        <x:v>0</x:v>
      </x:c>
      <x:c r="AE146" s="19" t="n">
        <x:v>49521</x:v>
      </x:c>
      <x:c r="AF146" t="str">
        <x:v>deepseek-v4-pro</x:v>
      </x:c>
      <x:c r="AG146" s="20" t="n">
        <x:v>46224.13863407407</x:v>
      </x:c>
      <x:c r="AH146" t="n">
        <x:v>200</x:v>
      </x:c>
    </x:row>
    <x:row r="147">
      <x:c r="A147" s="17" t="str">
        <x:v>146</x:v>
      </x:c>
      <x:c r="B147" t="str">
        <x:v>ZH-EXTREMELY-BAD-026</x:v>
      </x:c>
      <x:c r="C147" s="17" t="str">
        <x:v>026</x:v>
      </x:c>
      <x:c r="D147" t="str">
        <x:v>Extremely Bad</x:v>
      </x:c>
      <x:c r="E147" t="n">
        <x:v>0</x:v>
      </x:c>
      <x:c r="F147" t="n">
        <x:v>29</x:v>
      </x:c>
      <x:c r="G147" t="n">
        <x:v>1</x:v>
      </x:c>
      <x:c r="H147" s="18" t="n">
        <x:v>22</x:v>
      </x:c>
      <x:c r="I147" s="18" t="n">
        <x:v>30</x:v>
      </x:c>
      <x:c r="J147" s="18" t="n">
        <x:v>20</x:v>
      </x:c>
      <x:c r="K147" s="18" t="n">
        <x:v>20</x:v>
      </x:c>
      <x:c r="L147" s="18" t="n">
        <x:v>25</x:v>
      </x:c>
      <x:c r="M147" s="18" t="n">
        <x:v>20</x:v>
      </x:c>
      <x:c r="N147" s="18" t="n">
        <x:v>10</x:v>
      </x:c>
      <x:c r="O147" s="18" t="n">
        <x:v>22</x:v>
      </x:c>
      <x:c r="P147" s="18" t="n">
        <x:v>39</x:v>
      </x:c>
      <x:c r="Q147" t="str">
        <x:v>Yes</x:v>
      </x:c>
      <x:c r="R147" s="18" t="n">
        <x:v>0</x:v>
      </x:c>
      <x:c r="S147" s="18" t="n">
        <x:v>0</x:v>
      </x:c>
      <x:c r="T147" s="18" t="n">
        <x:v>0</x:v>
      </x:c>
      <x:c r="U147" t="str">
        <x:v>Extremely Bad</x:v>
      </x:c>
      <x:c r="V147" t="str">
        <x:v>Yes</x:v>
      </x:c>
      <x:c r="W147" t="str">
        <x:v>SEVERELY_DEFICIENT</x:v>
      </x:c>
      <x:c r="X147" t="str">
        <x:v>REWRITE_REQUIRED</x:v>
      </x:c>
      <x:c r="Y147" t="n">
        <x:v>80</x:v>
      </x:c>
      <x:c r="Z147" t="str">
        <x:v>Success</x:v>
      </x:c>
      <x:c r="AA147"/>
      <x:c r="AB147"/>
      <x:c r="AC147" s="13"/>
      <x:c r="AD147" t="n">
        <x:v>0</x:v>
      </x:c>
      <x:c r="AE147" s="19" t="n">
        <x:v>52851</x:v>
      </x:c>
      <x:c r="AF147" t="str">
        <x:v>deepseek-v4-pro</x:v>
      </x:c>
      <x:c r="AG147" s="20" t="n">
        <x:v>46224.13924579861</x:v>
      </x:c>
      <x:c r="AH147" t="n">
        <x:v>200</x:v>
      </x:c>
    </x:row>
    <x:row r="148">
      <x:c r="A148" s="17" t="str">
        <x:v>147</x:v>
      </x:c>
      <x:c r="B148" t="str">
        <x:v>ZH-EXTREMELY-BAD-027</x:v>
      </x:c>
      <x:c r="C148" s="17" t="str">
        <x:v>027</x:v>
      </x:c>
      <x:c r="D148" t="str">
        <x:v>Extremely Bad</x:v>
      </x:c>
      <x:c r="E148" t="n">
        <x:v>0</x:v>
      </x:c>
      <x:c r="F148" t="n">
        <x:v>29</x:v>
      </x:c>
      <x:c r="G148" t="n">
        <x:v>1</x:v>
      </x:c>
      <x:c r="H148" s="18" t="n">
        <x:v>19</x:v>
      </x:c>
      <x:c r="I148" s="18" t="n">
        <x:v>20</x:v>
      </x:c>
      <x:c r="J148" s="18" t="n">
        <x:v>10</x:v>
      </x:c>
      <x:c r="K148" s="18" t="n">
        <x:v>15</x:v>
      </x:c>
      <x:c r="L148" s="18" t="n">
        <x:v>40</x:v>
      </x:c>
      <x:c r="M148" s="18" t="n">
        <x:v>20</x:v>
      </x:c>
      <x:c r="N148" s="18" t="n">
        <x:v>5</x:v>
      </x:c>
      <x:c r="O148" s="18" t="n">
        <x:v>19</x:v>
      </x:c>
      <x:c r="P148" s="18" t="n">
        <x:v>39</x:v>
      </x:c>
      <x:c r="Q148" t="str">
        <x:v>Yes</x:v>
      </x:c>
      <x:c r="R148" s="18" t="n">
        <x:v>0</x:v>
      </x:c>
      <x:c r="S148" s="18" t="n">
        <x:v>0</x:v>
      </x:c>
      <x:c r="T148" s="18" t="n">
        <x:v>0</x:v>
      </x:c>
      <x:c r="U148" t="str">
        <x:v>Extremely Bad</x:v>
      </x:c>
      <x:c r="V148" t="str">
        <x:v>Yes</x:v>
      </x:c>
      <x:c r="W148" t="str">
        <x:v>SEVERELY_DEFICIENT</x:v>
      </x:c>
      <x:c r="X148" t="str">
        <x:v>REWRITE_REQUIRED</x:v>
      </x:c>
      <x:c r="Y148" t="n">
        <x:v>80</x:v>
      </x:c>
      <x:c r="Z148" t="str">
        <x:v>Success</x:v>
      </x:c>
      <x:c r="AA148"/>
      <x:c r="AB148"/>
      <x:c r="AC148" s="13"/>
      <x:c r="AD148" t="n">
        <x:v>0</x:v>
      </x:c>
      <x:c r="AE148" s="19" t="n">
        <x:v>100524</x:v>
      </x:c>
      <x:c r="AF148" t="str">
        <x:v>deepseek-v4-pro</x:v>
      </x:c>
      <x:c r="AG148" s="20" t="n">
        <x:v>46224.14040931713</x:v>
      </x:c>
      <x:c r="AH148" t="n">
        <x:v>200</x:v>
      </x:c>
    </x:row>
    <x:row r="149">
      <x:c r="A149" s="17" t="str">
        <x:v>148</x:v>
      </x:c>
      <x:c r="B149" t="str">
        <x:v>ZH-EXTREMELY-BAD-028</x:v>
      </x:c>
      <x:c r="C149" s="17" t="str">
        <x:v>028</x:v>
      </x:c>
      <x:c r="D149" t="str">
        <x:v>Extremely Bad</x:v>
      </x:c>
      <x:c r="E149" t="n">
        <x:v>0</x:v>
      </x:c>
      <x:c r="F149" t="n">
        <x:v>29</x:v>
      </x:c>
      <x:c r="G149" t="n">
        <x:v>1</x:v>
      </x:c>
      <x:c r="H149" s="18" t="n">
        <x:v>17</x:v>
      </x:c>
      <x:c r="I149" s="18" t="n">
        <x:v>15</x:v>
      </x:c>
      <x:c r="J149" s="18" t="n">
        <x:v>10</x:v>
      </x:c>
      <x:c r="K149" s="18" t="n">
        <x:v>15</x:v>
      </x:c>
      <x:c r="L149" s="18" t="n">
        <x:v>35</x:v>
      </x:c>
      <x:c r="M149" s="18" t="n">
        <x:v>20</x:v>
      </x:c>
      <x:c r="N149" s="18" t="n">
        <x:v>10</x:v>
      </x:c>
      <x:c r="O149" s="18" t="n">
        <x:v>17</x:v>
      </x:c>
      <x:c r="P149" s="18" t="n">
        <x:v>39</x:v>
      </x:c>
      <x:c r="Q149" t="str">
        <x:v>Yes</x:v>
      </x:c>
      <x:c r="R149" s="18" t="n">
        <x:v>0</x:v>
      </x:c>
      <x:c r="S149" s="18" t="n">
        <x:v>0</x:v>
      </x:c>
      <x:c r="T149" s="18" t="n">
        <x:v>0</x:v>
      </x:c>
      <x:c r="U149" t="str">
        <x:v>Extremely Bad</x:v>
      </x:c>
      <x:c r="V149" t="str">
        <x:v>Yes</x:v>
      </x:c>
      <x:c r="W149" t="str">
        <x:v>SEVERELY_DEFICIENT</x:v>
      </x:c>
      <x:c r="X149" t="str">
        <x:v>REWRITE_REQUIRED</x:v>
      </x:c>
      <x:c r="Y149" t="n">
        <x:v>80</x:v>
      </x:c>
      <x:c r="Z149" t="str">
        <x:v>Success</x:v>
      </x:c>
      <x:c r="AA149"/>
      <x:c r="AB149"/>
      <x:c r="AC149" s="13"/>
      <x:c r="AD149" t="n">
        <x:v>0</x:v>
      </x:c>
      <x:c r="AE149" s="19" t="n">
        <x:v>86187</x:v>
      </x:c>
      <x:c r="AF149" t="str">
        <x:v>deepseek-v4-pro</x:v>
      </x:c>
      <x:c r="AG149" s="20" t="n">
        <x:v>46224.141406875</x:v>
      </x:c>
      <x:c r="AH149" t="n">
        <x:v>200</x:v>
      </x:c>
    </x:row>
    <x:row r="150">
      <x:c r="A150" s="17" t="str">
        <x:v>149</x:v>
      </x:c>
      <x:c r="B150" t="str">
        <x:v>ZH-EXTREMELY-BAD-029</x:v>
      </x:c>
      <x:c r="C150" s="17" t="str">
        <x:v>029</x:v>
      </x:c>
      <x:c r="D150" t="str">
        <x:v>Extremely Bad</x:v>
      </x:c>
      <x:c r="E150" t="n">
        <x:v>0</x:v>
      </x:c>
      <x:c r="F150" t="n">
        <x:v>29</x:v>
      </x:c>
      <x:c r="G150" t="n">
        <x:v>1</x:v>
      </x:c>
      <x:c r="H150" s="18" t="n">
        <x:v>24</x:v>
      </x:c>
      <x:c r="I150" s="18" t="n">
        <x:v>20</x:v>
      </x:c>
      <x:c r="J150" s="18" t="n">
        <x:v>25</x:v>
      </x:c>
      <x:c r="K150" s="18" t="n">
        <x:v>30</x:v>
      </x:c>
      <x:c r="L150" s="18" t="n">
        <x:v>40</x:v>
      </x:c>
      <x:c r="M150" s="18" t="n">
        <x:v>20</x:v>
      </x:c>
      <x:c r="N150" s="18" t="n">
        <x:v>5</x:v>
      </x:c>
      <x:c r="O150" s="18" t="n">
        <x:v>24</x:v>
      </x:c>
      <x:c r="P150" s="18" t="n">
        <x:v>39</x:v>
      </x:c>
      <x:c r="Q150" t="str">
        <x:v>Yes</x:v>
      </x:c>
      <x:c r="R150" s="18" t="n">
        <x:v>0</x:v>
      </x:c>
      <x:c r="S150" s="18" t="n">
        <x:v>0</x:v>
      </x:c>
      <x:c r="T150" s="18" t="n">
        <x:v>0</x:v>
      </x:c>
      <x:c r="U150" t="str">
        <x:v>Extremely Bad</x:v>
      </x:c>
      <x:c r="V150" t="str">
        <x:v>Yes</x:v>
      </x:c>
      <x:c r="W150" t="str">
        <x:v>SEVERELY_DEFICIENT</x:v>
      </x:c>
      <x:c r="X150" t="str">
        <x:v>REWRITE_REQUIRED</x:v>
      </x:c>
      <x:c r="Y150" t="n">
        <x:v>80</x:v>
      </x:c>
      <x:c r="Z150" t="str">
        <x:v>Success</x:v>
      </x:c>
      <x:c r="AA150"/>
      <x:c r="AB150"/>
      <x:c r="AC150" s="13"/>
      <x:c r="AD150" t="n">
        <x:v>0</x:v>
      </x:c>
      <x:c r="AE150" s="19" t="n">
        <x:v>79017</x:v>
      </x:c>
      <x:c r="AF150" t="str">
        <x:v>deepseek-v4-pro</x:v>
      </x:c>
      <x:c r="AG150" s="20" t="n">
        <x:v>46224.14232143518</x:v>
      </x:c>
      <x:c r="AH150" t="n">
        <x:v>200</x:v>
      </x:c>
    </x:row>
    <x:row r="151">
      <x:c r="A151" s="17" t="str">
        <x:v>150</x:v>
      </x:c>
      <x:c r="B151" t="str">
        <x:v>ZH-EXTREMELY-BAD-030</x:v>
      </x:c>
      <x:c r="C151" s="17" t="str">
        <x:v>030</x:v>
      </x:c>
      <x:c r="D151" t="str">
        <x:v>Extremely Bad</x:v>
      </x:c>
      <x:c r="E151" t="n">
        <x:v>0</x:v>
      </x:c>
      <x:c r="F151" t="n">
        <x:v>29</x:v>
      </x:c>
      <x:c r="G151" t="n">
        <x:v>1</x:v>
      </x:c>
      <x:c r="H151" s="18" t="n">
        <x:v>38</x:v>
      </x:c>
      <x:c r="I151" s="18" t="n">
        <x:v>45</x:v>
      </x:c>
      <x:c r="J151" s="18" t="n">
        <x:v>30</x:v>
      </x:c>
      <x:c r="K151" s="18" t="n">
        <x:v>40</x:v>
      </x:c>
      <x:c r="L151" s="18" t="n">
        <x:v>45</x:v>
      </x:c>
      <x:c r="M151" s="18" t="n">
        <x:v>35</x:v>
      </x:c>
      <x:c r="N151" s="18" t="n">
        <x:v>25</x:v>
      </x:c>
      <x:c r="O151" s="18" t="n">
        <x:v>38</x:v>
      </x:c>
      <x:c r="P151" s="18" t="n">
        <x:v>59</x:v>
      </x:c>
      <x:c r="Q151" t="str">
        <x:v>No</x:v>
      </x:c>
      <x:c r="R151" s="18" t="n">
        <x:v>9</x:v>
      </x:c>
      <x:c r="S151" s="18" t="n">
        <x:v>0</x:v>
      </x:c>
      <x:c r="T151" s="18" t="n">
        <x:v>9</x:v>
      </x:c>
      <x:c r="U151" t="str">
        <x:v>Bad</x:v>
      </x:c>
      <x:c r="V151" t="str">
        <x:v>No</x:v>
      </x:c>
      <x:c r="W151" t="str">
        <x:v>SEVERELY_DEFICIENT</x:v>
      </x:c>
      <x:c r="X151" t="str">
        <x:v>REWRITE_REQUIRED</x:v>
      </x:c>
      <x:c r="Y151" t="n">
        <x:v>80</x:v>
      </x:c>
      <x:c r="Z151" t="str">
        <x:v>Success</x:v>
      </x:c>
      <x:c r="AA151"/>
      <x:c r="AB151"/>
      <x:c r="AC151" s="13"/>
      <x:c r="AD151" t="n">
        <x:v>0</x:v>
      </x:c>
      <x:c r="AE151" s="19" t="n">
        <x:v>71655</x:v>
      </x:c>
      <x:c r="AF151" t="str">
        <x:v>deepseek-v4-pro</x:v>
      </x:c>
      <x:c r="AG151" s="20" t="n">
        <x:v>46224.14315079861</x:v>
      </x:c>
      <x:c r="AH151" t="n">
        <x:v>200</x:v>
      </x:c>
    </x:row>
  </x:sheetData>
  <x:conditionalFormatting sqref="Q2:Q151">
    <x:cfRule type="containsText" dxfId="0" priority="1" operator="containsText" text="Yes"/>
    <x:cfRule type="containsText" dxfId="1" priority="2" operator="containsText" text="No"/>
  </x:conditionalFormatting>
  <x:conditionalFormatting sqref="Z2:Z151">
    <x:cfRule type="containsText" dxfId="2" priority="3" operator="containsText" text="Error"/>
  </x:conditionalFormatting>
  <x:conditionalFormatting sqref="H2:H151">
    <x:cfRule type="dataBar" priority="4">
      <x:dataBar>
        <x:cfvo type="num" val="0"/>
        <x:cfvo type="num" val="100"/>
        <x:color rgb="FF087E8B"/>
      </x:dataBar>
      <x:extLst>
        <x:ext xmlns:x14="http://schemas.microsoft.com/office/spreadsheetml/2009/9/main" uri="{B025F937-C7B1-47D3-B67F-A62EFF666E3E}">
          <x14:id>{31684187-CE30-1D02-026E-DF4908F8B596}</x14:id>
        </x:ext>
      </x:extLst>
    </x:cfRule>
  </x:conditionalFormatting>
  <x:pageMargins left="0.7" right="0.7" top="0.75" bottom="0.75" header="0.3" footer="0.3"/>
  <x:tableParts count="1">
    <x:tablePart xmlns:r="http://schemas.openxmlformats.org/officeDocument/2006/relationships" r:id="Ra3d6c24cd61644a4"/>
  </x:tableParts>
  <x:extLst>
    <x:ext xmlns:x14="http://schemas.microsoft.com/office/spreadsheetml/2009/9/main" xmlns:xm="http://schemas.microsoft.com/office/excel/2006/main" uri="{78C0D931-6437-407d-A8EE-F0AAD7539E65}">
      <x14:conditionalFormattings>
        <x14:conditionalFormatting>
          <x14:cfRule type="dataBar" priority="4" id="{31684187-CE30-1D02-026E-DF4908F8B596}">
            <x14:dataBar gradient="1">
              <x14:cfvo type="num">
                <xm:f>0</xm:f>
              </x14:cfvo>
              <x14:cfvo type="num">
                <xm:f>100</xm:f>
              </x14:cfvo>
              <x14:fillColor rgb="FF087E8B"/>
            </x14:dataBar>
          </x14:cfRule>
          <xm:sqref>H2:H151</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32" hidden="0" customWidth="1"/>
    <x:col min="2" max="2" width="26" hidden="0" customWidth="1"/>
    <x:col min="3" max="3" width="18" hidden="0" customWidth="1"/>
    <x:col min="4" max="4" width="18" hidden="0" customWidth="1"/>
    <x:col min="5" max="5" width="25" hidden="0" customWidth="1"/>
    <x:col min="6" max="6" width="18" hidden="0" customWidth="1"/>
    <x:col min="7" max="7" width="16" hidden="0" customWidth="1"/>
    <x:col min="8" max="8" width="14" hidden="0" customWidth="1"/>
    <x:col min="9" max="9" width="14" hidden="0" customWidth="1"/>
    <x:col min="10" max="10" width="14" hidden="0" customWidth="1"/>
  </x:cols>
  <x:sheetData>
    <x:row r="1" ht="34" customHeight="1">
      <x:c r="A1" s="22" t="str">
        <x:v>Traditional Chinese Review Agent Calibration Report</x:v>
      </x:c>
      <x:c r="B1" s="22" t="str">
        <x:v>Traditional Chinese Review Agent Calibration Report</x:v>
      </x:c>
      <x:c r="C1" s="22" t="str">
        <x:v>Traditional Chinese Review Agent Calibration Report</x:v>
      </x:c>
      <x:c r="D1" s="22" t="str">
        <x:v>Traditional Chinese Review Agent Calibration Report</x:v>
      </x:c>
      <x:c r="E1" s="22" t="str">
        <x:v>Traditional Chinese Review Agent Calibration Report</x:v>
      </x:c>
      <x:c r="F1" s="22" t="str">
        <x:v>Traditional Chinese Review Agent Calibration Report</x:v>
      </x:c>
      <x:c r="G1" s="22" t="str">
        <x:v>Traditional Chinese Review Agent Calibration Report</x:v>
      </x:c>
      <x:c r="H1" s="22" t="str">
        <x:v>Traditional Chinese Review Agent Calibration Report</x:v>
      </x:c>
      <x:c r="I1" s="22" t="str">
        <x:v>Traditional Chinese Review Agent Calibration Report</x:v>
      </x:c>
      <x:c r="J1" s="22" t="str">
        <x:v>Traditional Chinese Review Agent Calibration Report</x:v>
      </x:c>
    </x:row>
    <x:row r="2" ht="22" customHeight="1">
      <x:c r="A2" s="24" t="str">
        <x:v>Generated 2026-07-21T03:39:12.861Z | Model: deepseek-v4-pro | Repeats: 1 | Mode: live</x:v>
      </x:c>
      <x:c r="B2" s="24" t="str">
        <x:v>Generated 2026-07-21T03:39:12.861Z | Model: deepseek-v4-pro | Repeats: 1 | Mode: live</x:v>
      </x:c>
      <x:c r="C2" s="24" t="str">
        <x:v>Generated 2026-07-21T03:39:12.861Z | Model: deepseek-v4-pro | Repeats: 1 | Mode: live</x:v>
      </x:c>
      <x:c r="D2" s="24" t="str">
        <x:v>Generated 2026-07-21T03:39:12.861Z | Model: deepseek-v4-pro | Repeats: 1 | Mode: live</x:v>
      </x:c>
      <x:c r="E2" s="24" t="str">
        <x:v>Generated 2026-07-21T03:39:12.861Z | Model: deepseek-v4-pro | Repeats: 1 | Mode: live</x:v>
      </x:c>
      <x:c r="F2" s="24" t="str">
        <x:v>Generated 2026-07-21T03:39:12.861Z | Model: deepseek-v4-pro | Repeats: 1 | Mode: live</x:v>
      </x:c>
      <x:c r="G2" s="24" t="str">
        <x:v>Generated 2026-07-21T03:39:12.861Z | Model: deepseek-v4-pro | Repeats: 1 | Mode: live</x:v>
      </x:c>
      <x:c r="H2" s="24" t="str">
        <x:v>Generated 2026-07-21T03:39:12.861Z | Model: deepseek-v4-pro | Repeats: 1 | Mode: live</x:v>
      </x:c>
      <x:c r="I2" s="24" t="str">
        <x:v>Generated 2026-07-21T03:39:12.861Z | Model: deepseek-v4-pro | Repeats: 1 | Mode: live</x:v>
      </x:c>
      <x:c r="J2" s="24" t="str">
        <x:v>Generated 2026-07-21T03:39:12.861Z | Model: deepseek-v4-pro | Repeats: 1 | Mode: live</x:v>
      </x:c>
    </x:row>
    <x:row r="4" ht="24" customHeight="1">
      <x:c r="A4" s="34" t="str">
        <x:v>Overall summary</x:v>
      </x:c>
      <x:c r="B4" s="34" t="str">
        <x:v>Overall summary</x:v>
      </x:c>
      <x:c r="D4" s="27" t="str">
        <x:v>Calibration interpretation</x:v>
      </x:c>
      <x:c r="E4" s="27" t="str">
        <x:v>Calibration interpretation</x:v>
      </x:c>
      <x:c r="F4" s="27" t="str">
        <x:v>Calibration interpretation</x:v>
      </x:c>
      <x:c r="G4" s="27" t="str">
        <x:v>Calibration interpretation</x:v>
      </x:c>
      <x:c r="H4" s="27" t="str">
        <x:v>Calibration interpretation</x:v>
      </x:c>
      <x:c r="I4" s="27" t="str">
        <x:v>Calibration interpretation</x:v>
      </x:c>
      <x:c r="J4" s="27" t="str">
        <x:v>Calibration interpretation</x:v>
      </x:c>
    </x:row>
    <x:row r="5" ht="30" customHeight="1">
      <x:c r="A5" s="35" t="str">
        <x:v>Planned drafts</x:v>
      </x:c>
      <x:c r="B5" s="36" t="n">
        <x:f>COUNTA('Drafts'!$B$2:$B$151)</x:f>
        <x:v>150</x:v>
      </x:c>
      <x:c r="D5" s="42" t="str">
        <x:v>Excellent: 23/30 (76.7%) inside 85-100; 7 below and 0 above; mean score 87.4.</x:v>
      </x:c>
      <x:c r="E5" s="42"/>
      <x:c r="F5" s="42"/>
      <x:c r="G5" s="42"/>
      <x:c r="H5" s="42"/>
      <x:c r="I5" s="42"/>
      <x:c r="J5" s="42"/>
    </x:row>
    <x:row r="6" ht="30" customHeight="1">
      <x:c r="A6" s="35" t="str">
        <x:v>Planned test runs</x:v>
      </x:c>
      <x:c r="B6" s="36" t="n">
        <x:f>150</x:f>
        <x:v>150</x:v>
      </x:c>
      <x:c r="D6" s="42" t="str">
        <x:v>Good: 3/30 (10.0%) inside 70-84; 16 below and 11 above; mean score 71.2.</x:v>
      </x:c>
      <x:c r="E6" s="42"/>
      <x:c r="F6" s="42"/>
      <x:c r="G6" s="42"/>
      <x:c r="H6" s="42"/>
      <x:c r="I6" s="42"/>
      <x:c r="J6" s="42"/>
    </x:row>
    <x:row r="7" ht="30" customHeight="1">
      <x:c r="A7" s="35" t="str">
        <x:v>Saved result rows</x:v>
      </x:c>
      <x:c r="B7" s="36" t="n">
        <x:f>COUNTA('Results'!$B$2:$B$151)</x:f>
        <x:v>150</x:v>
      </x:c>
      <x:c r="D7" s="42" t="str">
        <x:v>Normal: 13/30 (43.3%) inside 50-69; 17 below and 0 above; mean score 48.4.</x:v>
      </x:c>
      <x:c r="E7" s="42"/>
      <x:c r="F7" s="42"/>
      <x:c r="G7" s="42"/>
      <x:c r="H7" s="42"/>
      <x:c r="I7" s="42"/>
      <x:c r="J7" s="42"/>
    </x:row>
    <x:row r="8" ht="30" customHeight="1">
      <x:c r="A8" s="35" t="str">
        <x:v>Successful tests</x:v>
      </x:c>
      <x:c r="B8" s="36" t="n">
        <x:f>COUNTIF('Results'!$Z$2:$Z$151,"Success")</x:f>
        <x:v>150</x:v>
      </x:c>
      <x:c r="D8" s="42" t="str">
        <x:v>Bad: 28/30 (93.3%) inside 30-49; 1 below and 1 above; mean score 41.5.</x:v>
      </x:c>
      <x:c r="E8" s="42"/>
      <x:c r="F8" s="42"/>
      <x:c r="G8" s="42"/>
      <x:c r="H8" s="42"/>
      <x:c r="I8" s="42"/>
      <x:c r="J8" s="42"/>
    </x:row>
    <x:row r="9" ht="30" customHeight="1">
      <x:c r="A9" s="35" t="str">
        <x:v>Failed tests</x:v>
      </x:c>
      <x:c r="B9" s="36" t="n">
        <x:f>COUNTIF('Results'!$Z$2:$Z$151,"Error")</x:f>
        <x:v>0</x:v>
      </x:c>
      <x:c r="D9" s="42" t="str">
        <x:v>Extremely Bad: 27/30 (90.0%) inside 0-29; 0 below and 3 above; mean score 21.0.</x:v>
      </x:c>
      <x:c r="E9" s="42"/>
      <x:c r="F9" s="42"/>
      <x:c r="G9" s="42"/>
      <x:c r="H9" s="42"/>
      <x:c r="I9" s="42"/>
      <x:c r="J9" s="42"/>
    </x:row>
    <x:row r="10" ht="30" customHeight="1">
      <x:c r="A10" s="35" t="str">
        <x:v>Inside expected range (count)</x:v>
      </x:c>
      <x:c r="B10" s="36" t="n">
        <x:f>COUNTIFS('Results'!$Z$2:$Z$151,"Success",'Results'!$Q$2:$Q$151,"Yes")</x:f>
        <x:v>94</x:v>
      </x:c>
      <x:c r="D10" s="42" t="str">
        <x:v>Overall scored-draft classification accuracy is 94/150 (62.7%); coverage is 150/150, so all-draft accuracy is 94/150 (62.7%).</x:v>
      </x:c>
      <x:c r="E10" s="42"/>
      <x:c r="F10" s="42"/>
      <x:c r="G10" s="42"/>
      <x:c r="H10" s="42"/>
      <x:c r="I10" s="42"/>
      <x:c r="J10" s="42"/>
    </x:row>
    <x:row r="11">
      <x:c r="A11" s="35" t="str">
        <x:v>Inside expected range (%)</x:v>
      </x:c>
      <x:c r="B11" s="37" t="n">
        <x:f>IF(B8=0,0,B10/B8)</x:f>
        <x:v>0.6266666666666667</x:v>
      </x:c>
    </x:row>
    <x:row r="12">
      <x:c r="A12" s="35" t="str">
        <x:v>Below expected range (count)</x:v>
      </x:c>
      <x:c r="B12" s="36" t="n">
        <x:f>COUNTIFS('Results'!$Z$2:$Z$151,"Success",'Results'!$S$2:$S$151,"&gt;0")</x:f>
        <x:v>41</x:v>
      </x:c>
    </x:row>
    <x:row r="13">
      <x:c r="A13" s="35" t="str">
        <x:v>Below expected range (%)</x:v>
      </x:c>
      <x:c r="B13" s="37" t="n">
        <x:f>IF(B8=0,0,B12/B8)</x:f>
        <x:v>0.2733333333333333</x:v>
      </x:c>
    </x:row>
    <x:row r="14">
      <x:c r="A14" s="35" t="str">
        <x:v>Above expected range (count)</x:v>
      </x:c>
      <x:c r="B14" s="36" t="n">
        <x:f>COUNTIFS('Results'!$Z$2:$Z$151,"Success",'Results'!$T$2:$T$151,"&gt;0")</x:f>
        <x:v>15</x:v>
      </x:c>
    </x:row>
    <x:row r="15">
      <x:c r="A15" s="35" t="str">
        <x:v>Above expected range (%)</x:v>
      </x:c>
      <x:c r="B15" s="37" t="n">
        <x:f>IF(B8=0,0,B14/B8)</x:f>
        <x:v>0.1</x:v>
      </x:c>
    </x:row>
    <x:row r="16">
      <x:c r="A16" s="35" t="str">
        <x:v>Run classification accuracy</x:v>
      </x:c>
      <x:c r="B16" s="37" t="n">
        <x:f>IF(B8=0,0,COUNTIF('Results'!$V$2:$V$151,"Yes")/B8)</x:f>
        <x:v>0.6266666666666667</x:v>
      </x:c>
    </x:row>
    <x:row r="17">
      <x:c r="A17" s="35" t="str">
        <x:v>Scored-draft classification accuracy</x:v>
      </x:c>
      <x:c r="B17" s="37" t="n">
        <x:f>IF(B8=0,"",0.6266666666666667)</x:f>
        <x:v>0.6266666666666667</x:v>
      </x:c>
    </x:row>
    <x:row r="18">
      <x:c r="A18" s="35" t="str">
        <x:v>Draft coverage</x:v>
      </x:c>
      <x:c r="B18" s="37" t="n">
        <x:f>1</x:f>
        <x:v>1</x:v>
      </x:c>
    </x:row>
    <x:row r="19">
      <x:c r="A19" s="35" t="str">
        <x:v>Overall accuracy across all drafts</x:v>
      </x:c>
      <x:c r="B19" s="37" t="n">
        <x:f>0.6266666666666667</x:f>
        <x:v>0.6266666666666667</x:v>
      </x:c>
    </x:row>
    <x:row r="20">
      <x:c r="A20" s="35" t="str">
        <x:v>Mean successful score</x:v>
      </x:c>
      <x:c r="B20" s="38" t="n">
        <x:f>IF(B8=0,"",AVERAGEIF('Results'!$Z$2:$Z$151,"Success",'Results'!$H$2:$H$151))</x:f>
        <x:v>53.9</x:v>
      </x:c>
    </x:row>
    <x:row r="21">
      <x:c r="A21" s="35" t="str">
        <x:v>Mean distance from expected range</x:v>
      </x:c>
      <x:c r="B21" s="38" t="n">
        <x:f>IF(B8=0,"",AVERAGEIF('Results'!$Z$2:$Z$151,"Success",'Results'!$R$2:$R$151))</x:f>
        <x:v>2.9133333333333336</x:v>
      </x:c>
    </x:row>
    <x:row r="22">
      <x:c r="A22" s="35" t="str">
        <x:v>Inversion cases</x:v>
      </x:c>
      <x:c r="B22" s="36" t="n">
        <x:f>11</x:f>
        <x:v>11</x:v>
      </x:c>
    </x:row>
    <x:row r="25" ht="24" customHeight="1">
      <x:c r="A25" s="27" t="str">
        <x:v>Confusion matrix (successful test runs; expected rows vs predicted columns)</x:v>
      </x:c>
      <x:c r="B25" s="27" t="str">
        <x:v>Confusion matrix (successful test runs; expected rows vs predicted columns)</x:v>
      </x:c>
      <x:c r="C25" s="27" t="str">
        <x:v>Confusion matrix (successful test runs; expected rows vs predicted columns)</x:v>
      </x:c>
      <x:c r="D25" s="27" t="str">
        <x:v>Confusion matrix (successful test runs; expected rows vs predicted columns)</x:v>
      </x:c>
      <x:c r="E25" s="27" t="str">
        <x:v>Confusion matrix (successful test runs; expected rows vs predicted columns)</x:v>
      </x:c>
      <x:c r="F25" s="27" t="str">
        <x:v>Confusion matrix (successful test runs; expected rows vs predicted columns)</x:v>
      </x:c>
      <x:c r="G25" s="27" t="str">
        <x:v>Confusion matrix (successful test runs; expected rows vs predicted columns)</x:v>
      </x:c>
    </x:row>
    <x:row r="26">
      <x:c r="A26" s="45" t="str">
        <x:v>Expected / Predicted</x:v>
      </x:c>
      <x:c r="B26" s="45" t="str">
        <x:v>Excellent</x:v>
      </x:c>
      <x:c r="C26" s="45" t="str">
        <x:v>Good</x:v>
      </x:c>
      <x:c r="D26" s="45" t="str">
        <x:v>Normal</x:v>
      </x:c>
      <x:c r="E26" s="45" t="str">
        <x:v>Bad</x:v>
      </x:c>
      <x:c r="F26" s="45" t="str">
        <x:v>Extremely Bad</x:v>
      </x:c>
      <x:c r="G26" s="45" t="str">
        <x:v>Row total</x:v>
      </x:c>
    </x:row>
    <x:row r="27">
      <x:c r="A27" s="46" t="str">
        <x:v>Excellent</x:v>
      </x:c>
      <x:c r="B27" s="47" t="n">
        <x:f>COUNTIFS('Results'!$D$2:$D$151,$A27,'Results'!$U$2:$U$151,B$26,'Results'!$Z$2:$Z$151,"Success")</x:f>
        <x:v>23</x:v>
      </x:c>
      <x:c r="C27" s="47" t="n">
        <x:f>COUNTIFS('Results'!$D$2:$D$151,$A27,'Results'!$U$2:$U$151,C$26,'Results'!$Z$2:$Z$151,"Success")</x:f>
        <x:v>6</x:v>
      </x:c>
      <x:c r="D27" s="47" t="n">
        <x:f>COUNTIFS('Results'!$D$2:$D$151,$A27,'Results'!$U$2:$U$151,D$26,'Results'!$Z$2:$Z$151,"Success")</x:f>
        <x:v>1</x:v>
      </x:c>
      <x:c r="E27" s="47" t="n">
        <x:f>COUNTIFS('Results'!$D$2:$D$151,$A27,'Results'!$U$2:$U$151,E$26,'Results'!$Z$2:$Z$151,"Success")</x:f>
        <x:v>0</x:v>
      </x:c>
      <x:c r="F27" s="47" t="n">
        <x:f>COUNTIFS('Results'!$D$2:$D$151,$A27,'Results'!$U$2:$U$151,F$26,'Results'!$Z$2:$Z$151,"Success")</x:f>
        <x:v>0</x:v>
      </x:c>
      <x:c r="G27" s="47" t="n">
        <x:f>SUM(B27:F27)</x:f>
        <x:v>30</x:v>
      </x:c>
    </x:row>
    <x:row r="28">
      <x:c r="A28" s="46" t="str">
        <x:v>Good</x:v>
      </x:c>
      <x:c r="B28" s="47" t="n">
        <x:f>COUNTIFS('Results'!$D$2:$D$151,$A28,'Results'!$U$2:$U$151,B$26,'Results'!$Z$2:$Z$151,"Success")</x:f>
        <x:v>11</x:v>
      </x:c>
      <x:c r="C28" s="47" t="n">
        <x:f>COUNTIFS('Results'!$D$2:$D$151,$A28,'Results'!$U$2:$U$151,C$26,'Results'!$Z$2:$Z$151,"Success")</x:f>
        <x:v>3</x:v>
      </x:c>
      <x:c r="D28" s="47" t="n">
        <x:f>COUNTIFS('Results'!$D$2:$D$151,$A28,'Results'!$U$2:$U$151,D$26,'Results'!$Z$2:$Z$151,"Success")</x:f>
        <x:v>16</x:v>
      </x:c>
      <x:c r="E28" s="47" t="n">
        <x:f>COUNTIFS('Results'!$D$2:$D$151,$A28,'Results'!$U$2:$U$151,E$26,'Results'!$Z$2:$Z$151,"Success")</x:f>
        <x:v>0</x:v>
      </x:c>
      <x:c r="F28" s="47" t="n">
        <x:f>COUNTIFS('Results'!$D$2:$D$151,$A28,'Results'!$U$2:$U$151,F$26,'Results'!$Z$2:$Z$151,"Success")</x:f>
        <x:v>0</x:v>
      </x:c>
      <x:c r="G28" s="47" t="n">
        <x:f>SUM(B28:F28)</x:f>
        <x:v>30</x:v>
      </x:c>
    </x:row>
    <x:row r="29">
      <x:c r="A29" s="46" t="str">
        <x:v>Normal</x:v>
      </x:c>
      <x:c r="B29" s="47" t="n">
        <x:f>COUNTIFS('Results'!$D$2:$D$151,$A29,'Results'!$U$2:$U$151,B$26,'Results'!$Z$2:$Z$151,"Success")</x:f>
        <x:v>0</x:v>
      </x:c>
      <x:c r="C29" s="47" t="n">
        <x:f>COUNTIFS('Results'!$D$2:$D$151,$A29,'Results'!$U$2:$U$151,C$26,'Results'!$Z$2:$Z$151,"Success")</x:f>
        <x:v>0</x:v>
      </x:c>
      <x:c r="D29" s="47" t="n">
        <x:f>COUNTIFS('Results'!$D$2:$D$151,$A29,'Results'!$U$2:$U$151,D$26,'Results'!$Z$2:$Z$151,"Success")</x:f>
        <x:v>13</x:v>
      </x:c>
      <x:c r="E29" s="47" t="n">
        <x:f>COUNTIFS('Results'!$D$2:$D$151,$A29,'Results'!$U$2:$U$151,E$26,'Results'!$Z$2:$Z$151,"Success")</x:f>
        <x:v>17</x:v>
      </x:c>
      <x:c r="F29" s="47" t="n">
        <x:f>COUNTIFS('Results'!$D$2:$D$151,$A29,'Results'!$U$2:$U$151,F$26,'Results'!$Z$2:$Z$151,"Success")</x:f>
        <x:v>0</x:v>
      </x:c>
      <x:c r="G29" s="47" t="n">
        <x:f>SUM(B29:F29)</x:f>
        <x:v>30</x:v>
      </x:c>
    </x:row>
    <x:row r="30">
      <x:c r="A30" s="46" t="str">
        <x:v>Bad</x:v>
      </x:c>
      <x:c r="B30" s="47" t="n">
        <x:f>COUNTIFS('Results'!$D$2:$D$151,$A30,'Results'!$U$2:$U$151,B$26,'Results'!$Z$2:$Z$151,"Success")</x:f>
        <x:v>0</x:v>
      </x:c>
      <x:c r="C30" s="47" t="n">
        <x:f>COUNTIFS('Results'!$D$2:$D$151,$A30,'Results'!$U$2:$U$151,C$26,'Results'!$Z$2:$Z$151,"Success")</x:f>
        <x:v>0</x:v>
      </x:c>
      <x:c r="D30" s="47" t="n">
        <x:f>COUNTIFS('Results'!$D$2:$D$151,$A30,'Results'!$U$2:$U$151,D$26,'Results'!$Z$2:$Z$151,"Success")</x:f>
        <x:v>1</x:v>
      </x:c>
      <x:c r="E30" s="47" t="n">
        <x:f>COUNTIFS('Results'!$D$2:$D$151,$A30,'Results'!$U$2:$U$151,E$26,'Results'!$Z$2:$Z$151,"Success")</x:f>
        <x:v>28</x:v>
      </x:c>
      <x:c r="F30" s="47" t="n">
        <x:f>COUNTIFS('Results'!$D$2:$D$151,$A30,'Results'!$U$2:$U$151,F$26,'Results'!$Z$2:$Z$151,"Success")</x:f>
        <x:v>1</x:v>
      </x:c>
      <x:c r="G30" s="47" t="n">
        <x:f>SUM(B30:F30)</x:f>
        <x:v>30</x:v>
      </x:c>
    </x:row>
    <x:row r="31">
      <x:c r="A31" s="46" t="str">
        <x:v>Extremely Bad</x:v>
      </x:c>
      <x:c r="B31" s="47" t="n">
        <x:f>COUNTIFS('Results'!$D$2:$D$151,$A31,'Results'!$U$2:$U$151,B$26,'Results'!$Z$2:$Z$151,"Success")</x:f>
        <x:v>0</x:v>
      </x:c>
      <x:c r="C31" s="47" t="n">
        <x:f>COUNTIFS('Results'!$D$2:$D$151,$A31,'Results'!$U$2:$U$151,C$26,'Results'!$Z$2:$Z$151,"Success")</x:f>
        <x:v>0</x:v>
      </x:c>
      <x:c r="D31" s="47" t="n">
        <x:f>COUNTIFS('Results'!$D$2:$D$151,$A31,'Results'!$U$2:$U$151,D$26,'Results'!$Z$2:$Z$151,"Success")</x:f>
        <x:v>0</x:v>
      </x:c>
      <x:c r="E31" s="47" t="n">
        <x:f>COUNTIFS('Results'!$D$2:$D$151,$A31,'Results'!$U$2:$U$151,E$26,'Results'!$Z$2:$Z$151,"Success")</x:f>
        <x:v>3</x:v>
      </x:c>
      <x:c r="F31" s="47" t="n">
        <x:f>COUNTIFS('Results'!$D$2:$D$151,$A31,'Results'!$U$2:$U$151,F$26,'Results'!$Z$2:$Z$151,"Success")</x:f>
        <x:v>27</x:v>
      </x:c>
      <x:c r="G31" s="47" t="n">
        <x:f>SUM(B31:F31)</x:f>
        <x:v>30</x:v>
      </x:c>
    </x:row>
    <x:row r="34" ht="24" customHeight="1">
      <x:c r="A34" s="27" t="str">
        <x:v>Ten largest scoring mismatches</x:v>
      </x:c>
      <x:c r="B34" s="27" t="str">
        <x:v>Ten largest scoring mismatches</x:v>
      </x:c>
      <x:c r="C34" s="27" t="str">
        <x:v>Ten largest scoring mismatches</x:v>
      </x:c>
      <x:c r="D34" s="27" t="str">
        <x:v>Ten largest scoring mismatches</x:v>
      </x:c>
      <x:c r="E34" s="27" t="str">
        <x:v>Ten largest scoring mismatches</x:v>
      </x:c>
      <x:c r="F34" s="27" t="str">
        <x:v>Ten largest scoring mismatches</x:v>
      </x:c>
      <x:c r="G34" s="27" t="str">
        <x:v>Ten largest scoring mismatches</x:v>
      </x:c>
      <x:c r="H34" s="27" t="str">
        <x:v>Ten largest scoring mismatches</x:v>
      </x:c>
    </x:row>
    <x:row r="35">
      <x:c r="A35" s="45" t="str">
        <x:v>Rank</x:v>
      </x:c>
      <x:c r="B35" s="45" t="str">
        <x:v>Draft ID</x:v>
      </x:c>
      <x:c r="C35" s="45" t="str">
        <x:v>Scenario</x:v>
      </x:c>
      <x:c r="D35" s="45" t="str">
        <x:v>Expected</x:v>
      </x:c>
      <x:c r="E35" s="45" t="str">
        <x:v>Predicted</x:v>
      </x:c>
      <x:c r="F35" s="45" t="str">
        <x:v>Expected range</x:v>
      </x:c>
      <x:c r="G35" s="45" t="str">
        <x:v>Average score</x:v>
      </x:c>
      <x:c r="H35" s="9" t="str">
        <x:v>Distance</x:v>
      </x:c>
    </x:row>
    <x:row r="36">
      <x:c r="A36" s="48" t="n">
        <x:v>1</x:v>
      </x:c>
      <x:c r="B36" s="48" t="str">
        <x:v>ZH-EXCELLENT-017</x:v>
      </x:c>
      <x:c r="C36" s="48" t="str">
        <x:v>017</x:v>
      </x:c>
      <x:c r="D36" s="48" t="str">
        <x:v>Excellent</x:v>
      </x:c>
      <x:c r="E36" s="48" t="str">
        <x:v>Normal</x:v>
      </x:c>
      <x:c r="F36" s="48" t="str">
        <x:v>85-100</x:v>
      </x:c>
      <x:c r="G36" s="49" t="n">
        <x:v>57</x:v>
      </x:c>
      <x:c r="H36" s="50" t="n">
        <x:v>28</x:v>
      </x:c>
    </x:row>
    <x:row r="37">
      <x:c r="A37" s="48" t="n">
        <x:v>2</x:v>
      </x:c>
      <x:c r="B37" s="48" t="str">
        <x:v>ZH-GOOD-024</x:v>
      </x:c>
      <x:c r="C37" s="48" t="str">
        <x:v>024</x:v>
      </x:c>
      <x:c r="D37" s="48" t="str">
        <x:v>Good</x:v>
      </x:c>
      <x:c r="E37" s="48" t="str">
        <x:v>Normal</x:v>
      </x:c>
      <x:c r="F37" s="48" t="str">
        <x:v>70-84</x:v>
      </x:c>
      <x:c r="G37" s="49" t="n">
        <x:v>54</x:v>
      </x:c>
      <x:c r="H37" s="50" t="n">
        <x:v>16</x:v>
      </x:c>
    </x:row>
    <x:row r="38">
      <x:c r="A38" s="48" t="n">
        <x:v>3</x:v>
      </x:c>
      <x:c r="B38" s="48" t="str">
        <x:v>ZH-GOOD-029</x:v>
      </x:c>
      <x:c r="C38" s="48" t="str">
        <x:v>029</x:v>
      </x:c>
      <x:c r="D38" s="48" t="str">
        <x:v>Good</x:v>
      </x:c>
      <x:c r="E38" s="48" t="str">
        <x:v>Normal</x:v>
      </x:c>
      <x:c r="F38" s="48" t="str">
        <x:v>70-84</x:v>
      </x:c>
      <x:c r="G38" s="49" t="n">
        <x:v>58</x:v>
      </x:c>
      <x:c r="H38" s="50" t="n">
        <x:v>12</x:v>
      </x:c>
    </x:row>
    <x:row r="39">
      <x:c r="A39" s="48" t="n">
        <x:v>4</x:v>
      </x:c>
      <x:c r="B39" s="48" t="str">
        <x:v>ZH-EXCELLENT-004</x:v>
      </x:c>
      <x:c r="C39" s="48" t="str">
        <x:v>004</x:v>
      </x:c>
      <x:c r="D39" s="48" t="str">
        <x:v>Excellent</x:v>
      </x:c>
      <x:c r="E39" s="48" t="str">
        <x:v>Good</x:v>
      </x:c>
      <x:c r="F39" s="48" t="str">
        <x:v>85-100</x:v>
      </x:c>
      <x:c r="G39" s="49" t="n">
        <x:v>74</x:v>
      </x:c>
      <x:c r="H39" s="50" t="n">
        <x:v>11</x:v>
      </x:c>
    </x:row>
    <x:row r="40">
      <x:c r="A40" s="48" t="n">
        <x:v>5</x:v>
      </x:c>
      <x:c r="B40" s="48" t="str">
        <x:v>ZH-EXCELLENT-013</x:v>
      </x:c>
      <x:c r="C40" s="48" t="str">
        <x:v>013</x:v>
      </x:c>
      <x:c r="D40" s="48" t="str">
        <x:v>Excellent</x:v>
      </x:c>
      <x:c r="E40" s="48" t="str">
        <x:v>Good</x:v>
      </x:c>
      <x:c r="F40" s="48" t="str">
        <x:v>85-100</x:v>
      </x:c>
      <x:c r="G40" s="49" t="n">
        <x:v>74</x:v>
      </x:c>
      <x:c r="H40" s="50" t="n">
        <x:v>11</x:v>
      </x:c>
    </x:row>
    <x:row r="41">
      <x:c r="A41" s="48" t="n">
        <x:v>6</x:v>
      </x:c>
      <x:c r="B41" s="48" t="str">
        <x:v>ZH-EXCELLENT-015</x:v>
      </x:c>
      <x:c r="C41" s="48" t="str">
        <x:v>015</x:v>
      </x:c>
      <x:c r="D41" s="48" t="str">
        <x:v>Excellent</x:v>
      </x:c>
      <x:c r="E41" s="48" t="str">
        <x:v>Good</x:v>
      </x:c>
      <x:c r="F41" s="48" t="str">
        <x:v>85-100</x:v>
      </x:c>
      <x:c r="G41" s="49" t="n">
        <x:v>74</x:v>
      </x:c>
      <x:c r="H41" s="50" t="n">
        <x:v>11</x:v>
      </x:c>
    </x:row>
    <x:row r="42">
      <x:c r="A42" s="48" t="n">
        <x:v>7</x:v>
      </x:c>
      <x:c r="B42" s="48" t="str">
        <x:v>ZH-EXCELLENT-018</x:v>
      </x:c>
      <x:c r="C42" s="48" t="str">
        <x:v>018</x:v>
      </x:c>
      <x:c r="D42" s="48" t="str">
        <x:v>Excellent</x:v>
      </x:c>
      <x:c r="E42" s="48" t="str">
        <x:v>Good</x:v>
      </x:c>
      <x:c r="F42" s="48" t="str">
        <x:v>85-100</x:v>
      </x:c>
      <x:c r="G42" s="49" t="n">
        <x:v>74</x:v>
      </x:c>
      <x:c r="H42" s="50" t="n">
        <x:v>11</x:v>
      </x:c>
    </x:row>
    <x:row r="43">
      <x:c r="A43" s="48" t="n">
        <x:v>8</x:v>
      </x:c>
      <x:c r="B43" s="48" t="str">
        <x:v>ZH-EXCELLENT-020</x:v>
      </x:c>
      <x:c r="C43" s="48" t="str">
        <x:v>020</x:v>
      </x:c>
      <x:c r="D43" s="48" t="str">
        <x:v>Excellent</x:v>
      </x:c>
      <x:c r="E43" s="48" t="str">
        <x:v>Good</x:v>
      </x:c>
      <x:c r="F43" s="48" t="str">
        <x:v>85-100</x:v>
      </x:c>
      <x:c r="G43" s="49" t="n">
        <x:v>74</x:v>
      </x:c>
      <x:c r="H43" s="50" t="n">
        <x:v>11</x:v>
      </x:c>
    </x:row>
    <x:row r="44">
      <x:c r="A44" s="48" t="n">
        <x:v>9</x:v>
      </x:c>
      <x:c r="B44" s="48" t="str">
        <x:v>ZH-GOOD-001</x:v>
      </x:c>
      <x:c r="C44" s="48" t="str">
        <x:v>001</x:v>
      </x:c>
      <x:c r="D44" s="48" t="str">
        <x:v>Good</x:v>
      </x:c>
      <x:c r="E44" s="48" t="str">
        <x:v>Normal</x:v>
      </x:c>
      <x:c r="F44" s="48" t="str">
        <x:v>70-84</x:v>
      </x:c>
      <x:c r="G44" s="49" t="n">
        <x:v>59</x:v>
      </x:c>
      <x:c r="H44" s="50" t="n">
        <x:v>11</x:v>
      </x:c>
    </x:row>
    <x:row r="45">
      <x:c r="A45" s="48" t="n">
        <x:v>10</x:v>
      </x:c>
      <x:c r="B45" s="48" t="str">
        <x:v>ZH-GOOD-005</x:v>
      </x:c>
      <x:c r="C45" s="48" t="str">
        <x:v>005</x:v>
      </x:c>
      <x:c r="D45" s="48" t="str">
        <x:v>Good</x:v>
      </x:c>
      <x:c r="E45" s="48" t="str">
        <x:v>Normal</x:v>
      </x:c>
      <x:c r="F45" s="48" t="str">
        <x:v>70-84</x:v>
      </x:c>
      <x:c r="G45" s="49" t="n">
        <x:v>59</x:v>
      </x:c>
      <x:c r="H45" s="50" t="n">
        <x:v>11</x:v>
      </x:c>
    </x:row>
    <x:row r="48" ht="24" customHeight="1">
      <x:c r="A48" s="27" t="str">
        <x:v>Lower-quality versions that scored higher</x:v>
      </x:c>
      <x:c r="B48" s="27" t="str">
        <x:v>Lower-quality versions that scored higher</x:v>
      </x:c>
      <x:c r="C48" s="27" t="str">
        <x:v>Lower-quality versions that scored higher</x:v>
      </x:c>
      <x:c r="D48" s="27" t="str">
        <x:v>Lower-quality versions that scored higher</x:v>
      </x:c>
      <x:c r="E48" s="27" t="str">
        <x:v>Lower-quality versions that scored higher</x:v>
      </x:c>
      <x:c r="F48" s="27" t="str">
        <x:v>Lower-quality versions that scored higher</x:v>
      </x:c>
      <x:c r="G48" s="27" t="str">
        <x:v>Lower-quality versions that scored higher</x:v>
      </x:c>
      <x:c r="H48" s="27" t="str">
        <x:v>Lower-quality versions that scored higher</x:v>
      </x:c>
    </x:row>
    <x:row r="49">
      <x:c r="A49" s="9" t="str">
        <x:v>Scenario</x:v>
      </x:c>
      <x:c r="B49" s="10" t="str">
        <x:v>Higher-quality draft</x:v>
      </x:c>
      <x:c r="C49" s="10" t="str">
        <x:v>Higher category</x:v>
      </x:c>
      <x:c r="D49" s="10" t="str">
        <x:v>Higher score</x:v>
      </x:c>
      <x:c r="E49" s="10" t="str">
        <x:v>Lower-quality draft</x:v>
      </x:c>
      <x:c r="F49" s="10" t="str">
        <x:v>Lower category</x:v>
      </x:c>
      <x:c r="G49" s="10" t="str">
        <x:v>Lower score</x:v>
      </x:c>
      <x:c r="H49" s="11" t="str">
        <x:v>Gap</x:v>
      </x:c>
    </x:row>
    <x:row r="50">
      <x:c r="A50" t="str">
        <x:v>015</x:v>
      </x:c>
      <x:c r="B50" t="str">
        <x:v>ZH-EXCELLENT-015</x:v>
      </x:c>
      <x:c r="C50" t="str">
        <x:v>Excellent</x:v>
      </x:c>
      <x:c r="D50" s="18" t="n">
        <x:v>74</x:v>
      </x:c>
      <x:c r="E50" s="18" t="str">
        <x:v>ZH-GOOD-015</x:v>
      </x:c>
      <x:c r="F50" s="18" t="str">
        <x:v>Good</x:v>
      </x:c>
      <x:c r="G50" s="18" t="n">
        <x:v>94</x:v>
      </x:c>
      <x:c r="H50" s="18" t="n">
        <x:v>20</x:v>
      </x:c>
    </x:row>
    <x:row r="51">
      <x:c r="A51" t="str">
        <x:v>017</x:v>
      </x:c>
      <x:c r="B51" t="str">
        <x:v>ZH-EXCELLENT-017</x:v>
      </x:c>
      <x:c r="C51" t="str">
        <x:v>Excellent</x:v>
      </x:c>
      <x:c r="D51" s="18" t="n">
        <x:v>57</x:v>
      </x:c>
      <x:c r="E51" s="18" t="str">
        <x:v>ZH-GOOD-017</x:v>
      </x:c>
      <x:c r="F51" s="18" t="str">
        <x:v>Good</x:v>
      </x:c>
      <x:c r="G51" s="18" t="n">
        <x:v>74</x:v>
      </x:c>
      <x:c r="H51" s="18" t="n">
        <x:v>17</x:v>
      </x:c>
    </x:row>
    <x:row r="52">
      <x:c r="A52" t="str">
        <x:v>018</x:v>
      </x:c>
      <x:c r="B52" t="str">
        <x:v>ZH-EXCELLENT-018</x:v>
      </x:c>
      <x:c r="C52" t="str">
        <x:v>Excellent</x:v>
      </x:c>
      <x:c r="D52" s="18" t="n">
        <x:v>74</x:v>
      </x:c>
      <x:c r="E52" s="18" t="str">
        <x:v>ZH-GOOD-018</x:v>
      </x:c>
      <x:c r="F52" s="18" t="str">
        <x:v>Good</x:v>
      </x:c>
      <x:c r="G52" s="18" t="n">
        <x:v>89</x:v>
      </x:c>
      <x:c r="H52" s="18" t="n">
        <x:v>15</x:v>
      </x:c>
    </x:row>
    <x:row r="53">
      <x:c r="A53" t="str">
        <x:v>004</x:v>
      </x:c>
      <x:c r="B53" t="str">
        <x:v>ZH-EXCELLENT-004</x:v>
      </x:c>
      <x:c r="C53" t="str">
        <x:v>Excellent</x:v>
      </x:c>
      <x:c r="D53" s="18" t="n">
        <x:v>74</x:v>
      </x:c>
      <x:c r="E53" s="18" t="str">
        <x:v>ZH-GOOD-004</x:v>
      </x:c>
      <x:c r="F53" s="18" t="str">
        <x:v>Good</x:v>
      </x:c>
      <x:c r="G53" s="18" t="n">
        <x:v>85</x:v>
      </x:c>
      <x:c r="H53" s="18" t="n">
        <x:v>11</x:v>
      </x:c>
    </x:row>
    <x:row r="54">
      <x:c r="A54" t="str">
        <x:v>009</x:v>
      </x:c>
      <x:c r="B54" t="str">
        <x:v>ZH-EXCELLENT-009</x:v>
      </x:c>
      <x:c r="C54" t="str">
        <x:v>Excellent</x:v>
      </x:c>
      <x:c r="D54" s="18" t="n">
        <x:v>83</x:v>
      </x:c>
      <x:c r="E54" s="18" t="str">
        <x:v>ZH-GOOD-009</x:v>
      </x:c>
      <x:c r="F54" s="18" t="str">
        <x:v>Good</x:v>
      </x:c>
      <x:c r="G54" s="18" t="n">
        <x:v>92</x:v>
      </x:c>
      <x:c r="H54" s="18" t="n">
        <x:v>9</x:v>
      </x:c>
    </x:row>
    <x:row r="55">
      <x:c r="A55" t="str">
        <x:v>015</x:v>
      </x:c>
      <x:c r="B55" t="str">
        <x:v>ZH-NORMAL-015</x:v>
      </x:c>
      <x:c r="C55" t="str">
        <x:v>Normal</x:v>
      </x:c>
      <x:c r="D55" s="18" t="n">
        <x:v>39</x:v>
      </x:c>
      <x:c r="E55" s="18" t="str">
        <x:v>ZH-BAD-015</x:v>
      </x:c>
      <x:c r="F55" s="18" t="str">
        <x:v>Bad</x:v>
      </x:c>
      <x:c r="G55" s="18" t="n">
        <x:v>44</x:v>
      </x:c>
      <x:c r="H55" s="18" t="n">
        <x:v>5</x:v>
      </x:c>
    </x:row>
    <x:row r="56">
      <x:c r="A56" t="str">
        <x:v>018</x:v>
      </x:c>
      <x:c r="B56" t="str">
        <x:v>ZH-NORMAL-018</x:v>
      </x:c>
      <x:c r="C56" t="str">
        <x:v>Normal</x:v>
      </x:c>
      <x:c r="D56" s="18" t="n">
        <x:v>39</x:v>
      </x:c>
      <x:c r="E56" s="18" t="str">
        <x:v>ZH-BAD-018</x:v>
      </x:c>
      <x:c r="F56" s="18" t="str">
        <x:v>Bad</x:v>
      </x:c>
      <x:c r="G56" s="18" t="n">
        <x:v>44</x:v>
      </x:c>
      <x:c r="H56" s="18" t="n">
        <x:v>5</x:v>
      </x:c>
    </x:row>
    <x:row r="57">
      <x:c r="A57" t="str">
        <x:v>023</x:v>
      </x:c>
      <x:c r="B57" t="str">
        <x:v>ZH-NORMAL-023</x:v>
      </x:c>
      <x:c r="C57" t="str">
        <x:v>Normal</x:v>
      </x:c>
      <x:c r="D57" s="18" t="n">
        <x:v>39</x:v>
      </x:c>
      <x:c r="E57" s="18" t="str">
        <x:v>ZH-BAD-023</x:v>
      </x:c>
      <x:c r="F57" s="18" t="str">
        <x:v>Bad</x:v>
      </x:c>
      <x:c r="G57" s="18" t="n">
        <x:v>43</x:v>
      </x:c>
      <x:c r="H57" s="18" t="n">
        <x:v>4</x:v>
      </x:c>
    </x:row>
    <x:row r="58">
      <x:c r="A58" t="str">
        <x:v>030</x:v>
      </x:c>
      <x:c r="B58" t="str">
        <x:v>ZH-NORMAL-030</x:v>
      </x:c>
      <x:c r="C58" t="str">
        <x:v>Normal</x:v>
      </x:c>
      <x:c r="D58" s="18" t="n">
        <x:v>44</x:v>
      </x:c>
      <x:c r="E58" s="18" t="str">
        <x:v>ZH-BAD-030</x:v>
      </x:c>
      <x:c r="F58" s="18" t="str">
        <x:v>Bad</x:v>
      </x:c>
      <x:c r="G58" s="18" t="n">
        <x:v>47</x:v>
      </x:c>
      <x:c r="H58" s="18" t="n">
        <x:v>3</x:v>
      </x:c>
    </x:row>
    <x:row r="59">
      <x:c r="A59" t="str">
        <x:v>014</x:v>
      </x:c>
      <x:c r="B59" t="str">
        <x:v>ZH-EXCELLENT-014</x:v>
      </x:c>
      <x:c r="C59" t="str">
        <x:v>Excellent</x:v>
      </x:c>
      <x:c r="D59" s="18" t="n">
        <x:v>88</x:v>
      </x:c>
      <x:c r="E59" s="18" t="str">
        <x:v>ZH-GOOD-014</x:v>
      </x:c>
      <x:c r="F59" s="18" t="str">
        <x:v>Good</x:v>
      </x:c>
      <x:c r="G59" s="18" t="n">
        <x:v>89</x:v>
      </x:c>
      <x:c r="H59" s="18" t="n">
        <x:v>1</x:v>
      </x:c>
    </x:row>
    <x:row r="60">
      <x:c r="A60" t="str">
        <x:v>029</x:v>
      </x:c>
      <x:c r="B60" t="str">
        <x:v>ZH-NORMAL-029</x:v>
      </x:c>
      <x:c r="C60" t="str">
        <x:v>Normal</x:v>
      </x:c>
      <x:c r="D60" s="18" t="n">
        <x:v>50</x:v>
      </x:c>
      <x:c r="E60" s="18" t="str">
        <x:v>ZH-BAD-029</x:v>
      </x:c>
      <x:c r="F60" s="18" t="str">
        <x:v>Bad</x:v>
      </x:c>
      <x:c r="G60" s="18" t="n">
        <x:v>51</x:v>
      </x:c>
      <x:c r="H60" s="18" t="n">
        <x:v>1</x:v>
      </x:c>
    </x:row>
    <x:row r="63" ht="24" customHeight="1">
      <x:c r="A63" s="27" t="str">
        <x:v>Repeated errors and suspicious patterns</x:v>
      </x:c>
      <x:c r="B63" s="27" t="str">
        <x:v>Repeated errors and suspicious patterns</x:v>
      </x:c>
      <x:c r="C63" s="27" t="str">
        <x:v>Repeated errors and suspicious patterns</x:v>
      </x:c>
      <x:c r="D63" s="27" t="str">
        <x:v>Repeated errors and suspicious patterns</x:v>
      </x:c>
      <x:c r="E63" s="27" t="str">
        <x:v>Repeated errors and suspicious patterns</x:v>
      </x:c>
      <x:c r="F63" s="27" t="str">
        <x:v>Repeated errors and suspicious patterns</x:v>
      </x:c>
      <x:c r="G63" s="27" t="str">
        <x:v>Repeated errors and suspicious patterns</x:v>
      </x:c>
      <x:c r="H63" s="27" t="str">
        <x:v>Repeated errors and suspicious patterns</x:v>
      </x:c>
      <x:c r="I63" s="27" t="str">
        <x:v>Repeated errors and suspicious patterns</x:v>
      </x:c>
      <x:c r="J63" s="27" t="str">
        <x:v>Repeated errors and suspicious patterns</x:v>
      </x:c>
    </x:row>
    <x:row r="64" ht="28" customHeight="1">
      <x:c r="A64" s="54" t="str">
        <x:v>11 lower-quality/higher-score inversion(s) were detected.</x:v>
      </x:c>
      <x:c r="B64" s="54"/>
      <x:c r="C64" s="54"/>
      <x:c r="D64" s="54"/>
      <x:c r="E64" s="54"/>
      <x:c r="F64" s="54"/>
      <x:c r="G64" s="54"/>
      <x:c r="H64" s="54"/>
      <x:c r="I64" s="54"/>
      <x:c r="J64" s="54"/>
    </x:row>
    <x:row r="65" ht="28" customHeight="1">
      <x:c r="A65" s="54" t="str">
        <x:v>47/150 scores (31.3%) sit exactly on deterministic cap boundaries 39, 59, 74, or 89.</x:v>
      </x:c>
      <x:c r="B65" s="54"/>
      <x:c r="C65" s="54"/>
      <x:c r="D65" s="54"/>
      <x:c r="E65" s="54"/>
      <x:c r="F65" s="54"/>
      <x:c r="G65" s="54"/>
      <x:c r="H65" s="54"/>
      <x:c r="I65" s="54"/>
      <x:c r="J65" s="54"/>
    </x:row>
  </x:sheetData>
  <x:mergeCells>
    <x:mergeCell ref="A1:J1"/>
    <x:mergeCell ref="A2:J2"/>
    <x:mergeCell ref="A4:B4"/>
    <x:mergeCell ref="D4:J4"/>
    <x:mergeCell ref="D5:J5"/>
    <x:mergeCell ref="D6:J6"/>
    <x:mergeCell ref="D7:J7"/>
    <x:mergeCell ref="D8:J8"/>
    <x:mergeCell ref="D9:J9"/>
    <x:mergeCell ref="D10:J10"/>
    <x:mergeCell ref="A25:G25"/>
    <x:mergeCell ref="A34:H34"/>
    <x:mergeCell ref="A48:H48"/>
    <x:mergeCell ref="A63:J63"/>
    <x:mergeCell ref="A64:J64"/>
    <x:mergeCell ref="A65:J6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2" hidden="0" customWidth="1"/>
    <x:col min="4" max="4" width="11" hidden="0" customWidth="1"/>
    <x:col min="5" max="5" width="10" hidden="0" customWidth="1"/>
    <x:col min="6" max="6" width="11" hidden="0" customWidth="1"/>
    <x:col min="7" max="7" width="11" hidden="0" customWidth="1"/>
    <x:col min="8" max="8" width="11" hidden="0" customWidth="1"/>
    <x:col min="9" max="9" width="11" hidden="0" customWidth="1"/>
    <x:col min="10" max="10" width="17" hidden="0" customWidth="1"/>
    <x:col min="11" max="11" width="12" hidden="0" customWidth="1"/>
    <x:col min="12" max="12" width="11" hidden="0" customWidth="1"/>
    <x:col min="13" max="13" width="11" hidden="0" customWidth="1"/>
    <x:col min="14" max="14" width="10" hidden="0" customWidth="1"/>
    <x:col min="15" max="15" width="11" hidden="0" customWidth="1"/>
    <x:col min="16" max="16" width="10" hidden="0" customWidth="1"/>
    <x:col min="17" max="17" width="13" hidden="0" customWidth="1"/>
    <x:col min="18" max="18" width="12" hidden="0" customWidth="1"/>
    <x:col min="19" max="19" width="11" hidden="0" customWidth="1"/>
  </x:cols>
  <x:sheetData>
    <x:row r="1" ht="34" customHeight="1">
      <x:c r="A1" s="22" t="str">
        <x:v>Category Summary</x:v>
      </x:c>
      <x:c r="B1" s="22" t="str">
        <x:v>Category Summary</x:v>
      </x:c>
      <x:c r="C1" s="22" t="str">
        <x:v>Category Summary</x:v>
      </x:c>
      <x:c r="D1" s="22" t="str">
        <x:v>Category Summary</x:v>
      </x:c>
      <x:c r="E1" s="22" t="str">
        <x:v>Category Summary</x:v>
      </x:c>
      <x:c r="F1" s="22" t="str">
        <x:v>Category Summary</x:v>
      </x:c>
      <x:c r="G1" s="22" t="str">
        <x:v>Category Summary</x:v>
      </x:c>
      <x:c r="H1" s="22" t="str">
        <x:v>Category Summary</x:v>
      </x:c>
      <x:c r="I1" s="22" t="str">
        <x:v>Category Summary</x:v>
      </x:c>
      <x:c r="J1" s="22" t="str">
        <x:v>Category Summary</x:v>
      </x:c>
      <x:c r="K1" s="22" t="str">
        <x:v>Category Summary</x:v>
      </x:c>
      <x:c r="L1" s="22" t="str">
        <x:v>Category Summary</x:v>
      </x:c>
      <x:c r="M1" s="22" t="str">
        <x:v>Category Summary</x:v>
      </x:c>
      <x:c r="N1" s="22" t="str">
        <x:v>Category Summary</x:v>
      </x:c>
      <x:c r="O1" s="22" t="str">
        <x:v>Category Summary</x:v>
      </x:c>
      <x:c r="P1" s="22" t="str">
        <x:v>Category Summary</x:v>
      </x:c>
      <x:c r="Q1" s="22" t="str">
        <x:v>Category Summary</x:v>
      </x:c>
      <x:c r="R1" s="22" t="str">
        <x:v>Category Summary</x:v>
      </x:c>
      <x:c r="S1" s="22" t="str">
        <x:v>Category Summary</x:v>
      </x:c>
    </x:row>
    <x:row r="2">
      <x:c r="A2" s="45" t="str">
        <x:v>Category</x:v>
      </x:c>
      <x:c r="B2" s="45" t="str">
        <x:v>Expected min</x:v>
      </x:c>
      <x:c r="C2" s="45" t="str">
        <x:v>Expected max</x:v>
      </x:c>
      <x:c r="D2" s="45" t="str">
        <x:v>Successful</x:v>
      </x:c>
      <x:c r="E2" s="45" t="str">
        <x:v>Failed</x:v>
      </x:c>
      <x:c r="F2" s="45" t="str">
        <x:v>Average</x:v>
      </x:c>
      <x:c r="G2" s="45" t="str">
        <x:v>Median</x:v>
      </x:c>
      <x:c r="H2" s="45" t="str">
        <x:v>Minimum</x:v>
      </x:c>
      <x:c r="I2" s="45" t="str">
        <x:v>Maximum</x:v>
      </x:c>
      <x:c r="J2" s="45" t="str">
        <x:v>Std dev (population)</x:v>
      </x:c>
      <x:c r="K2" s="45" t="str">
        <x:v>Inside count</x:v>
      </x:c>
      <x:c r="L2" s="45" t="str">
        <x:v>Inside %</x:v>
      </x:c>
      <x:c r="M2" s="45" t="str">
        <x:v>Below count</x:v>
      </x:c>
      <x:c r="N2" s="45" t="str">
        <x:v>Below %</x:v>
      </x:c>
      <x:c r="O2" s="45" t="str">
        <x:v>Above count</x:v>
      </x:c>
      <x:c r="P2" s="45" t="str">
        <x:v>Above %</x:v>
      </x:c>
      <x:c r="Q2" s="45" t="str">
        <x:v>Mean distance</x:v>
      </x:c>
      <x:c r="R2" s="45" t="str">
        <x:v>Correct count</x:v>
      </x:c>
      <x:c r="S2" s="45" t="str">
        <x:v>Accuracy</x:v>
      </x:c>
    </x:row>
    <x:row r="3">
      <x:c r="A3" s="57" t="str">
        <x:v>Excellent</x:v>
      </x:c>
      <x:c r="B3" s="47" t="n">
        <x:v>85</x:v>
      </x:c>
      <x:c r="C3" s="47" t="n">
        <x:v>100</x:v>
      </x:c>
      <x:c r="D3" s="47" t="n">
        <x:f>COUNTIFS('Results'!$D$2:$D$151,$A3,'Results'!$Z$2:$Z$151,"Success")</x:f>
        <x:v>30</x:v>
      </x:c>
      <x:c r="E3" s="47" t="n">
        <x:f>COUNTIFS('Results'!$D$2:$D$151,$A3,'Results'!$Z$2:$Z$151,"Error")</x:f>
        <x:v>0</x:v>
      </x:c>
      <x:c r="F3" s="49" t="n">
        <x:f>IF(D3=0,"",SUMIFS('Results'!$H$2:$H$151,'Results'!$D$2:$D$151,$A3,'Results'!$Z$2:$Z$151,"Success")/D3)</x:f>
        <x:v>87.43333333333334</x:v>
      </x:c>
      <x:c r="G3" s="49" t="n">
        <x:f>IF(D3=0,"",MEDIAN(_xlfn._xlws.FILTER('Results'!$H$2:$H$151,('Results'!$D$2:$D$151=$A3)*('Results'!$Z$2:$Z$151="Success"))))</x:f>
        <x:v>89</x:v>
      </x:c>
      <x:c r="H3" s="49" t="n">
        <x:f>IF(D3=0,"",MINIFS('Results'!$H$2:$H$151,'Results'!$D$2:$D$151,$A3,'Results'!$Z$2:$Z$151,"Success"))</x:f>
        <x:v>57</x:v>
      </x:c>
      <x:c r="I3" s="49" t="n">
        <x:f>IF(D3=0,"",MAXIFS('Results'!$H$2:$H$151,'Results'!$D$2:$D$151,$A3,'Results'!$Z$2:$Z$151,"Success"))</x:f>
        <x:v>96</x:v>
      </x:c>
      <x:c r="J3" s="49" t="n">
        <x:f>IF(D3=0,"",STDEV.P(_xlfn._xlws.FILTER('Results'!$H$2:$H$151,('Results'!$D$2:$D$151=$A3)*('Results'!$Z$2:$Z$151="Success"))))</x:f>
        <x:v>9.196678144248002</x:v>
      </x:c>
      <x:c r="K3" s="47" t="n">
        <x:f>COUNTIFS('Results'!$D$2:$D$151,$A3,'Results'!$Z$2:$Z$151,"Success",'Results'!$Q$2:$Q$151,"Yes")</x:f>
        <x:v>23</x:v>
      </x:c>
      <x:c r="L3" s="58" t="n">
        <x:f>IF(D3=0,0,K3/D3)</x:f>
        <x:v>0.7666666666666667</x:v>
      </x:c>
      <x:c r="M3" s="47" t="n">
        <x:f>COUNTIFS('Results'!$D$2:$D$151,$A3,'Results'!$Z$2:$Z$151,"Success",'Results'!$S$2:$S$151,"&gt;0")</x:f>
        <x:v>7</x:v>
      </x:c>
      <x:c r="N3" s="58" t="n">
        <x:f>IF(D3=0,0,M3/D3)</x:f>
        <x:v>0.23333333333333334</x:v>
      </x:c>
      <x:c r="O3" s="47" t="n">
        <x:f>COUNTIFS('Results'!$D$2:$D$151,$A3,'Results'!$Z$2:$Z$151,"Success",'Results'!$T$2:$T$151,"&gt;0")</x:f>
        <x:v>0</x:v>
      </x:c>
      <x:c r="P3" s="58" t="n">
        <x:f>IF(D3=0,0,O3/D3)</x:f>
        <x:v>0</x:v>
      </x:c>
      <x:c r="Q3" s="49" t="n">
        <x:f>IF(D3=0,"",SUMIFS('Results'!$R$2:$R$151,'Results'!$D$2:$D$151,$A3,'Results'!$Z$2:$Z$151,"Success")/D3)</x:f>
        <x:v>2.8333333333333335</x:v>
      </x:c>
      <x:c r="R3" s="47" t="n">
        <x:f>COUNTIFS('Results'!$D$2:$D$151,$A3,'Results'!$Z$2:$Z$151,"Success",'Results'!$V$2:$V$151,"Yes")</x:f>
        <x:v>23</x:v>
      </x:c>
      <x:c r="S3" s="58" t="n">
        <x:f>IF(D3=0,0,R3/D3)</x:f>
        <x:v>0.7666666666666667</x:v>
      </x:c>
    </x:row>
    <x:row r="4">
      <x:c r="A4" s="57" t="str">
        <x:v>Good</x:v>
      </x:c>
      <x:c r="B4" s="47" t="n">
        <x:v>70</x:v>
      </x:c>
      <x:c r="C4" s="47" t="n">
        <x:v>84</x:v>
      </x:c>
      <x:c r="D4" s="47" t="n">
        <x:f>COUNTIFS('Results'!$D$2:$D$151,$A4,'Results'!$Z$2:$Z$151,"Success")</x:f>
        <x:v>30</x:v>
      </x:c>
      <x:c r="E4" s="47" t="n">
        <x:f>COUNTIFS('Results'!$D$2:$D$151,$A4,'Results'!$Z$2:$Z$151,"Error")</x:f>
        <x:v>0</x:v>
      </x:c>
      <x:c r="F4" s="49" t="n">
        <x:f>IF(D4=0,"",SUMIFS('Results'!$H$2:$H$151,'Results'!$D$2:$D$151,$A4,'Results'!$Z$2:$Z$151,"Success")/D4)</x:f>
        <x:v>71.2</x:v>
      </x:c>
      <x:c r="G4" s="49" t="n">
        <x:f>IF(D4=0,"",MEDIAN(_xlfn._xlws.FILTER('Results'!$H$2:$H$151,('Results'!$D$2:$D$151=$A4)*('Results'!$Z$2:$Z$151="Success"))))</x:f>
        <x:v>59</x:v>
      </x:c>
      <x:c r="H4" s="49" t="n">
        <x:f>IF(D4=0,"",MINIFS('Results'!$H$2:$H$151,'Results'!$D$2:$D$151,$A4,'Results'!$Z$2:$Z$151,"Success"))</x:f>
        <x:v>54</x:v>
      </x:c>
      <x:c r="I4" s="49" t="n">
        <x:f>IF(D4=0,"",MAXIFS('Results'!$H$2:$H$151,'Results'!$D$2:$D$151,$A4,'Results'!$Z$2:$Z$151,"Success"))</x:f>
        <x:v>94</x:v>
      </x:c>
      <x:c r="J4" s="49" t="n">
        <x:f>IF(D4=0,"",STDEV.P(_xlfn._xlws.FILTER('Results'!$H$2:$H$151,('Results'!$D$2:$D$151=$A4)*('Results'!$Z$2:$Z$151="Success"))))</x:f>
        <x:v>14.171332564958975</x:v>
      </x:c>
      <x:c r="K4" s="47" t="n">
        <x:f>COUNTIFS('Results'!$D$2:$D$151,$A4,'Results'!$Z$2:$Z$151,"Success",'Results'!$Q$2:$Q$151,"Yes")</x:f>
        <x:v>3</x:v>
      </x:c>
      <x:c r="L4" s="58" t="n">
        <x:f>IF(D4=0,0,K4/D4)</x:f>
        <x:v>0.1</x:v>
      </x:c>
      <x:c r="M4" s="47" t="n">
        <x:f>COUNTIFS('Results'!$D$2:$D$151,$A4,'Results'!$Z$2:$Z$151,"Success",'Results'!$S$2:$S$151,"&gt;0")</x:f>
        <x:v>16</x:v>
      </x:c>
      <x:c r="N4" s="58" t="n">
        <x:f>IF(D4=0,0,M4/D4)</x:f>
        <x:v>0.5333333333333333</x:v>
      </x:c>
      <x:c r="O4" s="47" t="n">
        <x:f>COUNTIFS('Results'!$D$2:$D$151,$A4,'Results'!$Z$2:$Z$151,"Success",'Results'!$T$2:$T$151,"&gt;0")</x:f>
        <x:v>11</x:v>
      </x:c>
      <x:c r="P4" s="58" t="n">
        <x:f>IF(D4=0,0,O4/D4)</x:f>
        <x:v>0.36666666666666664</x:v>
      </x:c>
      <x:c r="Q4" s="49" t="n">
        <x:f>IF(D4=0,"",SUMIFS('Results'!$R$2:$R$151,'Results'!$D$2:$D$151,$A4,'Results'!$Z$2:$Z$151,"Success")/D4)</x:f>
        <x:v>7.8</x:v>
      </x:c>
      <x:c r="R4" s="47" t="n">
        <x:f>COUNTIFS('Results'!$D$2:$D$151,$A4,'Results'!$Z$2:$Z$151,"Success",'Results'!$V$2:$V$151,"Yes")</x:f>
        <x:v>3</x:v>
      </x:c>
      <x:c r="S4" s="58" t="n">
        <x:f>IF(D4=0,0,R4/D4)</x:f>
        <x:v>0.1</x:v>
      </x:c>
    </x:row>
    <x:row r="5">
      <x:c r="A5" s="57" t="str">
        <x:v>Normal</x:v>
      </x:c>
      <x:c r="B5" s="47" t="n">
        <x:v>50</x:v>
      </x:c>
      <x:c r="C5" s="47" t="n">
        <x:v>69</x:v>
      </x:c>
      <x:c r="D5" s="47" t="n">
        <x:f>COUNTIFS('Results'!$D$2:$D$151,$A5,'Results'!$Z$2:$Z$151,"Success")</x:f>
        <x:v>30</x:v>
      </x:c>
      <x:c r="E5" s="47" t="n">
        <x:f>COUNTIFS('Results'!$D$2:$D$151,$A5,'Results'!$Z$2:$Z$151,"Error")</x:f>
        <x:v>0</x:v>
      </x:c>
      <x:c r="F5" s="49" t="n">
        <x:f>IF(D5=0,"",SUMIFS('Results'!$H$2:$H$151,'Results'!$D$2:$D$151,$A5,'Results'!$Z$2:$Z$151,"Success")/D5)</x:f>
        <x:v>48.4</x:v>
      </x:c>
      <x:c r="G5" s="49" t="n">
        <x:f>IF(D5=0,"",MEDIAN(_xlfn._xlws.FILTER('Results'!$H$2:$H$151,('Results'!$D$2:$D$151=$A5)*('Results'!$Z$2:$Z$151="Success"))))</x:f>
        <x:v>49</x:v>
      </x:c>
      <x:c r="H5" s="49" t="n">
        <x:f>IF(D5=0,"",MINIFS('Results'!$H$2:$H$151,'Results'!$D$2:$D$151,$A5,'Results'!$Z$2:$Z$151,"Success"))</x:f>
        <x:v>39</x:v>
      </x:c>
      <x:c r="I5" s="49" t="n">
        <x:f>IF(D5=0,"",MAXIFS('Results'!$H$2:$H$151,'Results'!$D$2:$D$151,$A5,'Results'!$Z$2:$Z$151,"Success"))</x:f>
        <x:v>59</x:v>
      </x:c>
      <x:c r="J5" s="49" t="n">
        <x:f>IF(D5=0,"",STDEV.P(_xlfn._xlws.FILTER('Results'!$H$2:$H$151,('Results'!$D$2:$D$151=$A5)*('Results'!$Z$2:$Z$151="Success"))))</x:f>
        <x:v>5.689756878227165</x:v>
      </x:c>
      <x:c r="K5" s="47" t="n">
        <x:f>COUNTIFS('Results'!$D$2:$D$151,$A5,'Results'!$Z$2:$Z$151,"Success",'Results'!$Q$2:$Q$151,"Yes")</x:f>
        <x:v>13</x:v>
      </x:c>
      <x:c r="L5" s="58" t="n">
        <x:f>IF(D5=0,0,K5/D5)</x:f>
        <x:v>0.43333333333333335</x:v>
      </x:c>
      <x:c r="M5" s="47" t="n">
        <x:f>COUNTIFS('Results'!$D$2:$D$151,$A5,'Results'!$Z$2:$Z$151,"Success",'Results'!$S$2:$S$151,"&gt;0")</x:f>
        <x:v>17</x:v>
      </x:c>
      <x:c r="N5" s="58" t="n">
        <x:f>IF(D5=0,0,M5/D5)</x:f>
        <x:v>0.5666666666666667</x:v>
      </x:c>
      <x:c r="O5" s="47" t="n">
        <x:f>COUNTIFS('Results'!$D$2:$D$151,$A5,'Results'!$Z$2:$Z$151,"Success",'Results'!$T$2:$T$151,"&gt;0")</x:f>
        <x:v>0</x:v>
      </x:c>
      <x:c r="P5" s="58" t="n">
        <x:f>IF(D5=0,0,O5/D5)</x:f>
        <x:v>0</x:v>
      </x:c>
      <x:c r="Q5" s="49" t="n">
        <x:f>IF(D5=0,"",SUMIFS('Results'!$R$2:$R$151,'Results'!$D$2:$D$151,$A5,'Results'!$Z$2:$Z$151,"Success")/D5)</x:f>
        <x:v>3.1</x:v>
      </x:c>
      <x:c r="R5" s="47" t="n">
        <x:f>COUNTIFS('Results'!$D$2:$D$151,$A5,'Results'!$Z$2:$Z$151,"Success",'Results'!$V$2:$V$151,"Yes")</x:f>
        <x:v>13</x:v>
      </x:c>
      <x:c r="S5" s="58" t="n">
        <x:f>IF(D5=0,0,R5/D5)</x:f>
        <x:v>0.43333333333333335</x:v>
      </x:c>
    </x:row>
    <x:row r="6">
      <x:c r="A6" s="57" t="str">
        <x:v>Bad</x:v>
      </x:c>
      <x:c r="B6" s="47" t="n">
        <x:v>30</x:v>
      </x:c>
      <x:c r="C6" s="47" t="n">
        <x:v>49</x:v>
      </x:c>
      <x:c r="D6" s="47" t="n">
        <x:f>COUNTIFS('Results'!$D$2:$D$151,$A6,'Results'!$Z$2:$Z$151,"Success")</x:f>
        <x:v>30</x:v>
      </x:c>
      <x:c r="E6" s="47" t="n">
        <x:f>COUNTIFS('Results'!$D$2:$D$151,$A6,'Results'!$Z$2:$Z$151,"Error")</x:f>
        <x:v>0</x:v>
      </x:c>
      <x:c r="F6" s="49" t="n">
        <x:f>IF(D6=0,"",SUMIFS('Results'!$H$2:$H$151,'Results'!$D$2:$D$151,$A6,'Results'!$Z$2:$Z$151,"Success")/D6)</x:f>
        <x:v>41.46666666666667</x:v>
      </x:c>
      <x:c r="G6" s="49" t="n">
        <x:f>IF(D6=0,"",MEDIAN(_xlfn._xlws.FILTER('Results'!$H$2:$H$151,('Results'!$D$2:$D$151=$A6)*('Results'!$Z$2:$Z$151="Success"))))</x:f>
        <x:v>42</x:v>
      </x:c>
      <x:c r="H6" s="49" t="n">
        <x:f>IF(D6=0,"",MINIFS('Results'!$H$2:$H$151,'Results'!$D$2:$D$151,$A6,'Results'!$Z$2:$Z$151,"Success"))</x:f>
        <x:v>27</x:v>
      </x:c>
      <x:c r="I6" s="49" t="n">
        <x:f>IF(D6=0,"",MAXIFS('Results'!$H$2:$H$151,'Results'!$D$2:$D$151,$A6,'Results'!$Z$2:$Z$151,"Success"))</x:f>
        <x:v>51</x:v>
      </x:c>
      <x:c r="J6" s="49" t="n">
        <x:f>IF(D6=0,"",STDEV.P(_xlfn._xlws.FILTER('Results'!$H$2:$H$151,('Results'!$D$2:$D$151=$A6)*('Results'!$Z$2:$Z$151="Success"))))</x:f>
        <x:v>4.937835783237654</x:v>
      </x:c>
      <x:c r="K6" s="47" t="n">
        <x:f>COUNTIFS('Results'!$D$2:$D$151,$A6,'Results'!$Z$2:$Z$151,"Success",'Results'!$Q$2:$Q$151,"Yes")</x:f>
        <x:v>28</x:v>
      </x:c>
      <x:c r="L6" s="58" t="n">
        <x:f>IF(D6=0,0,K6/D6)</x:f>
        <x:v>0.9333333333333333</x:v>
      </x:c>
      <x:c r="M6" s="47" t="n">
        <x:f>COUNTIFS('Results'!$D$2:$D$151,$A6,'Results'!$Z$2:$Z$151,"Success",'Results'!$S$2:$S$151,"&gt;0")</x:f>
        <x:v>1</x:v>
      </x:c>
      <x:c r="N6" s="58" t="n">
        <x:f>IF(D6=0,0,M6/D6)</x:f>
        <x:v>0.03333333333333333</x:v>
      </x:c>
      <x:c r="O6" s="47" t="n">
        <x:f>COUNTIFS('Results'!$D$2:$D$151,$A6,'Results'!$Z$2:$Z$151,"Success",'Results'!$T$2:$T$151,"&gt;0")</x:f>
        <x:v>1</x:v>
      </x:c>
      <x:c r="P6" s="58" t="n">
        <x:f>IF(D6=0,0,O6/D6)</x:f>
        <x:v>0.03333333333333333</x:v>
      </x:c>
      <x:c r="Q6" s="49" t="n">
        <x:f>IF(D6=0,"",SUMIFS('Results'!$R$2:$R$151,'Results'!$D$2:$D$151,$A6,'Results'!$Z$2:$Z$151,"Success")/D6)</x:f>
        <x:v>0.16666666666666666</x:v>
      </x:c>
      <x:c r="R6" s="47" t="n">
        <x:f>COUNTIFS('Results'!$D$2:$D$151,$A6,'Results'!$Z$2:$Z$151,"Success",'Results'!$V$2:$V$151,"Yes")</x:f>
        <x:v>28</x:v>
      </x:c>
      <x:c r="S6" s="58" t="n">
        <x:f>IF(D6=0,0,R6/D6)</x:f>
        <x:v>0.9333333333333333</x:v>
      </x:c>
    </x:row>
    <x:row r="7">
      <x:c r="A7" s="57" t="str">
        <x:v>Extremely Bad</x:v>
      </x:c>
      <x:c r="B7" s="47" t="n">
        <x:v>0</x:v>
      </x:c>
      <x:c r="C7" s="47" t="n">
        <x:v>29</x:v>
      </x:c>
      <x:c r="D7" s="47" t="n">
        <x:f>COUNTIFS('Results'!$D$2:$D$151,$A7,'Results'!$Z$2:$Z$151,"Success")</x:f>
        <x:v>30</x:v>
      </x:c>
      <x:c r="E7" s="47" t="n">
        <x:f>COUNTIFS('Results'!$D$2:$D$151,$A7,'Results'!$Z$2:$Z$151,"Error")</x:f>
        <x:v>0</x:v>
      </x:c>
      <x:c r="F7" s="49" t="n">
        <x:f>IF(D7=0,"",SUMIFS('Results'!$H$2:$H$151,'Results'!$D$2:$D$151,$A7,'Results'!$Z$2:$Z$151,"Success")/D7)</x:f>
        <x:v>21</x:v>
      </x:c>
      <x:c r="G7" s="49" t="n">
        <x:f>IF(D7=0,"",MEDIAN(_xlfn._xlws.FILTER('Results'!$H$2:$H$151,('Results'!$D$2:$D$151=$A7)*('Results'!$Z$2:$Z$151="Success"))))</x:f>
        <x:v>20</x:v>
      </x:c>
      <x:c r="H7" s="49" t="n">
        <x:f>IF(D7=0,"",MINIFS('Results'!$H$2:$H$151,'Results'!$D$2:$D$151,$A7,'Results'!$Z$2:$Z$151,"Success"))</x:f>
        <x:v>10</x:v>
      </x:c>
      <x:c r="I7" s="49" t="n">
        <x:f>IF(D7=0,"",MAXIFS('Results'!$H$2:$H$151,'Results'!$D$2:$D$151,$A7,'Results'!$Z$2:$Z$151,"Success"))</x:f>
        <x:v>39</x:v>
      </x:c>
      <x:c r="J7" s="49" t="n">
        <x:f>IF(D7=0,"",STDEV.P(_xlfn._xlws.FILTER('Results'!$H$2:$H$151,('Results'!$D$2:$D$151=$A7)*('Results'!$Z$2:$Z$151="Success"))))</x:f>
        <x:v>6.928203230275509</x:v>
      </x:c>
      <x:c r="K7" s="47" t="n">
        <x:f>COUNTIFS('Results'!$D$2:$D$151,$A7,'Results'!$Z$2:$Z$151,"Success",'Results'!$Q$2:$Q$151,"Yes")</x:f>
        <x:v>27</x:v>
      </x:c>
      <x:c r="L7" s="58" t="n">
        <x:f>IF(D7=0,0,K7/D7)</x:f>
        <x:v>0.9</x:v>
      </x:c>
      <x:c r="M7" s="47" t="n">
        <x:f>COUNTIFS('Results'!$D$2:$D$151,$A7,'Results'!$Z$2:$Z$151,"Success",'Results'!$S$2:$S$151,"&gt;0")</x:f>
        <x:v>0</x:v>
      </x:c>
      <x:c r="N7" s="58" t="n">
        <x:f>IF(D7=0,0,M7/D7)</x:f>
        <x:v>0</x:v>
      </x:c>
      <x:c r="O7" s="47" t="n">
        <x:f>COUNTIFS('Results'!$D$2:$D$151,$A7,'Results'!$Z$2:$Z$151,"Success",'Results'!$T$2:$T$151,"&gt;0")</x:f>
        <x:v>3</x:v>
      </x:c>
      <x:c r="P7" s="58" t="n">
        <x:f>IF(D7=0,0,O7/D7)</x:f>
        <x:v>0.1</x:v>
      </x:c>
      <x:c r="Q7" s="49" t="n">
        <x:f>IF(D7=0,"",SUMIFS('Results'!$R$2:$R$151,'Results'!$D$2:$D$151,$A7,'Results'!$Z$2:$Z$151,"Success")/D7)</x:f>
        <x:v>0.6666666666666666</x:v>
      </x:c>
      <x:c r="R7" s="47" t="n">
        <x:f>COUNTIFS('Results'!$D$2:$D$151,$A7,'Results'!$Z$2:$Z$151,"Success",'Results'!$V$2:$V$151,"Yes")</x:f>
        <x:v>27</x:v>
      </x:c>
      <x:c r="S7" s="58" t="n">
        <x:f>IF(D7=0,0,R7/D7)</x:f>
        <x:v>0.9</x:v>
      </x:c>
    </x:row>
  </x:sheetData>
  <x:mergeCells>
    <x:mergeCell ref="A1:S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1" hidden="0" customWidth="1"/>
    <x:col min="3" max="3" width="18" hidden="0" customWidth="1"/>
    <x:col min="4" max="4" width="9" hidden="0" customWidth="1"/>
    <x:col min="5" max="5" width="13" hidden="0" customWidth="1"/>
    <x:col min="6" max="6" width="25" hidden="0" customWidth="1"/>
    <x:col min="7" max="7" width="54" hidden="0" customWidth="1"/>
    <x:col min="8" max="8" width="11" hidden="0" customWidth="1"/>
    <x:col min="9" max="9" width="17" hidden="0" customWidth="1"/>
    <x:col min="10" max="10" width="24" hidden="0" customWidth="1"/>
  </x:cols>
  <x:sheetData>
    <x:row r="1" ht="34" customHeight="1">
      <x:c r="A1" s="22" t="str">
        <x:v>Error Log</x:v>
      </x:c>
      <x:c r="B1" s="22" t="str">
        <x:v>Error Log</x:v>
      </x:c>
      <x:c r="C1" s="22" t="str">
        <x:v>Error Log</x:v>
      </x:c>
      <x:c r="D1" s="22" t="str">
        <x:v>Error Log</x:v>
      </x:c>
      <x:c r="E1" s="22" t="str">
        <x:v>Error Log</x:v>
      </x:c>
      <x:c r="F1" s="22" t="str">
        <x:v>Error Log</x:v>
      </x:c>
      <x:c r="G1" s="22" t="str">
        <x:v>Error Log</x:v>
      </x:c>
      <x:c r="H1" s="22" t="str">
        <x:v>Error Log</x:v>
      </x:c>
      <x:c r="I1" s="22" t="str">
        <x:v>Error Log</x:v>
      </x:c>
      <x:c r="J1" s="22" t="str">
        <x:v>Error Log</x:v>
      </x:c>
    </x:row>
    <x:row r="2">
      <x:c r="A2" s="9" t="str">
        <x:v>Draft ID</x:v>
      </x:c>
      <x:c r="B2" s="10" t="str">
        <x:v>Scenario</x:v>
      </x:c>
      <x:c r="C2" s="10" t="str">
        <x:v>Category</x:v>
      </x:c>
      <x:c r="D2" s="10" t="str">
        <x:v>Repeat</x:v>
      </x:c>
      <x:c r="E2" s="10" t="str">
        <x:v>Error type</x:v>
      </x:c>
      <x:c r="F2" s="10" t="str">
        <x:v>Error code</x:v>
      </x:c>
      <x:c r="G2" s="10" t="str">
        <x:v>Error message</x:v>
      </x:c>
      <x:c r="H2" s="10" t="str">
        <x:v>Retry count</x:v>
      </x:c>
      <x:c r="I2" s="10" t="str">
        <x:v>Response time (ms)</x:v>
      </x:c>
      <x:c r="J2" s="11" t="str">
        <x:v>Timestamp</x:v>
      </x:c>
    </x:row>
    <x:row r="3">
      <x:c r="A3" s="60" t="str">
        <x:v>No errors are recorded in the current results file.</x:v>
      </x:c>
      <x:c r="B3" s="60" t="str">
        <x:v>No errors are recorded in the current results file.</x:v>
      </x:c>
      <x:c r="C3" s="60" t="str">
        <x:v>No errors are recorded in the current results file.</x:v>
      </x:c>
      <x:c r="D3" s="60" t="str">
        <x:v>No errors are recorded in the current results file.</x:v>
      </x:c>
      <x:c r="E3" s="60" t="str">
        <x:v>No errors are recorded in the current results file.</x:v>
      </x:c>
      <x:c r="F3" s="60" t="str">
        <x:v>No errors are recorded in the current results file.</x:v>
      </x:c>
      <x:c r="G3" s="60" t="str">
        <x:v>No errors are recorded in the current results file.</x:v>
      </x:c>
      <x:c r="H3" s="60" t="str">
        <x:v>No errors are recorded in the current results file.</x:v>
      </x:c>
      <x:c r="I3" s="60" t="str">
        <x:v>No errors are recorded in the current results file.</x:v>
      </x:c>
      <x:c r="J3" s="60" t="str">
        <x:v>No errors are recorded in the current results file.</x:v>
      </x:c>
    </x:row>
  </x:sheetData>
  <x:mergeCells>
    <x:mergeCell ref="A1:J1"/>
    <x:mergeCell ref="A3:J3"/>
  </x:mergeCells>
  <x:pageMargins left="0.7" right="0.7" top="0.75" bottom="0.75" header="0.3" footer="0.3"/>
</x:worksheet>
</file>